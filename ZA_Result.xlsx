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Инструкция" sheetId="1" state="visible" r:id="rId1"/>
    <sheet xmlns:r="http://schemas.openxmlformats.org/officeDocument/2006/relationships" name="📊 Исходные данные" sheetId="2" state="visible" r:id="rId2"/>
    <sheet xmlns:r="http://schemas.openxmlformats.org/officeDocument/2006/relationships" name="🛒 Продажи" sheetId="3" state="visible" r:id="rId3"/>
    <sheet xmlns:r="http://schemas.openxmlformats.org/officeDocument/2006/relationships" name="🔢 Расчеты" sheetId="4" state="visible" r:id="rId4"/>
    <sheet xmlns:r="http://schemas.openxmlformats.org/officeDocument/2006/relationships" name="📈 Dashboard" sheetId="5" state="visible" r:id="rId5"/>
    <sheet xmlns:r="http://schemas.openxmlformats.org/officeDocument/2006/relationships" name="📋 Сценарный анализ" sheetId="6" state="visible" r:id="rId6"/>
  </sheets>
  <definedNames>
    <definedName name="_xlnm._FilterDatabase" localSheetId="1" hidden="1">'📊 Исходные данные'!$A$1:$K$181</definedName>
    <definedName name="_xlnm._FilterDatabase" localSheetId="3" hidden="1">'🔢 Расчеты'!$A$2:$BU$182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—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70C0"/>
      <sz val="11"/>
      <u val="single"/>
    </font>
    <font>
      <name val="Calibri"/>
      <color rgb="00595959"/>
      <sz val="10"/>
    </font>
    <font>
      <name val="Calibri"/>
      <color rgb="000070C0"/>
      <sz val="10"/>
    </font>
    <font>
      <name val="Calibri"/>
      <color rgb="00595959"/>
      <sz val="9"/>
    </font>
    <font>
      <name val="Calibri"/>
      <b val="1"/>
      <color rgb="00FFFFFF"/>
      <sz val="9"/>
    </font>
    <font>
      <name val="Calibri"/>
      <color rgb="00008000"/>
      <sz val="10"/>
    </font>
    <font>
      <name val="Calibri"/>
      <b val="1"/>
      <color rgb="00FFFFFF"/>
      <sz val="16"/>
    </font>
    <font>
      <name val="Calibri"/>
      <b val="1"/>
      <color rgb="001F3864"/>
      <sz val="18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b val="1"/>
      <color rgb="00000000"/>
      <sz val="14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4A6FA5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9E3AC4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833C00"/>
      </patternFill>
    </fill>
    <fill>
      <patternFill patternType="solid">
        <fgColor rgb="000070C0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0E6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left" vertical="center" indent="1"/>
    </xf>
    <xf numFmtId="49" fontId="10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3" fontId="7" fillId="16" borderId="1" applyAlignment="1" pivotButton="0" quotePrefix="0" xfId="0">
      <alignment horizontal="right" vertical="center"/>
    </xf>
    <xf numFmtId="4" fontId="7" fillId="16" borderId="1" applyAlignment="1" pivotButton="0" quotePrefix="0" xfId="0">
      <alignment horizontal="right" vertical="center"/>
    </xf>
    <xf numFmtId="164" fontId="7" fillId="16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4" fontId="12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0" fontId="13" fillId="1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left" vertical="center" indent="1"/>
    </xf>
    <xf numFmtId="4" fontId="3" fillId="16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indent="1"/>
    </xf>
    <xf numFmtId="0" fontId="3" fillId="18" borderId="1" applyAlignment="1" pivotButton="0" quotePrefix="0" xfId="0">
      <alignment horizontal="left" vertical="center" indent="1"/>
    </xf>
    <xf numFmtId="4" fontId="3" fillId="18" borderId="1" applyAlignment="1" pivotButton="0" quotePrefix="0" xfId="0">
      <alignment horizontal="center" vertical="center"/>
    </xf>
    <xf numFmtId="164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indent="1"/>
    </xf>
    <xf numFmtId="0" fontId="3" fillId="19" borderId="1" applyAlignment="1" pivotButton="0" quotePrefix="0" xfId="0">
      <alignment horizontal="left" vertical="center" indent="1"/>
    </xf>
    <xf numFmtId="4" fontId="3" fillId="19" borderId="1" applyAlignment="1" pivotButton="0" quotePrefix="0" xfId="0">
      <alignment horizontal="center" vertical="center"/>
    </xf>
    <xf numFmtId="164" fontId="3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indent="1"/>
    </xf>
    <xf numFmtId="0" fontId="3" fillId="20" borderId="1" applyAlignment="1" pivotButton="0" quotePrefix="0" xfId="0">
      <alignment horizontal="left" vertical="center" indent="1"/>
    </xf>
    <xf numFmtId="4" fontId="3" fillId="20" borderId="1" applyAlignment="1" pivotButton="0" quotePrefix="0" xfId="0">
      <alignment horizontal="center" vertical="center"/>
    </xf>
    <xf numFmtId="164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Src" displayName="tbl_Src" ref="A1:K181" headerRowCount="1">
  <autoFilter ref="A1:K181"/>
  <tableColumns count="11">
    <tableColumn id="1" name="Наименование"/>
    <tableColumn id="2" name="Штрихкод"/>
    <tableColumn id="3" name="Закупочная_цена"/>
    <tableColumn id="4" name="Розничная_цена_ЗЯ"/>
    <tableColumn id="5" name="Цена_7_Континент"/>
    <tableColumn id="6" name="Цена_Европейский"/>
    <tableColumn id="7" name="Цена_Тропики"/>
    <tableColumn id="8" name="Цена_Мята"/>
    <tableColumn id="9" name="Цена_Отличный"/>
    <tableColumn id="10" name="Цена_Оптовик_Молоток"/>
    <tableColumn id="11" name="Цена_Оптовик_Редукторный"/>
  </tableColumns>
  <tableStyleInfo name="TableStyleMedium9" showFirstColumn="1" showRowStripes="1"/>
</table>
</file>

<file path=xl/tables/table2.xml><?xml version="1.0" encoding="utf-8"?>
<table xmlns="http://schemas.openxmlformats.org/spreadsheetml/2006/main" id="2" name="tbl_Sales" displayName="tbl_Sales" ref="A1:D11" headerRowCount="1">
  <autoFilter ref="A1:D11"/>
  <tableColumns count="4">
    <tableColumn id="1" name="Штрихкод"/>
    <tableColumn id="2" name="Кол-во_продаж"/>
    <tableColumn id="3" name="Выручка"/>
    <tableColumn id="4" name="Валовая_прибыль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 ht="30" customHeight="1">
      <c r="B2" s="1" t="inlineStr">
        <is>
          <t>🍏  ЗЕЛЕНОЕ ЯБЛОКО - Калькулятор цен, маржи и сценариев v1.0</t>
        </is>
      </c>
    </row>
    <row r="3" ht="6" customHeight="1"/>
    <row r="4" ht="20" customHeight="1">
      <c r="B4" s="2" t="inlineStr">
        <is>
          <t>НАЗНАЧЕНИЕ ФАЙЛА</t>
        </is>
      </c>
    </row>
    <row r="5" ht="18" customHeight="1">
      <c r="B5" s="3" t="inlineStr">
        <is>
          <t>Инструмент для коммерческого блока: анализ цены, наценки, маржи, сравнение с рынком и сценарное моделирование по всем позициям.</t>
        </is>
      </c>
    </row>
    <row r="7" ht="20" customHeight="1">
      <c r="B7" s="2" t="inlineStr">
        <is>
          <t>ЛИСТЫ ФАЙЛА</t>
        </is>
      </c>
    </row>
    <row r="8" ht="18" customHeight="1">
      <c r="B8" s="3" t="inlineStr">
        <is>
          <t>📊 Исходные данные  - товарная матрица: цены ЗЯ и конкурентов. Загружается из исходного файла.</t>
        </is>
      </c>
    </row>
    <row r="9" ht="18" customHeight="1">
      <c r="B9" s="3" t="inlineStr">
        <is>
          <t>🛒 Продажи          - продажи по штрихкоду (кол-во, выручка, ВП). Опционально.</t>
        </is>
      </c>
    </row>
    <row r="10" ht="18" customHeight="1">
      <c r="B10" s="3" t="inlineStr">
        <is>
          <t>🔢 Расчеты          - все автоматические формулы. Ручной ввод только в синих ячейках.</t>
        </is>
      </c>
    </row>
    <row r="11" ht="18" customHeight="1">
      <c r="B11" s="3" t="inlineStr">
        <is>
          <t>📈 Dashboard        - KPI-карточки, светофоры, топы. Обновляется автоматически.</t>
        </is>
      </c>
    </row>
    <row r="12" ht="18" customHeight="1">
      <c r="B12" s="3" t="inlineStr">
        <is>
          <t>📋 Сценарный анализ - сводная таблица по 5 сценариям и автоматические рекомендации.</t>
        </is>
      </c>
    </row>
    <row r="14" ht="20" customHeight="1">
      <c r="B14" s="2" t="inlineStr">
        <is>
          <t>ПОЛЯ РУЧНОГО ВВОДА (синий цвет = вводить вручную)</t>
        </is>
      </c>
    </row>
    <row r="15" ht="18" customHeight="1">
      <c r="B15" s="3" t="inlineStr">
        <is>
          <t>Лист «🛒 Продажи»: Штрихкод, Кол-во продаж, Выручка, Валовая прибыль.</t>
        </is>
      </c>
    </row>
    <row r="16" ht="18" customHeight="1">
      <c r="B16" s="3" t="inlineStr">
        <is>
          <t>Лист «Расчеты», колонка T (Кол-во продаж) - можно вводить прямо здесь.</t>
        </is>
      </c>
    </row>
    <row r="17" ht="18" customHeight="1">
      <c r="B17" s="3" t="inlineStr">
        <is>
          <t>Лист «Расчеты», колонка AS (С4: Новая цена вручную) - произвольная цена для сценария 4.</t>
        </is>
      </c>
    </row>
    <row r="18" ht="18" customHeight="1">
      <c r="B18" s="3" t="inlineStr">
        <is>
          <t>Лист «Расчеты», колонка AZ (С5: Целевая маржа) - например 0.25 для целевой маржи 25%.</t>
        </is>
      </c>
    </row>
    <row r="20" ht="20" customHeight="1">
      <c r="B20" s="2" t="inlineStr">
        <is>
          <t>ФОРМУЛЫ - КЛЮЧЕВАЯ ЛОГИКА</t>
        </is>
      </c>
    </row>
    <row r="21" ht="18" customHeight="1">
      <c r="B21" s="3" t="inlineStr">
        <is>
          <t>Наценка  = (Розн. цена - Закуп. цена) / Закуп. цена</t>
        </is>
      </c>
    </row>
    <row r="22" ht="18" customHeight="1">
      <c r="B22" s="3" t="inlineStr">
        <is>
          <t>Маржа    = (Розн. цена - Закуп. цена) / Розн. цена</t>
        </is>
      </c>
    </row>
    <row r="23" ht="18" customHeight="1">
      <c r="B23" s="3" t="inlineStr">
        <is>
          <t>ВП/ед    = Розн. цена - Закуп. цена</t>
        </is>
      </c>
    </row>
    <row r="24" ht="18" customHeight="1">
      <c r="B24" s="3" t="inlineStr">
        <is>
          <t>Цена по целевой марже (С5): Цена = Закупочная цена / (1 - Целевая маржа)</t>
        </is>
      </c>
    </row>
    <row r="25" ht="18" customHeight="1">
      <c r="B25" s="3" t="inlineStr">
        <is>
          <t>Необходимый рост продаж = Текущая суммарная ВП / ВП/ед нового сценария - Текущие продажи</t>
        </is>
      </c>
    </row>
    <row r="27" ht="20" customHeight="1">
      <c r="B27" s="2" t="inlineStr">
        <is>
          <t>ЦВЕТОВЫЕ ОБОЗНАЧЕНИЯ</t>
        </is>
      </c>
    </row>
    <row r="28" ht="18" customHeight="1">
      <c r="B28" s="4" t="inlineStr">
        <is>
          <t>Синий текст</t>
        </is>
      </c>
      <c r="E28" s="5" t="inlineStr">
        <is>
          <t>Поле ручного ввода - вводить вручную</t>
        </is>
      </c>
    </row>
    <row r="29" ht="18" customHeight="1">
      <c r="B29" s="4" t="inlineStr">
        <is>
          <t>Черный текст</t>
        </is>
      </c>
      <c r="E29" s="5" t="inlineStr">
        <is>
          <t>Формула - не изменять</t>
        </is>
      </c>
    </row>
    <row r="30" ht="18" customHeight="1">
      <c r="B30" s="4" t="inlineStr">
        <is>
          <t>Зеленый фон</t>
        </is>
      </c>
      <c r="E30" s="5" t="inlineStr">
        <is>
          <t>Цена ниже рынка / хорошая маржа</t>
        </is>
      </c>
    </row>
    <row r="31" ht="18" customHeight="1">
      <c r="B31" s="4" t="inlineStr">
        <is>
          <t>Красный фон</t>
        </is>
      </c>
      <c r="E31" s="5" t="inlineStr">
        <is>
          <t>Цена выше рынка / риск потери маржи</t>
        </is>
      </c>
    </row>
    <row r="32" ht="18" customHeight="1">
      <c r="B32" s="4" t="inlineStr">
        <is>
          <t>Желтый фон</t>
        </is>
      </c>
      <c r="E32" s="5" t="inlineStr">
        <is>
          <t>Нейтральная зона / требует внимания</t>
        </is>
      </c>
    </row>
    <row r="34" ht="20" customHeight="1">
      <c r="B34" s="2" t="inlineStr">
        <is>
          <t>НАВИГАЦИЯ</t>
        </is>
      </c>
    </row>
    <row r="35" ht="20" customHeight="1">
      <c r="B35" s="6" t="inlineStr">
        <is>
          <t>📊 Исходные данные</t>
        </is>
      </c>
    </row>
    <row r="36" ht="20" customHeight="1">
      <c r="B36" s="6" t="inlineStr">
        <is>
          <t>🛒 Продажи</t>
        </is>
      </c>
    </row>
    <row r="37" ht="20" customHeight="1">
      <c r="B37" s="6" t="inlineStr">
        <is>
          <t>🔢 Расчеты</t>
        </is>
      </c>
    </row>
    <row r="38" ht="20" customHeight="1">
      <c r="B38" s="6" t="inlineStr">
        <is>
          <t>📈 Dashboard</t>
        </is>
      </c>
    </row>
    <row r="39" ht="20" customHeight="1">
      <c r="B39" s="6" t="inlineStr">
        <is>
          <t>📋 Сценарный анализ</t>
        </is>
      </c>
    </row>
  </sheetData>
  <mergeCells count="37">
    <mergeCell ref="B9:K9"/>
    <mergeCell ref="B15:K15"/>
    <mergeCell ref="B24:K24"/>
    <mergeCell ref="E32:K32"/>
    <mergeCell ref="B20:K20"/>
    <mergeCell ref="B29:D29"/>
    <mergeCell ref="B5:K5"/>
    <mergeCell ref="B36:K36"/>
    <mergeCell ref="B28:D28"/>
    <mergeCell ref="B4:K4"/>
    <mergeCell ref="B35:K35"/>
    <mergeCell ref="B7:K7"/>
    <mergeCell ref="B25:K25"/>
    <mergeCell ref="B30:D30"/>
    <mergeCell ref="B16:K16"/>
    <mergeCell ref="B22:K22"/>
    <mergeCell ref="B18:K18"/>
    <mergeCell ref="B27:K27"/>
    <mergeCell ref="B32:D32"/>
    <mergeCell ref="B21:K21"/>
    <mergeCell ref="E29:K29"/>
    <mergeCell ref="B12:K12"/>
    <mergeCell ref="B39:K39"/>
    <mergeCell ref="B2:K2"/>
    <mergeCell ref="B11:K11"/>
    <mergeCell ref="E28:K28"/>
    <mergeCell ref="B23:K23"/>
    <mergeCell ref="E31:K31"/>
    <mergeCell ref="B8:K8"/>
    <mergeCell ref="B14:K14"/>
    <mergeCell ref="B31:D31"/>
    <mergeCell ref="B17:K17"/>
    <mergeCell ref="E30:K30"/>
    <mergeCell ref="B38:K38"/>
    <mergeCell ref="B34:K34"/>
    <mergeCell ref="B10:K10"/>
    <mergeCell ref="B37:K37"/>
  </mergeCells>
  <hyperlinks>
    <hyperlink ref="B35" location="'📊 Исходные данные'!A1"/>
    <hyperlink ref="B36" location="'🛒 Продажи'!A1"/>
    <hyperlink ref="B37" location="'🔢 Расчеты'!A1"/>
    <hyperlink ref="B38" location="'📈 Dashboard'!B2"/>
    <hyperlink ref="B39" location="'📋 Сценарный анализ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  <col width="14" customWidth="1" min="9" max="9"/>
    <col width="18" customWidth="1" min="10" max="10"/>
    <col width="20" customWidth="1" min="11" max="11"/>
  </cols>
  <sheetData>
    <row r="1" ht="22" customHeight="1">
      <c r="A1" s="7" t="inlineStr">
        <is>
          <t>Наименование</t>
        </is>
      </c>
      <c r="B1" s="7" t="inlineStr">
        <is>
          <t>Штрихкод</t>
        </is>
      </c>
      <c r="C1" s="7" t="inlineStr">
        <is>
          <t>Закупочная_цена</t>
        </is>
      </c>
      <c r="D1" s="7" t="inlineStr">
        <is>
          <t>Розничная_цена_ЗЯ</t>
        </is>
      </c>
      <c r="E1" s="7" t="inlineStr">
        <is>
          <t>Цена_7_Континент</t>
        </is>
      </c>
      <c r="F1" s="7" t="inlineStr">
        <is>
          <t>Цена_Европейский</t>
        </is>
      </c>
      <c r="G1" s="7" t="inlineStr">
        <is>
          <t>Цена_Тропики</t>
        </is>
      </c>
      <c r="H1" s="7" t="inlineStr">
        <is>
          <t>Цена_Мята</t>
        </is>
      </c>
      <c r="I1" s="7" t="inlineStr">
        <is>
          <t>Цена_Отличный</t>
        </is>
      </c>
      <c r="J1" s="7" t="inlineStr">
        <is>
          <t>Цена_Оптовик_Молоток</t>
        </is>
      </c>
      <c r="K1" s="7" t="inlineStr">
        <is>
          <t>Цена_Оптовик_Редукторный</t>
        </is>
      </c>
    </row>
    <row r="2">
      <c r="A2" s="8" t="inlineStr">
        <is>
          <t>Белизна гипохлорид 1л</t>
        </is>
      </c>
      <c r="B2" s="9" t="inlineStr">
        <is>
          <t>4665272570017</t>
        </is>
      </c>
      <c r="C2" s="10" t="n">
        <v>29</v>
      </c>
      <c r="D2" s="10" t="n">
        <v>39</v>
      </c>
      <c r="E2" s="10" t="n"/>
      <c r="F2" s="10" t="n">
        <v>55</v>
      </c>
      <c r="G2" s="10" t="n"/>
      <c r="H2" s="10" t="n"/>
      <c r="I2" s="10" t="n">
        <v>52</v>
      </c>
      <c r="J2" s="10" t="n">
        <v>41</v>
      </c>
      <c r="K2" s="10" t="n"/>
    </row>
    <row r="3">
      <c r="A3" s="8" t="inlineStr">
        <is>
          <t>Гель белизна Санфор 3в1 700мл</t>
        </is>
      </c>
      <c r="B3" s="9" t="inlineStr">
        <is>
          <t>4602984001637</t>
        </is>
      </c>
      <c r="C3" s="10" t="n">
        <v>87.83</v>
      </c>
      <c r="D3" s="10" t="n">
        <v>119</v>
      </c>
      <c r="E3" s="10" t="n"/>
      <c r="F3" s="10" t="n"/>
      <c r="G3" s="10" t="n"/>
      <c r="H3" s="10" t="n">
        <v>131</v>
      </c>
      <c r="I3" s="10" t="n"/>
      <c r="J3" s="10" t="n">
        <v>110</v>
      </c>
      <c r="K3" s="10" t="n"/>
    </row>
    <row r="4">
      <c r="A4" s="8" t="inlineStr">
        <is>
          <t>Гель Ласка 1л для Черного Эффект восстановления</t>
        </is>
      </c>
      <c r="B4" s="9" t="inlineStr">
        <is>
          <t>9000101409321</t>
        </is>
      </c>
      <c r="C4" s="10" t="n">
        <v>236.18</v>
      </c>
      <c r="D4" s="10" t="n">
        <v>339</v>
      </c>
      <c r="E4" s="10" t="n"/>
      <c r="F4" s="10" t="n">
        <v>349</v>
      </c>
      <c r="G4" s="10" t="n"/>
      <c r="H4" s="10" t="n">
        <v>301</v>
      </c>
      <c r="I4" s="10" t="n"/>
      <c r="J4" s="10" t="n">
        <v>265</v>
      </c>
      <c r="K4" s="10" t="n"/>
    </row>
    <row r="5">
      <c r="A5" s="8" t="inlineStr">
        <is>
          <t>Кондиционер ABC для белья 1440мл Элегантная Орхидея</t>
        </is>
      </c>
      <c r="B5" s="9" t="inlineStr">
        <is>
          <t>8690511000983</t>
        </is>
      </c>
      <c r="C5" s="10" t="n">
        <v>235</v>
      </c>
      <c r="D5" s="10" t="n">
        <v>289</v>
      </c>
      <c r="E5" s="10" t="n"/>
      <c r="F5" s="10" t="n">
        <v>285</v>
      </c>
      <c r="G5" s="10" t="n"/>
      <c r="H5" s="10" t="n">
        <v>288</v>
      </c>
      <c r="I5" s="10" t="n"/>
      <c r="J5" s="10" t="n">
        <v>240</v>
      </c>
      <c r="K5" s="10" t="n">
        <v>230</v>
      </c>
    </row>
    <row r="6">
      <c r="A6" s="8" t="inlineStr">
        <is>
          <t>Порошок ABC авт 3кг Лимон</t>
        </is>
      </c>
      <c r="B6" s="9" t="inlineStr">
        <is>
          <t>8690511171614</t>
        </is>
      </c>
      <c r="C6" s="10" t="n">
        <v>255</v>
      </c>
      <c r="D6" s="10" t="n">
        <v>385</v>
      </c>
      <c r="E6" s="10" t="n"/>
      <c r="F6" s="10" t="n">
        <v>356</v>
      </c>
      <c r="G6" s="10" t="n"/>
      <c r="H6" s="10" t="n">
        <v>394</v>
      </c>
      <c r="I6" s="10" t="n">
        <v>329</v>
      </c>
      <c r="J6" s="10" t="n"/>
      <c r="K6" s="10" t="n">
        <v>299</v>
      </c>
    </row>
    <row r="7">
      <c r="A7" s="8" t="inlineStr">
        <is>
          <t>Порошок Ариэль авт 3кг Колор</t>
        </is>
      </c>
      <c r="B7" s="9" t="inlineStr">
        <is>
          <t>5413149333437</t>
        </is>
      </c>
      <c r="C7" s="10" t="n">
        <v>496.63</v>
      </c>
      <c r="D7" s="10" t="n">
        <v>599</v>
      </c>
      <c r="E7" s="10" t="n">
        <v>673</v>
      </c>
      <c r="F7" s="10" t="n"/>
      <c r="G7" s="10" t="n"/>
      <c r="H7" s="10" t="n">
        <v>540</v>
      </c>
      <c r="I7" s="10" t="n"/>
      <c r="J7" s="10" t="n">
        <v>490</v>
      </c>
      <c r="K7" s="10" t="n"/>
    </row>
    <row r="8">
      <c r="A8" s="8" t="inlineStr">
        <is>
          <t>Отбеливатель Бос плюс Макс 500г</t>
        </is>
      </c>
      <c r="B8" s="9" t="inlineStr">
        <is>
          <t>4600905000332</t>
        </is>
      </c>
      <c r="C8" s="10" t="n">
        <v>127</v>
      </c>
      <c r="D8" s="10" t="n">
        <v>179</v>
      </c>
      <c r="E8" s="10" t="n"/>
      <c r="F8" s="10" t="n"/>
      <c r="G8" s="10" t="n"/>
      <c r="H8" s="10" t="n"/>
      <c r="I8" s="10" t="n">
        <v>191</v>
      </c>
      <c r="J8" s="10" t="n"/>
      <c r="K8" s="10" t="n"/>
    </row>
    <row r="9">
      <c r="A9" s="8" t="inlineStr">
        <is>
          <t>Средство AOS для посуды 450г Лимон</t>
        </is>
      </c>
      <c r="B9" s="9" t="inlineStr">
        <is>
          <t>4604049012305</t>
        </is>
      </c>
      <c r="C9" s="10" t="n">
        <v>67.94</v>
      </c>
      <c r="D9" s="10" t="n">
        <v>85</v>
      </c>
      <c r="E9" s="10" t="n">
        <v>107</v>
      </c>
      <c r="F9" s="10" t="n"/>
      <c r="G9" s="10" t="n"/>
      <c r="H9" s="10" t="n">
        <v>85</v>
      </c>
      <c r="I9" s="10" t="n">
        <v>88</v>
      </c>
      <c r="J9" s="10" t="n">
        <v>80</v>
      </c>
      <c r="K9" s="10" t="n">
        <v>71</v>
      </c>
    </row>
    <row r="10">
      <c r="A10" s="8" t="inlineStr">
        <is>
          <t>Средство AOS для посуды 900г Лимон</t>
        </is>
      </c>
      <c r="B10" s="9" t="inlineStr">
        <is>
          <t>4604049095476</t>
        </is>
      </c>
      <c r="C10" s="10" t="n">
        <v>131.78</v>
      </c>
      <c r="D10" s="10" t="n">
        <v>199</v>
      </c>
      <c r="E10" s="10" t="n"/>
      <c r="F10" s="10" t="n"/>
      <c r="G10" s="10" t="n"/>
      <c r="H10" s="10" t="n">
        <v>169</v>
      </c>
      <c r="I10" s="10" t="n">
        <v>179</v>
      </c>
      <c r="J10" s="10" t="n">
        <v>140</v>
      </c>
      <c r="K10" s="10" t="n">
        <v>138</v>
      </c>
    </row>
    <row r="11">
      <c r="A11" s="8" t="inlineStr">
        <is>
          <t>Средство Грасс Azelit Антижир для кухни спрей 600мл</t>
        </is>
      </c>
      <c r="B11" s="9" t="inlineStr">
        <is>
          <t>4607072197537</t>
        </is>
      </c>
      <c r="C11" s="10" t="n">
        <v>116.07</v>
      </c>
      <c r="D11" s="10" t="n">
        <v>159</v>
      </c>
      <c r="E11" s="10" t="n">
        <v>157</v>
      </c>
      <c r="F11" s="10" t="n"/>
      <c r="G11" s="10" t="n"/>
      <c r="H11" s="10" t="n">
        <v>157</v>
      </c>
      <c r="I11" s="10" t="n"/>
      <c r="J11" s="10" t="n">
        <v>125</v>
      </c>
      <c r="K11" s="10" t="n"/>
    </row>
    <row r="12">
      <c r="A12" s="8" t="inlineStr">
        <is>
          <t>Средство Доместос 1,5л Ультра блеск</t>
        </is>
      </c>
      <c r="B12" s="9" t="inlineStr">
        <is>
          <t>8714100797525</t>
        </is>
      </c>
      <c r="C12" s="10" t="n">
        <v>160.16</v>
      </c>
      <c r="D12" s="10" t="n">
        <v>249</v>
      </c>
      <c r="E12" s="10" t="n"/>
      <c r="F12" s="10" t="n"/>
      <c r="G12" s="10" t="n"/>
      <c r="H12" s="10" t="n"/>
      <c r="I12" s="10" t="n"/>
      <c r="J12" s="10" t="n"/>
      <c r="K12" s="10" t="n"/>
    </row>
    <row r="13">
      <c r="A13" s="8" t="inlineStr">
        <is>
          <t>Средство Доместос 500мл Ультра блеск</t>
        </is>
      </c>
      <c r="B13" s="9" t="inlineStr">
        <is>
          <t>8714100707890</t>
        </is>
      </c>
      <c r="C13" s="10" t="n">
        <v>77.02</v>
      </c>
      <c r="D13" s="10" t="n">
        <v>139</v>
      </c>
      <c r="E13" s="10" t="n"/>
      <c r="F13" s="10" t="n"/>
      <c r="G13" s="10" t="n"/>
      <c r="H13" s="10" t="n">
        <v>124</v>
      </c>
      <c r="I13" s="10" t="n"/>
      <c r="J13" s="10" t="n">
        <v>105</v>
      </c>
      <c r="K13" s="10" t="n"/>
    </row>
    <row r="14">
      <c r="A14" s="8" t="inlineStr">
        <is>
          <t>Кассеты для бритья Жиллетт Фьюжн 4шт</t>
        </is>
      </c>
      <c r="B14" s="9" t="inlineStr">
        <is>
          <t>7702018874460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8" t="inlineStr">
        <is>
          <t>Зубная паста Сплат Профессионал 100г Отбеливание плюс</t>
        </is>
      </c>
      <c r="B15" s="9" t="inlineStr">
        <is>
          <t>4603014023704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8" t="inlineStr">
        <is>
          <t>Мыло жидкое Грасс Milana 1000мл Perfume</t>
        </is>
      </c>
      <c r="B16" s="9" t="inlineStr">
        <is>
          <t>4670113604165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8" t="inlineStr">
        <is>
          <t>Салфетки влажные Мануоки детские 80шт</t>
        </is>
      </c>
      <c r="B17" s="9" t="inlineStr">
        <is>
          <t>4620174812764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8" t="inlineStr">
        <is>
          <t>Полотенца бумажные Папия Декор 3 слоя 2 рулона</t>
        </is>
      </c>
      <c r="B18" s="9" t="inlineStr">
        <is>
          <t>4604857001782</t>
        </is>
      </c>
      <c r="C18" s="10" t="n">
        <v>99.19</v>
      </c>
      <c r="D18" s="10" t="n">
        <v>129</v>
      </c>
      <c r="E18" s="10" t="n"/>
      <c r="F18" s="10" t="n">
        <v>134</v>
      </c>
      <c r="G18" s="10" t="n"/>
      <c r="H18" s="10" t="n">
        <v>127</v>
      </c>
      <c r="I18" s="10" t="n">
        <v>139</v>
      </c>
      <c r="J18" s="10" t="n">
        <v>100</v>
      </c>
      <c r="K18" s="10" t="n"/>
    </row>
    <row r="19">
      <c r="A19" s="8" t="inlineStr">
        <is>
          <t>Туалетная бумага Папия 3сл 4рул белая</t>
        </is>
      </c>
      <c r="B19" s="9" t="inlineStr">
        <is>
          <t>8690536023936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Полотенца бумажные Zemma 2сл 2рул</t>
        </is>
      </c>
      <c r="B20" s="9" t="inlineStr">
        <is>
          <t>4670199857349</t>
        </is>
      </c>
      <c r="C20" s="10" t="n">
        <v>77</v>
      </c>
      <c r="D20" s="10" t="n">
        <v>99</v>
      </c>
      <c r="E20" s="10" t="n"/>
      <c r="F20" s="10" t="n"/>
      <c r="G20" s="10" t="n"/>
      <c r="H20" s="10" t="n"/>
      <c r="I20" s="10" t="n"/>
      <c r="J20" s="10" t="n"/>
      <c r="K20" s="10" t="n"/>
    </row>
    <row r="21">
      <c r="A21" s="8" t="inlineStr">
        <is>
          <t>Туалетная бумага Zemma Плюс 2сл 4шт Белая</t>
        </is>
      </c>
      <c r="B21" s="9" t="inlineStr">
        <is>
          <t>4605331003308</t>
        </is>
      </c>
      <c r="C21" s="10" t="n">
        <v>77</v>
      </c>
      <c r="D21" s="10" t="n">
        <v>99</v>
      </c>
      <c r="E21" s="10" t="n"/>
      <c r="F21" s="10" t="n"/>
      <c r="G21" s="10" t="n"/>
      <c r="H21" s="10" t="n">
        <v>95</v>
      </c>
      <c r="I21" s="10" t="n"/>
      <c r="J21" s="10" t="n">
        <v>90</v>
      </c>
      <c r="K21" s="10" t="n"/>
    </row>
    <row r="22">
      <c r="A22" s="8" t="inlineStr">
        <is>
          <t>Крупа Гречневая (ядрица) Первый сорт 1кг</t>
        </is>
      </c>
      <c r="B22" s="9" t="inlineStr">
        <is>
          <t>2057030071836</t>
        </is>
      </c>
      <c r="C22" s="10" t="n">
        <v>48</v>
      </c>
      <c r="D22" s="10" t="n">
        <v>59</v>
      </c>
      <c r="E22" s="10" t="n">
        <v>75</v>
      </c>
      <c r="F22" s="10" t="n"/>
      <c r="G22" s="10" t="n"/>
      <c r="H22" s="10" t="n"/>
      <c r="I22" s="10" t="n">
        <v>61</v>
      </c>
      <c r="J22" s="10" t="n">
        <v>60</v>
      </c>
      <c r="K22" s="10" t="n"/>
    </row>
    <row r="23">
      <c r="A23" s="8" t="inlineStr">
        <is>
          <t>Крупа Рисовая (рис шлифованный) 1кг</t>
        </is>
      </c>
      <c r="B23" s="9" t="inlineStr">
        <is>
          <t>2058077055810</t>
        </is>
      </c>
      <c r="C23" s="10" t="n">
        <v>60</v>
      </c>
      <c r="D23" s="10" t="n">
        <v>79</v>
      </c>
      <c r="E23" s="10" t="n">
        <v>87</v>
      </c>
      <c r="F23" s="10" t="n"/>
      <c r="G23" s="10" t="n"/>
      <c r="H23" s="10" t="n"/>
      <c r="I23" s="10" t="n">
        <v>91</v>
      </c>
      <c r="J23" s="10" t="n">
        <v>80</v>
      </c>
      <c r="K23" s="10" t="n">
        <v>80</v>
      </c>
    </row>
    <row r="24">
      <c r="A24" s="8" t="inlineStr">
        <is>
          <t>Крупа Увелка Гречневая Экстра 800г</t>
        </is>
      </c>
      <c r="B24" s="9" t="inlineStr">
        <is>
          <t>4607016240893</t>
        </is>
      </c>
      <c r="C24" s="10" t="n">
        <v>71.34999999999999</v>
      </c>
      <c r="D24" s="10" t="n">
        <v>89</v>
      </c>
      <c r="E24" s="10" t="n">
        <v>99</v>
      </c>
      <c r="F24" s="10" t="n">
        <v>94</v>
      </c>
      <c r="G24" s="10" t="n">
        <v>100</v>
      </c>
      <c r="H24" s="10" t="n">
        <v>89</v>
      </c>
      <c r="I24" s="10" t="n">
        <v>91</v>
      </c>
      <c r="J24" s="10" t="n">
        <v>90</v>
      </c>
      <c r="K24" s="10" t="n"/>
    </row>
    <row r="25">
      <c r="A25" s="8" t="inlineStr">
        <is>
          <t>Мак изд Барилла №5 Спагетти 450г</t>
        </is>
      </c>
      <c r="B25" s="9" t="inlineStr">
        <is>
          <t>8076809576093</t>
        </is>
      </c>
      <c r="C25" s="10" t="n">
        <v>81.79000000000001</v>
      </c>
      <c r="D25" s="10" t="n">
        <v>119</v>
      </c>
      <c r="E25" s="10" t="n">
        <v>95</v>
      </c>
      <c r="F25" s="10" t="n">
        <v>100</v>
      </c>
      <c r="G25" s="10" t="n">
        <v>135</v>
      </c>
      <c r="H25" s="10" t="n">
        <v>94</v>
      </c>
      <c r="I25" s="10" t="n">
        <v>96</v>
      </c>
      <c r="J25" s="10" t="n">
        <v>105</v>
      </c>
      <c r="K25" s="10" t="n">
        <v>92</v>
      </c>
    </row>
    <row r="26">
      <c r="A26" s="8" t="inlineStr">
        <is>
          <t>Мак изд Барилла №98 Фузилли 450г</t>
        </is>
      </c>
      <c r="B26" s="9" t="inlineStr">
        <is>
          <t>8076809576000</t>
        </is>
      </c>
      <c r="C26" s="10" t="n">
        <v>81.79000000000001</v>
      </c>
      <c r="D26" s="10" t="n">
        <v>119</v>
      </c>
      <c r="E26" s="10" t="n">
        <v>108</v>
      </c>
      <c r="F26" s="10" t="n">
        <v>109</v>
      </c>
      <c r="G26" s="10" t="n">
        <v>115</v>
      </c>
      <c r="H26" s="10" t="n">
        <v>122</v>
      </c>
      <c r="I26" s="10" t="n">
        <v>199</v>
      </c>
      <c r="J26" s="10" t="n">
        <v>105</v>
      </c>
      <c r="K26" s="10" t="n">
        <v>92</v>
      </c>
    </row>
    <row r="27">
      <c r="A27" s="8" t="inlineStr">
        <is>
          <t>Мак изд Макфа Спагетти 400г</t>
        </is>
      </c>
      <c r="B27" s="9" t="inlineStr">
        <is>
          <t>4601780010508</t>
        </is>
      </c>
      <c r="C27" s="10" t="n">
        <v>49.51</v>
      </c>
      <c r="D27" s="10" t="n">
        <v>65</v>
      </c>
      <c r="E27" s="10" t="n">
        <v>68</v>
      </c>
      <c r="F27" s="10" t="n">
        <v>64</v>
      </c>
      <c r="G27" s="10" t="n"/>
      <c r="H27" s="10" t="n">
        <v>77</v>
      </c>
      <c r="I27" s="10" t="n">
        <v>61</v>
      </c>
      <c r="J27" s="10" t="n">
        <v>80</v>
      </c>
      <c r="K27" s="10" t="n">
        <v>57</v>
      </c>
    </row>
    <row r="28">
      <c r="A28" s="8" t="inlineStr">
        <is>
          <t>Мак изд Макфа Спирали 400г</t>
        </is>
      </c>
      <c r="B28" s="9" t="inlineStr">
        <is>
          <t>4601780006990</t>
        </is>
      </c>
      <c r="C28" s="10" t="n">
        <v>49.51</v>
      </c>
      <c r="D28" s="10" t="n">
        <v>65</v>
      </c>
      <c r="E28" s="10" t="n">
        <v>68</v>
      </c>
      <c r="F28" s="10" t="n">
        <v>64</v>
      </c>
      <c r="G28" s="10" t="n">
        <v>68</v>
      </c>
      <c r="H28" s="10" t="n">
        <v>63</v>
      </c>
      <c r="I28" s="10" t="n">
        <v>62</v>
      </c>
      <c r="J28" s="10" t="n">
        <v>62</v>
      </c>
      <c r="K28" s="10" t="n">
        <v>56</v>
      </c>
    </row>
    <row r="29">
      <c r="A29" s="8" t="inlineStr">
        <is>
          <t>Мука Макфа в/с 2кг</t>
        </is>
      </c>
      <c r="B29" s="9" t="inlineStr">
        <is>
          <t>4601780002565</t>
        </is>
      </c>
      <c r="C29" s="10" t="n">
        <v>93</v>
      </c>
      <c r="D29" s="10" t="n">
        <v>119</v>
      </c>
      <c r="E29" s="10" t="n">
        <v>139</v>
      </c>
      <c r="F29" s="10" t="n">
        <v>107</v>
      </c>
      <c r="G29" s="10" t="n">
        <v>140</v>
      </c>
      <c r="H29" s="10" t="n">
        <v>157</v>
      </c>
      <c r="I29" s="10" t="n">
        <v>108</v>
      </c>
      <c r="J29" s="10" t="n">
        <v>130</v>
      </c>
      <c r="K29" s="10" t="n"/>
    </row>
    <row r="30">
      <c r="A30" s="8" t="inlineStr">
        <is>
          <t>Мука Снежана в/с 2кг</t>
        </is>
      </c>
      <c r="B30" s="9" t="inlineStr">
        <is>
          <t>1905000299036</t>
        </is>
      </c>
      <c r="C30" s="10" t="n">
        <v>83.16</v>
      </c>
      <c r="D30" s="10" t="n">
        <v>99</v>
      </c>
      <c r="E30" s="10" t="n"/>
      <c r="F30" s="10" t="n"/>
      <c r="G30" s="10" t="n">
        <v>110</v>
      </c>
      <c r="H30" s="10" t="n">
        <v>116</v>
      </c>
      <c r="I30" s="10" t="n">
        <v>108</v>
      </c>
      <c r="J30" s="10" t="n">
        <v>90</v>
      </c>
      <c r="K30" s="10" t="n"/>
    </row>
    <row r="31">
      <c r="A31" s="8" t="inlineStr">
        <is>
          <t>Рис Агроальянс для плова 900г</t>
        </is>
      </c>
      <c r="B31" s="9" t="inlineStr">
        <is>
          <t>4607072711535</t>
        </is>
      </c>
      <c r="C31" s="10" t="n">
        <v>116.5</v>
      </c>
      <c r="D31" s="10" t="n">
        <v>135</v>
      </c>
      <c r="E31" s="10" t="n"/>
      <c r="F31" s="10" t="n">
        <v>202</v>
      </c>
      <c r="G31" s="10" t="n"/>
      <c r="H31" s="10" t="n"/>
      <c r="I31" s="10" t="n">
        <v>197</v>
      </c>
      <c r="J31" s="10" t="n">
        <v>145</v>
      </c>
      <c r="K31" s="10" t="n"/>
    </row>
    <row r="32">
      <c r="A32" s="8" t="inlineStr">
        <is>
          <t>Рис Дарман шлифованный Премиум 2кг</t>
        </is>
      </c>
      <c r="B32" s="9" t="inlineStr">
        <is>
          <t>4607157483784</t>
        </is>
      </c>
      <c r="C32" s="10" t="n">
        <v>240</v>
      </c>
      <c r="D32" s="10" t="n">
        <v>299</v>
      </c>
      <c r="E32" s="10" t="n"/>
      <c r="F32" s="10" t="n">
        <v>310</v>
      </c>
      <c r="G32" s="10" t="n"/>
      <c r="H32" s="10" t="n"/>
      <c r="I32" s="10" t="n">
        <v>293</v>
      </c>
      <c r="J32" s="10" t="n">
        <v>265</v>
      </c>
      <c r="K32" s="10" t="n"/>
    </row>
    <row r="33">
      <c r="A33" s="8" t="inlineStr">
        <is>
          <t>Рис Дарман шлифованный Экстра 800г</t>
        </is>
      </c>
      <c r="B33" s="9" t="inlineStr">
        <is>
          <t>4607157483029</t>
        </is>
      </c>
      <c r="C33" s="10" t="n">
        <v>91.5</v>
      </c>
      <c r="D33" s="10" t="n">
        <v>115</v>
      </c>
      <c r="E33" s="10" t="n">
        <v>113</v>
      </c>
      <c r="F33" s="10" t="n">
        <v>123</v>
      </c>
      <c r="G33" s="10" t="n">
        <v>120</v>
      </c>
      <c r="H33" s="10" t="n"/>
      <c r="I33" s="10" t="n"/>
      <c r="J33" s="10" t="n">
        <v>110</v>
      </c>
      <c r="K33" s="10" t="n"/>
    </row>
    <row r="34">
      <c r="A34" s="8" t="inlineStr">
        <is>
          <t>Рис Тамаша MIAD Индия мешочек 1кг</t>
        </is>
      </c>
      <c r="B34" s="9" t="inlineStr">
        <is>
          <t>8906010700720</t>
        </is>
      </c>
      <c r="C34" s="10" t="n">
        <v>165</v>
      </c>
      <c r="D34" s="10" t="n">
        <v>249</v>
      </c>
      <c r="E34" s="10" t="n">
        <v>250</v>
      </c>
      <c r="F34" s="10" t="n"/>
      <c r="G34" s="10" t="n">
        <v>245</v>
      </c>
      <c r="H34" s="10" t="n">
        <v>244</v>
      </c>
      <c r="I34" s="10" t="n">
        <v>238</v>
      </c>
      <c r="J34" s="10" t="n">
        <v>230</v>
      </c>
      <c r="K34" s="10" t="n"/>
    </row>
    <row r="35">
      <c r="A35" s="8" t="inlineStr">
        <is>
          <t>Сахар песок 1кг</t>
        </is>
      </c>
      <c r="B35" s="9" t="inlineStr">
        <is>
          <t>2067468029354</t>
        </is>
      </c>
      <c r="C35" s="10" t="n">
        <v>58.9</v>
      </c>
      <c r="D35" s="10" t="n">
        <v>65</v>
      </c>
      <c r="E35" s="10" t="n">
        <v>60</v>
      </c>
      <c r="F35" s="10" t="n">
        <v>64</v>
      </c>
      <c r="G35" s="10" t="n">
        <v>85</v>
      </c>
      <c r="H35" s="10" t="n"/>
      <c r="I35" s="10" t="n">
        <v>78</v>
      </c>
      <c r="J35" s="10" t="n">
        <v>80</v>
      </c>
      <c r="K35" s="10" t="n"/>
    </row>
    <row r="36">
      <c r="A36" s="8" t="inlineStr">
        <is>
          <t>Сода пищевая 500г</t>
        </is>
      </c>
      <c r="B36" s="9" t="inlineStr">
        <is>
          <t>4640001890031</t>
        </is>
      </c>
      <c r="C36" s="10" t="n">
        <v>38.16</v>
      </c>
      <c r="D36" s="10" t="n">
        <v>55</v>
      </c>
      <c r="E36" s="10" t="n">
        <v>55</v>
      </c>
      <c r="F36" s="10" t="n">
        <v>56</v>
      </c>
      <c r="G36" s="10" t="n">
        <v>55</v>
      </c>
      <c r="H36" s="10" t="n">
        <v>52</v>
      </c>
      <c r="I36" s="10" t="n">
        <v>53</v>
      </c>
      <c r="J36" s="10" t="n">
        <v>50</v>
      </c>
      <c r="K36" s="10" t="n"/>
    </row>
    <row r="37">
      <c r="A37" s="8" t="inlineStr">
        <is>
          <t>Соль поваренная пищевая Помол №1 1кг Руссоль</t>
        </is>
      </c>
      <c r="B37" s="9" t="inlineStr">
        <is>
          <t>4610007350228</t>
        </is>
      </c>
      <c r="C37" s="10" t="n">
        <v>9.32</v>
      </c>
      <c r="D37" s="10" t="n">
        <v>17</v>
      </c>
      <c r="E37" s="10" t="n">
        <v>28</v>
      </c>
      <c r="F37" s="10" t="n">
        <v>22</v>
      </c>
      <c r="G37" s="10" t="n">
        <v>20</v>
      </c>
      <c r="H37" s="10" t="n">
        <v>19</v>
      </c>
      <c r="I37" s="10" t="n">
        <v>21</v>
      </c>
      <c r="J37" s="10" t="n">
        <v>18</v>
      </c>
      <c r="K37" s="10" t="n">
        <v>16</v>
      </c>
    </row>
    <row r="38">
      <c r="A38" s="8" t="inlineStr">
        <is>
          <t>Соль Экстра йодированная 500г</t>
        </is>
      </c>
      <c r="B38" s="9" t="inlineStr">
        <is>
          <t>4607005090126</t>
        </is>
      </c>
      <c r="C38" s="10" t="n">
        <v>65.38</v>
      </c>
      <c r="D38" s="10" t="n">
        <v>85</v>
      </c>
      <c r="E38" s="10" t="n"/>
      <c r="F38" s="10" t="n">
        <v>84</v>
      </c>
      <c r="G38" s="10" t="n"/>
      <c r="H38" s="10" t="n"/>
      <c r="I38" s="10" t="n">
        <v>81</v>
      </c>
      <c r="J38" s="10" t="n">
        <v>55</v>
      </c>
      <c r="K38" s="10" t="n"/>
    </row>
    <row r="39">
      <c r="A39" s="8" t="inlineStr">
        <is>
          <t>Пюре Агуша фруктовое пауч 160г Яблоко банан клубн земляника злаки</t>
        </is>
      </c>
      <c r="B39" s="9" t="inlineStr">
        <is>
          <t>4690228110771</t>
        </is>
      </c>
      <c r="C39" s="10" t="n">
        <v>63.16</v>
      </c>
      <c r="D39" s="10" t="n">
        <v>79</v>
      </c>
      <c r="E39" s="10" t="n"/>
      <c r="F39" s="10" t="n"/>
      <c r="G39" s="10" t="n"/>
      <c r="H39" s="10" t="n">
        <v>76</v>
      </c>
      <c r="I39" s="10" t="n">
        <v>80</v>
      </c>
      <c r="J39" s="10" t="n">
        <v>75</v>
      </c>
      <c r="K39" s="10" t="n"/>
    </row>
    <row r="40">
      <c r="A40" s="8" t="inlineStr">
        <is>
          <t>Пюре ФрутоНяня 90г Яблоко натур. 4 мес д/пак</t>
        </is>
      </c>
      <c r="B40" s="9" t="inlineStr">
        <is>
          <t>4600338006130</t>
        </is>
      </c>
      <c r="C40" s="10" t="n">
        <v>47.48</v>
      </c>
      <c r="D40" s="10" t="n">
        <v>59</v>
      </c>
      <c r="E40" s="10" t="n"/>
      <c r="F40" s="10" t="n"/>
      <c r="G40" s="10" t="n"/>
      <c r="H40" s="10" t="n"/>
      <c r="I40" s="10" t="n"/>
      <c r="J40" s="10" t="n">
        <v>45</v>
      </c>
      <c r="K40" s="10" t="n"/>
    </row>
    <row r="41">
      <c r="A41" s="8" t="inlineStr">
        <is>
          <t>Смесь Малютка 2 600г</t>
        </is>
      </c>
      <c r="B41" s="9" t="inlineStr">
        <is>
          <t>4600209011133</t>
        </is>
      </c>
      <c r="C41" s="10" t="n">
        <v>577.03</v>
      </c>
      <c r="D41" s="10" t="n">
        <v>689</v>
      </c>
      <c r="E41" s="10" t="n"/>
      <c r="F41" s="10" t="n"/>
      <c r="G41" s="10" t="n"/>
      <c r="H41" s="10" t="n">
        <v>699</v>
      </c>
      <c r="I41" s="10" t="n">
        <v>732</v>
      </c>
      <c r="J41" s="10" t="n">
        <v>660</v>
      </c>
      <c r="K41" s="10" t="n"/>
    </row>
    <row r="42">
      <c r="A42" s="8" t="inlineStr">
        <is>
          <t>Смесь Нутрилон 2 Премиум 600г с 6-мес молочн Нутриция</t>
        </is>
      </c>
      <c r="B42" s="9" t="inlineStr">
        <is>
          <t>4600209011256</t>
        </is>
      </c>
      <c r="C42" s="10" t="n">
        <v>828.52</v>
      </c>
      <c r="D42" s="10" t="n">
        <v>955</v>
      </c>
      <c r="E42" s="10" t="n"/>
      <c r="F42" s="10" t="n"/>
      <c r="G42" s="10" t="n">
        <v>1095</v>
      </c>
      <c r="H42" s="10" t="n"/>
      <c r="I42" s="10" t="n">
        <v>979</v>
      </c>
      <c r="J42" s="10" t="n">
        <v>935</v>
      </c>
      <c r="K42" s="10" t="n">
        <v>915</v>
      </c>
    </row>
    <row r="43">
      <c r="A43" s="8" t="inlineStr">
        <is>
          <t>Хлебцы Др Корнер Рисовые с молочным шоколадом 67г</t>
        </is>
      </c>
      <c r="B43" s="9" t="inlineStr">
        <is>
          <t>4607065716301</t>
        </is>
      </c>
      <c r="C43" s="10" t="n">
        <v>96.62</v>
      </c>
      <c r="D43" s="10" t="n">
        <v>125</v>
      </c>
      <c r="E43" s="10" t="n">
        <v>130</v>
      </c>
      <c r="F43" s="10" t="n">
        <v>85</v>
      </c>
      <c r="G43" s="10" t="n"/>
      <c r="H43" s="10" t="n">
        <v>119</v>
      </c>
      <c r="I43" s="10" t="n"/>
      <c r="J43" s="10" t="n">
        <v>120</v>
      </c>
      <c r="K43" s="10" t="n"/>
    </row>
    <row r="44">
      <c r="A44" s="8" t="inlineStr">
        <is>
          <t>Хлебцы Др Корнер Рисовые с темным шоколадом 67г</t>
        </is>
      </c>
      <c r="B44" s="9" t="inlineStr">
        <is>
          <t>4607065716288</t>
        </is>
      </c>
      <c r="C44" s="10" t="n">
        <v>96.62</v>
      </c>
      <c r="D44" s="10" t="n">
        <v>125</v>
      </c>
      <c r="E44" s="10" t="n">
        <v>130</v>
      </c>
      <c r="F44" s="10" t="n">
        <v>85</v>
      </c>
      <c r="G44" s="10" t="n"/>
      <c r="H44" s="10" t="n">
        <v>119</v>
      </c>
      <c r="I44" s="10" t="n"/>
      <c r="J44" s="10" t="n">
        <v>120</v>
      </c>
      <c r="K44" s="10" t="n"/>
    </row>
    <row r="45">
      <c r="A45" s="8" t="inlineStr">
        <is>
          <t>Батончик Сникерс 50,5г</t>
        </is>
      </c>
      <c r="B45" s="9" t="inlineStr">
        <is>
          <t>4607065001445</t>
        </is>
      </c>
      <c r="C45" s="10" t="n">
        <v>42.9</v>
      </c>
      <c r="D45" s="10" t="n">
        <v>55</v>
      </c>
      <c r="E45" s="10" t="n">
        <v>55</v>
      </c>
      <c r="F45" s="10" t="n">
        <v>54</v>
      </c>
      <c r="G45" s="10" t="n">
        <v>70</v>
      </c>
      <c r="H45" s="10" t="n">
        <v>59</v>
      </c>
      <c r="I45" s="10" t="n">
        <v>51</v>
      </c>
      <c r="J45" s="10" t="n">
        <v>50</v>
      </c>
      <c r="K45" s="10" t="n">
        <v>48</v>
      </c>
    </row>
    <row r="46">
      <c r="A46" s="8" t="inlineStr">
        <is>
          <t>Драже M&amp;M's 45г с арахисом</t>
        </is>
      </c>
      <c r="B46" s="9" t="inlineStr">
        <is>
          <t>4607065000790</t>
        </is>
      </c>
      <c r="C46" s="10" t="n">
        <v>65.88</v>
      </c>
      <c r="D46" s="10" t="n">
        <v>85</v>
      </c>
      <c r="E46" s="10" t="n">
        <v>80</v>
      </c>
      <c r="F46" s="10" t="n">
        <v>87</v>
      </c>
      <c r="G46" s="10" t="n">
        <v>85</v>
      </c>
      <c r="H46" s="10" t="n">
        <v>73</v>
      </c>
      <c r="I46" s="10" t="n">
        <v>72</v>
      </c>
      <c r="J46" s="10" t="n">
        <v>60</v>
      </c>
      <c r="K46" s="10" t="n">
        <v>59</v>
      </c>
    </row>
    <row r="47">
      <c r="A47" s="8" t="inlineStr">
        <is>
          <t>Киндер Буэно Т30 Ферреро 43г</t>
        </is>
      </c>
      <c r="B47" s="9" t="inlineStr">
        <is>
          <t>80052760</t>
        </is>
      </c>
      <c r="C47" s="10" t="n">
        <v>90.08</v>
      </c>
      <c r="D47" s="10" t="n">
        <v>109</v>
      </c>
      <c r="E47" s="10" t="n">
        <v>116</v>
      </c>
      <c r="F47" s="10" t="n">
        <v>106</v>
      </c>
      <c r="G47" s="10" t="n">
        <v>135</v>
      </c>
      <c r="H47" s="10" t="n"/>
      <c r="I47" s="10" t="n">
        <v>129</v>
      </c>
      <c r="J47" s="10" t="n"/>
      <c r="K47" s="10" t="n">
        <v>80</v>
      </c>
    </row>
    <row r="48">
      <c r="A48" s="8" t="inlineStr">
        <is>
          <t>Конфеты Баунти Минис</t>
        </is>
      </c>
      <c r="B48" s="9" t="inlineStr">
        <is>
          <t>2164599</t>
        </is>
      </c>
      <c r="C48" s="10" t="n">
        <v>700</v>
      </c>
      <c r="D48" s="10" t="n">
        <v>899</v>
      </c>
      <c r="E48" s="10" t="n">
        <v>935</v>
      </c>
      <c r="F48" s="10" t="n">
        <v>934</v>
      </c>
      <c r="G48" s="10" t="n">
        <v>1100</v>
      </c>
      <c r="H48" s="10" t="n">
        <v>925</v>
      </c>
      <c r="I48" s="10" t="n">
        <v>839</v>
      </c>
      <c r="J48" s="10" t="n">
        <v>815</v>
      </c>
      <c r="K48" s="10" t="n"/>
    </row>
    <row r="49">
      <c r="A49" s="8" t="inlineStr">
        <is>
          <t>Конфеты Мерси 250г Ассорти</t>
        </is>
      </c>
      <c r="B49" s="9" t="inlineStr">
        <is>
          <t>4014400901191</t>
        </is>
      </c>
      <c r="C49" s="10" t="n">
        <v>370.3</v>
      </c>
      <c r="D49" s="10" t="n">
        <v>479</v>
      </c>
      <c r="E49" s="10" t="n">
        <v>450</v>
      </c>
      <c r="F49" s="10" t="n">
        <v>431</v>
      </c>
      <c r="G49" s="10" t="n">
        <v>455</v>
      </c>
      <c r="H49" s="10" t="n"/>
      <c r="I49" s="10" t="n"/>
      <c r="J49" s="10" t="n">
        <v>400</v>
      </c>
      <c r="K49" s="10" t="n"/>
    </row>
    <row r="50">
      <c r="A50" s="8" t="inlineStr">
        <is>
          <t>Конфеты Нива К/О</t>
        </is>
      </c>
      <c r="B50" s="9" t="inlineStr">
        <is>
          <t>2174260</t>
        </is>
      </c>
      <c r="C50" s="10" t="n">
        <v>314.26</v>
      </c>
      <c r="D50" s="10" t="n">
        <v>430</v>
      </c>
      <c r="E50" s="10" t="n">
        <v>443</v>
      </c>
      <c r="F50" s="10" t="n">
        <v>402</v>
      </c>
      <c r="G50" s="10" t="n">
        <v>380</v>
      </c>
      <c r="H50" s="10" t="n"/>
      <c r="I50" s="10" t="n">
        <v>376</v>
      </c>
      <c r="J50" s="10" t="n"/>
      <c r="K50" s="10" t="n"/>
    </row>
    <row r="51">
      <c r="A51" s="8" t="inlineStr">
        <is>
          <t>Конфеты Птица Дивная суфле в шоколаде</t>
        </is>
      </c>
      <c r="B51" s="9" t="inlineStr">
        <is>
          <t>2126719</t>
        </is>
      </c>
      <c r="C51" s="10" t="n">
        <v>617.97</v>
      </c>
      <c r="D51" s="10" t="n">
        <v>740</v>
      </c>
      <c r="E51" s="10" t="n">
        <v>689</v>
      </c>
      <c r="F51" s="10" t="n">
        <v>574</v>
      </c>
      <c r="G51" s="10" t="n">
        <v>780</v>
      </c>
      <c r="H51" s="10" t="n"/>
      <c r="I51" s="10" t="n">
        <v>699</v>
      </c>
      <c r="J51" s="10" t="n">
        <v>650</v>
      </c>
      <c r="K51" s="10" t="n"/>
    </row>
    <row r="52">
      <c r="A52" s="8" t="inlineStr">
        <is>
          <t>Конфеты Сникерс Минис</t>
        </is>
      </c>
      <c r="B52" s="9" t="inlineStr">
        <is>
          <t>2176475</t>
        </is>
      </c>
      <c r="C52" s="10" t="n">
        <v>700</v>
      </c>
      <c r="D52" s="10" t="n">
        <v>899</v>
      </c>
      <c r="E52" s="10" t="n">
        <v>935</v>
      </c>
      <c r="F52" s="10" t="n">
        <v>934</v>
      </c>
      <c r="G52" s="10" t="n">
        <v>1043</v>
      </c>
      <c r="H52" s="10" t="n">
        <v>925</v>
      </c>
      <c r="I52" s="10" t="n">
        <v>852</v>
      </c>
      <c r="J52" s="10" t="n">
        <v>815</v>
      </c>
      <c r="K52" s="10" t="n"/>
    </row>
    <row r="53">
      <c r="A53" s="8" t="inlineStr">
        <is>
          <t>Конфеты Тоффифе шоколадные 125г</t>
        </is>
      </c>
      <c r="B53" s="9" t="inlineStr">
        <is>
          <t>4014400400007</t>
        </is>
      </c>
      <c r="C53" s="10" t="n">
        <v>173.68</v>
      </c>
      <c r="D53" s="10" t="n">
        <v>209</v>
      </c>
      <c r="E53" s="10" t="n">
        <v>182</v>
      </c>
      <c r="F53" s="10" t="n">
        <v>190</v>
      </c>
      <c r="G53" s="10" t="n"/>
      <c r="H53" s="10" t="n">
        <v>160</v>
      </c>
      <c r="I53" s="10" t="n">
        <v>199</v>
      </c>
      <c r="J53" s="10" t="n"/>
      <c r="K53" s="10" t="n">
        <v>152</v>
      </c>
    </row>
    <row r="54">
      <c r="A54" s="8" t="inlineStr">
        <is>
          <t>Печенье Кофе джой кофейное 78г</t>
        </is>
      </c>
      <c r="B54" s="9" t="inlineStr">
        <is>
          <t>8996001301760</t>
        </is>
      </c>
      <c r="C54" s="10" t="n">
        <v>88.81999999999999</v>
      </c>
      <c r="D54" s="10" t="n">
        <v>99</v>
      </c>
      <c r="E54" s="10" t="n"/>
      <c r="F54" s="10" t="n">
        <v>111</v>
      </c>
      <c r="G54" s="10" t="n">
        <v>155</v>
      </c>
      <c r="H54" s="10" t="n"/>
      <c r="I54" s="10" t="n">
        <v>95</v>
      </c>
      <c r="J54" s="10" t="n">
        <v>78</v>
      </c>
      <c r="K54" s="10" t="n"/>
    </row>
    <row r="55">
      <c r="A55" s="8" t="inlineStr">
        <is>
          <t>Печенье Милка Чоко Бисквит 150г</t>
        </is>
      </c>
      <c r="B55" s="9" t="inlineStr">
        <is>
          <t>7622300590970</t>
        </is>
      </c>
      <c r="C55" s="10" t="n">
        <v>190</v>
      </c>
      <c r="D55" s="10" t="n">
        <v>249</v>
      </c>
      <c r="E55" s="10" t="n">
        <v>238</v>
      </c>
      <c r="F55" s="10" t="n">
        <v>243</v>
      </c>
      <c r="G55" s="10" t="n"/>
      <c r="H55" s="10" t="n">
        <v>233</v>
      </c>
      <c r="I55" s="10" t="n"/>
      <c r="J55" s="10" t="n"/>
      <c r="K55" s="10" t="n"/>
    </row>
    <row r="56">
      <c r="A56" s="8" t="inlineStr">
        <is>
          <t>Пирожное Медвежонок Барни 150г с молочной начинкой</t>
        </is>
      </c>
      <c r="B56" s="9" t="inlineStr">
        <is>
          <t>4600375914399</t>
        </is>
      </c>
      <c r="C56" s="10" t="n">
        <v>107.43</v>
      </c>
      <c r="D56" s="10" t="n">
        <v>169</v>
      </c>
      <c r="E56" s="10" t="n"/>
      <c r="F56" s="10" t="n">
        <v>132</v>
      </c>
      <c r="G56" s="10" t="n">
        <v>160</v>
      </c>
      <c r="H56" s="10" t="n">
        <v>145</v>
      </c>
      <c r="I56" s="10" t="n">
        <v>127</v>
      </c>
      <c r="J56" s="10" t="n">
        <v>125</v>
      </c>
      <c r="K56" s="10" t="n"/>
    </row>
    <row r="57">
      <c r="A57" s="8" t="inlineStr">
        <is>
          <t>Шоколад Киндер Т4 50г</t>
        </is>
      </c>
      <c r="B57" s="9" t="inlineStr">
        <is>
          <t>80177609</t>
        </is>
      </c>
      <c r="C57" s="10" t="n">
        <v>117</v>
      </c>
      <c r="D57" s="10" t="n">
        <v>139</v>
      </c>
      <c r="E57" s="10" t="n">
        <v>148</v>
      </c>
      <c r="F57" s="10" t="n"/>
      <c r="G57" s="10" t="n">
        <v>145</v>
      </c>
      <c r="H57" s="10" t="n">
        <v>106</v>
      </c>
      <c r="I57" s="10" t="n"/>
      <c r="J57" s="10" t="n">
        <v>90</v>
      </c>
      <c r="K57" s="10" t="n">
        <v>85</v>
      </c>
    </row>
    <row r="58">
      <c r="A58" s="8" t="inlineStr">
        <is>
          <t>Шоколад Милка молочный 80г</t>
        </is>
      </c>
      <c r="B58" s="9" t="inlineStr">
        <is>
          <t>7622202048326</t>
        </is>
      </c>
      <c r="C58" s="10" t="n">
        <v>108.85</v>
      </c>
      <c r="D58" s="10" t="n">
        <v>139</v>
      </c>
      <c r="E58" s="10" t="n"/>
      <c r="F58" s="10" t="n">
        <v>157</v>
      </c>
      <c r="G58" s="10" t="n">
        <v>150</v>
      </c>
      <c r="H58" s="10" t="n">
        <v>134</v>
      </c>
      <c r="I58" s="10" t="n"/>
      <c r="J58" s="10" t="n"/>
      <c r="K58" s="10" t="n">
        <v>111</v>
      </c>
    </row>
    <row r="59">
      <c r="A59" s="8" t="inlineStr">
        <is>
          <t>Шоколадная паста Нутелла ст/б 350г</t>
        </is>
      </c>
      <c r="B59" s="9" t="inlineStr">
        <is>
          <t>8000500004388</t>
        </is>
      </c>
      <c r="C59" s="10" t="n">
        <v>380</v>
      </c>
      <c r="D59" s="10" t="n">
        <v>499</v>
      </c>
      <c r="E59" s="10" t="n">
        <v>693</v>
      </c>
      <c r="F59" s="10" t="n">
        <v>693</v>
      </c>
      <c r="G59" s="10" t="n">
        <v>540</v>
      </c>
      <c r="H59" s="10" t="n">
        <v>474</v>
      </c>
      <c r="I59" s="10" t="n">
        <v>665</v>
      </c>
      <c r="J59" s="10" t="n"/>
      <c r="K59" s="10" t="n">
        <v>304</v>
      </c>
    </row>
    <row r="60">
      <c r="A60" s="8" t="inlineStr">
        <is>
          <t>Какао порошок Золотой ярлык 100г К/О</t>
        </is>
      </c>
      <c r="B60" s="9" t="inlineStr">
        <is>
          <t>4600300000739</t>
        </is>
      </c>
      <c r="C60" s="10" t="n">
        <v>91.65000000000001</v>
      </c>
      <c r="D60" s="10" t="n">
        <v>125</v>
      </c>
      <c r="E60" s="10" t="n"/>
      <c r="F60" s="10" t="n"/>
      <c r="G60" s="10" t="n">
        <v>145</v>
      </c>
      <c r="H60" s="10" t="n">
        <v>135</v>
      </c>
      <c r="I60" s="10" t="n">
        <v>134</v>
      </c>
      <c r="J60" s="10" t="n"/>
      <c r="K60" s="10" t="n"/>
    </row>
    <row r="61">
      <c r="A61" s="8" t="inlineStr">
        <is>
          <t>Кофе Бушидо Оригинал ст/б 100г</t>
        </is>
      </c>
      <c r="B61" s="9" t="inlineStr">
        <is>
          <t>7610121710318</t>
        </is>
      </c>
      <c r="C61" s="10" t="n">
        <v>648.1900000000001</v>
      </c>
      <c r="D61" s="10" t="n">
        <v>899</v>
      </c>
      <c r="E61" s="10" t="n">
        <v>895</v>
      </c>
      <c r="F61" s="10" t="n">
        <v>925</v>
      </c>
      <c r="G61" s="10" t="n">
        <v>895</v>
      </c>
      <c r="H61" s="10" t="n">
        <v>890</v>
      </c>
      <c r="I61" s="10" t="n">
        <v>924</v>
      </c>
      <c r="J61" s="10" t="n"/>
      <c r="K61" s="10" t="n"/>
    </row>
    <row r="62">
      <c r="A62" s="8" t="inlineStr">
        <is>
          <t>Кофе Мехмет Эфенди молотый по турецки банка 250г</t>
        </is>
      </c>
      <c r="B62" s="9" t="inlineStr">
        <is>
          <t>8690627023401</t>
        </is>
      </c>
      <c r="C62" s="10" t="n">
        <v>487.2</v>
      </c>
      <c r="D62" s="10" t="n">
        <v>649</v>
      </c>
      <c r="E62" s="10" t="n">
        <v>668</v>
      </c>
      <c r="F62" s="10" t="n">
        <v>548</v>
      </c>
      <c r="G62" s="10" t="n">
        <v>570</v>
      </c>
      <c r="H62" s="10" t="n">
        <v>581</v>
      </c>
      <c r="I62" s="10" t="n"/>
      <c r="J62" s="10" t="n">
        <v>480</v>
      </c>
      <c r="K62" s="10" t="n"/>
    </row>
    <row r="63">
      <c r="A63" s="8" t="inlineStr">
        <is>
          <t>Чай Джамал черный Эрл Грей 450г</t>
        </is>
      </c>
      <c r="B63" s="9" t="inlineStr">
        <is>
          <t>4796003453955</t>
        </is>
      </c>
      <c r="C63" s="10" t="n">
        <v>590</v>
      </c>
      <c r="D63" s="10" t="n">
        <v>759</v>
      </c>
      <c r="E63" s="10" t="n">
        <v>720</v>
      </c>
      <c r="F63" s="10" t="n">
        <v>752</v>
      </c>
      <c r="G63" s="10" t="n">
        <v>755</v>
      </c>
      <c r="H63" s="10" t="n">
        <v>750</v>
      </c>
      <c r="I63" s="10" t="n">
        <v>684</v>
      </c>
      <c r="J63" s="10" t="n"/>
      <c r="K63" s="10" t="n">
        <v>667</v>
      </c>
    </row>
    <row r="64">
      <c r="A64" s="8" t="inlineStr">
        <is>
          <t>Чай Джамбо черный отборн кр/л 250г</t>
        </is>
      </c>
      <c r="B64" s="9" t="inlineStr">
        <is>
          <t>4791038627272</t>
        </is>
      </c>
      <c r="C64" s="10" t="n">
        <v>350</v>
      </c>
      <c r="D64" s="10" t="n">
        <v>439</v>
      </c>
      <c r="E64" s="10" t="n">
        <v>530</v>
      </c>
      <c r="F64" s="10" t="n">
        <v>320</v>
      </c>
      <c r="G64" s="10" t="n">
        <v>415</v>
      </c>
      <c r="H64" s="10" t="n">
        <v>400</v>
      </c>
      <c r="I64" s="10" t="n">
        <v>384</v>
      </c>
      <c r="J64" s="10" t="n">
        <v>370</v>
      </c>
      <c r="K64" s="10" t="n"/>
    </row>
    <row r="65">
      <c r="A65" s="8" t="inlineStr">
        <is>
          <t>Чай Ричард Лорд Грей черный 180г</t>
        </is>
      </c>
      <c r="B65" s="9" t="inlineStr">
        <is>
          <t>4660115901317</t>
        </is>
      </c>
      <c r="C65" s="10" t="n">
        <v>219.83</v>
      </c>
      <c r="D65" s="10" t="n">
        <v>299</v>
      </c>
      <c r="E65" s="10" t="n">
        <v>259</v>
      </c>
      <c r="F65" s="10" t="n">
        <v>266</v>
      </c>
      <c r="G65" s="10" t="n">
        <v>295</v>
      </c>
      <c r="H65" s="10" t="n">
        <v>296</v>
      </c>
      <c r="I65" s="10" t="n"/>
      <c r="J65" s="10" t="n"/>
      <c r="K65" s="10" t="n"/>
    </row>
    <row r="66">
      <c r="A66" s="8" t="inlineStr">
        <is>
          <t>Горошек Бондюэль зеленый ж/б 425мл</t>
        </is>
      </c>
      <c r="B66" s="9" t="inlineStr">
        <is>
          <t>3083680048774</t>
        </is>
      </c>
      <c r="C66" s="10" t="n">
        <v>115</v>
      </c>
      <c r="D66" s="10" t="n">
        <v>149</v>
      </c>
      <c r="E66" s="10" t="n">
        <v>138</v>
      </c>
      <c r="F66" s="10" t="n">
        <v>170</v>
      </c>
      <c r="G66" s="10" t="n"/>
      <c r="H66" s="10" t="n"/>
      <c r="I66" s="10" t="n">
        <v>135</v>
      </c>
      <c r="J66" s="10" t="n"/>
      <c r="K66" s="10" t="n"/>
    </row>
    <row r="67">
      <c r="A67" s="8" t="inlineStr">
        <is>
          <t>Горошек По-Княжески ж/б 420мл кольцо</t>
        </is>
      </c>
      <c r="B67" s="9" t="inlineStr">
        <is>
          <t>4688355676178</t>
        </is>
      </c>
      <c r="C67" s="10" t="n">
        <v>65.7</v>
      </c>
      <c r="D67" s="10" t="n">
        <v>89</v>
      </c>
      <c r="E67" s="10" t="n">
        <v>92</v>
      </c>
      <c r="F67" s="10" t="n">
        <v>84</v>
      </c>
      <c r="G67" s="10" t="n">
        <v>90</v>
      </c>
      <c r="H67" s="10" t="n">
        <v>69</v>
      </c>
      <c r="I67" s="10" t="n">
        <v>83</v>
      </c>
      <c r="J67" s="10" t="n">
        <v>80</v>
      </c>
      <c r="K67" s="10" t="n">
        <v>80</v>
      </c>
    </row>
    <row r="68">
      <c r="A68" s="8" t="inlineStr">
        <is>
          <t>Грибы Опята Кормилица маринов ст/б 580мл</t>
        </is>
      </c>
      <c r="B68" s="9" t="inlineStr">
        <is>
          <t>4606530003465</t>
        </is>
      </c>
      <c r="C68" s="10" t="n">
        <v>201.96</v>
      </c>
      <c r="D68" s="10" t="n">
        <v>239</v>
      </c>
      <c r="E68" s="10" t="n">
        <v>245</v>
      </c>
      <c r="F68" s="10" t="n"/>
      <c r="G68" s="10" t="n">
        <v>260</v>
      </c>
      <c r="H68" s="10" t="n"/>
      <c r="I68" s="10" t="n">
        <v>229</v>
      </c>
      <c r="J68" s="10" t="n">
        <v>215</v>
      </c>
      <c r="K68" s="10" t="n">
        <v>211</v>
      </c>
    </row>
    <row r="69">
      <c r="A69" s="8" t="inlineStr">
        <is>
          <t>Корнишоны По-Княжески 6-9см 670г евро</t>
        </is>
      </c>
      <c r="B69" s="9" t="inlineStr">
        <is>
          <t>4630017929832</t>
        </is>
      </c>
      <c r="C69" s="10" t="n">
        <v>123.25</v>
      </c>
      <c r="D69" s="10" t="n">
        <v>149</v>
      </c>
      <c r="E69" s="10" t="n">
        <v>148</v>
      </c>
      <c r="F69" s="10" t="n">
        <v>148</v>
      </c>
      <c r="G69" s="10" t="n"/>
      <c r="H69" s="10" t="n"/>
      <c r="I69" s="10" t="n">
        <v>145</v>
      </c>
      <c r="J69" s="10" t="n">
        <v>145</v>
      </c>
      <c r="K69" s="10" t="n"/>
    </row>
    <row r="70">
      <c r="A70" s="8" t="inlineStr">
        <is>
          <t>Кукуруза Бондюэль ж/б 425мл</t>
        </is>
      </c>
      <c r="B70" s="9" t="inlineStr">
        <is>
          <t>3083680002875</t>
        </is>
      </c>
      <c r="C70" s="10" t="n">
        <v>115</v>
      </c>
      <c r="D70" s="10" t="n">
        <v>149</v>
      </c>
      <c r="E70" s="10" t="n">
        <v>138</v>
      </c>
      <c r="F70" s="10" t="n">
        <v>170</v>
      </c>
      <c r="G70" s="10" t="n"/>
      <c r="H70" s="10" t="n"/>
      <c r="I70" s="10" t="n">
        <v>138</v>
      </c>
      <c r="J70" s="10" t="n"/>
      <c r="K70" s="10" t="n"/>
    </row>
    <row r="71">
      <c r="A71" s="8" t="inlineStr">
        <is>
          <t>Кукуруза Кормилица ж/б 425мл ключ</t>
        </is>
      </c>
      <c r="B71" s="9" t="inlineStr">
        <is>
          <t>4606530004035</t>
        </is>
      </c>
      <c r="C71" s="10" t="n">
        <v>81</v>
      </c>
      <c r="D71" s="10" t="n">
        <v>99</v>
      </c>
      <c r="E71" s="10" t="n">
        <v>89</v>
      </c>
      <c r="F71" s="10" t="n"/>
      <c r="G71" s="10" t="n">
        <v>115</v>
      </c>
      <c r="H71" s="10" t="n"/>
      <c r="I71" s="10" t="n">
        <v>99</v>
      </c>
      <c r="J71" s="10" t="n">
        <v>85</v>
      </c>
      <c r="K71" s="10" t="n">
        <v>88</v>
      </c>
    </row>
    <row r="72">
      <c r="A72" s="8" t="inlineStr">
        <is>
          <t>Кукуруза По-Княжески ж/б 425мл</t>
        </is>
      </c>
      <c r="B72" s="9" t="inlineStr">
        <is>
          <t>4688355676017</t>
        </is>
      </c>
      <c r="C72" s="10" t="n">
        <v>74.8</v>
      </c>
      <c r="D72" s="10" t="n">
        <v>99</v>
      </c>
      <c r="E72" s="10" t="n">
        <v>105</v>
      </c>
      <c r="F72" s="10" t="n">
        <v>100</v>
      </c>
      <c r="G72" s="10" t="n"/>
      <c r="H72" s="10" t="n">
        <v>79</v>
      </c>
      <c r="I72" s="10" t="n">
        <v>96</v>
      </c>
      <c r="J72" s="10" t="n">
        <v>90</v>
      </c>
      <c r="K72" s="10" t="n">
        <v>90</v>
      </c>
    </row>
    <row r="73">
      <c r="A73" s="8" t="inlineStr">
        <is>
          <t>Маслины Лорадо черн б/к ж/б 314мл</t>
        </is>
      </c>
      <c r="B73" s="9" t="inlineStr">
        <is>
          <t>4813515009217</t>
        </is>
      </c>
      <c r="C73" s="10" t="n">
        <v>186.5</v>
      </c>
      <c r="D73" s="10" t="n">
        <v>199</v>
      </c>
      <c r="E73" s="10" t="n"/>
      <c r="F73" s="10" t="n">
        <v>234</v>
      </c>
      <c r="G73" s="10" t="n">
        <v>240</v>
      </c>
      <c r="H73" s="10" t="n"/>
      <c r="I73" s="10" t="n"/>
      <c r="J73" s="10" t="n"/>
      <c r="K73" s="10" t="n"/>
    </row>
    <row r="74">
      <c r="A74" s="8" t="inlineStr">
        <is>
          <t>Томатная паста Краснодарочка 25% ст/б 510г</t>
        </is>
      </c>
      <c r="B74" s="9" t="inlineStr">
        <is>
          <t>4607025591368</t>
        </is>
      </c>
      <c r="C74" s="10" t="n">
        <v>132.29</v>
      </c>
      <c r="D74" s="10" t="n">
        <v>165</v>
      </c>
      <c r="E74" s="10" t="n">
        <v>164</v>
      </c>
      <c r="F74" s="10" t="n"/>
      <c r="G74" s="10" t="n"/>
      <c r="H74" s="10" t="n"/>
      <c r="I74" s="10" t="n"/>
      <c r="J74" s="10" t="n"/>
      <c r="K74" s="10" t="n"/>
    </row>
    <row r="75">
      <c r="A75" s="8" t="inlineStr">
        <is>
          <t>Фасоль Бондюэль красная ж/б 425мл</t>
        </is>
      </c>
      <c r="B75" s="9" t="inlineStr">
        <is>
          <t>3083680009508</t>
        </is>
      </c>
      <c r="C75" s="10" t="n">
        <v>111</v>
      </c>
      <c r="D75" s="10" t="n">
        <v>159</v>
      </c>
      <c r="E75" s="10" t="n">
        <v>148</v>
      </c>
      <c r="F75" s="10" t="n"/>
      <c r="G75" s="10" t="n">
        <v>200</v>
      </c>
      <c r="H75" s="10" t="n"/>
      <c r="I75" s="10" t="n">
        <v>133</v>
      </c>
      <c r="J75" s="10" t="n"/>
      <c r="K75" s="10" t="n"/>
    </row>
    <row r="76">
      <c r="A76" s="8" t="inlineStr">
        <is>
          <t>Фасоль Кормилица красная ж/б 425мл</t>
        </is>
      </c>
      <c r="B76" s="9" t="inlineStr">
        <is>
          <t>4606530472865</t>
        </is>
      </c>
      <c r="C76" s="10" t="n">
        <v>76.5</v>
      </c>
      <c r="D76" s="10" t="n">
        <v>99</v>
      </c>
      <c r="E76" s="10" t="n"/>
      <c r="F76" s="10" t="n"/>
      <c r="G76" s="10" t="n">
        <v>105</v>
      </c>
      <c r="H76" s="10" t="n"/>
      <c r="I76" s="10" t="n">
        <v>86</v>
      </c>
      <c r="J76" s="10" t="n">
        <v>75</v>
      </c>
      <c r="K76" s="10" t="n">
        <v>80</v>
      </c>
    </row>
    <row r="77">
      <c r="A77" s="8" t="inlineStr">
        <is>
          <t>Горчица Махеевъ зернистая ст/б 190г</t>
        </is>
      </c>
      <c r="B77" s="9" t="inlineStr">
        <is>
          <t>4604248012632</t>
        </is>
      </c>
      <c r="C77" s="10" t="n">
        <v>68</v>
      </c>
      <c r="D77" s="10" t="n">
        <v>85</v>
      </c>
      <c r="E77" s="10" t="n">
        <v>85</v>
      </c>
      <c r="F77" s="10" t="n"/>
      <c r="G77" s="10" t="n"/>
      <c r="H77" s="10" t="n">
        <v>88</v>
      </c>
      <c r="I77" s="10" t="n">
        <v>84</v>
      </c>
      <c r="J77" s="10" t="n">
        <v>80</v>
      </c>
      <c r="K77" s="10" t="n"/>
    </row>
    <row r="78">
      <c r="A78" s="8" t="inlineStr">
        <is>
          <t>Кетчуп Хайнц д/п 320г Томатный</t>
        </is>
      </c>
      <c r="B78" s="9" t="inlineStr">
        <is>
          <t>4601674084714</t>
        </is>
      </c>
      <c r="C78" s="10" t="n">
        <v>94.58</v>
      </c>
      <c r="D78" s="10" t="n">
        <v>129</v>
      </c>
      <c r="E78" s="10" t="n">
        <v>137</v>
      </c>
      <c r="F78" s="10" t="n">
        <v>139</v>
      </c>
      <c r="G78" s="10" t="n">
        <v>145</v>
      </c>
      <c r="H78" s="10" t="n">
        <v>142</v>
      </c>
      <c r="I78" s="10" t="n"/>
      <c r="J78" s="10" t="n"/>
      <c r="K78" s="10" t="n"/>
    </row>
    <row r="79">
      <c r="A79" s="8" t="inlineStr">
        <is>
          <t>Майонез Слобода провансаль 67% 400мл</t>
        </is>
      </c>
      <c r="B79" s="9" t="inlineStr">
        <is>
          <t>4600699502210</t>
        </is>
      </c>
      <c r="C79" s="10" t="n">
        <v>103</v>
      </c>
      <c r="D79" s="10" t="n">
        <v>129</v>
      </c>
      <c r="E79" s="10" t="n">
        <v>130</v>
      </c>
      <c r="F79" s="10" t="n">
        <v>103</v>
      </c>
      <c r="G79" s="10" t="n"/>
      <c r="H79" s="10" t="n">
        <v>132</v>
      </c>
      <c r="I79" s="10" t="n">
        <v>118</v>
      </c>
      <c r="J79" s="10" t="n">
        <v>115</v>
      </c>
      <c r="K79" s="10" t="n">
        <v>121</v>
      </c>
    </row>
    <row r="80">
      <c r="A80" s="8" t="inlineStr">
        <is>
          <t>Майонез Слобода провансаль 67% 800мл</t>
        </is>
      </c>
      <c r="B80" s="9" t="inlineStr">
        <is>
          <t>4600699505525</t>
        </is>
      </c>
      <c r="C80" s="10" t="n">
        <v>169</v>
      </c>
      <c r="D80" s="10" t="n">
        <v>199</v>
      </c>
      <c r="E80" s="10" t="n">
        <v>210</v>
      </c>
      <c r="F80" s="10" t="n">
        <v>211</v>
      </c>
      <c r="G80" s="10" t="n">
        <v>225</v>
      </c>
      <c r="H80" s="10" t="n">
        <v>220</v>
      </c>
      <c r="I80" s="10" t="n">
        <v>194</v>
      </c>
      <c r="J80" s="10" t="n">
        <v>180</v>
      </c>
      <c r="K80" s="10" t="n">
        <v>198</v>
      </c>
    </row>
    <row r="81">
      <c r="A81" s="8" t="inlineStr">
        <is>
          <t>Соус Барилла Песто Дженовезе ст/б 190г</t>
        </is>
      </c>
      <c r="B81" s="9" t="inlineStr">
        <is>
          <t>8076809513753</t>
        </is>
      </c>
      <c r="C81" s="10" t="n">
        <v>253.01</v>
      </c>
      <c r="D81" s="10" t="n">
        <v>329</v>
      </c>
      <c r="E81" s="10" t="n">
        <v>329</v>
      </c>
      <c r="F81" s="10" t="n"/>
      <c r="G81" s="10" t="n">
        <v>360</v>
      </c>
      <c r="H81" s="10" t="n">
        <v>343</v>
      </c>
      <c r="I81" s="10" t="n">
        <v>321</v>
      </c>
      <c r="J81" s="10" t="n"/>
      <c r="K81" s="10" t="n"/>
    </row>
    <row r="82">
      <c r="A82" s="8" t="inlineStr">
        <is>
          <t>Соус Хайнц д/п 200г Кисло сладкий</t>
        </is>
      </c>
      <c r="B82" s="9" t="inlineStr">
        <is>
          <t>4601674086282</t>
        </is>
      </c>
      <c r="C82" s="10" t="n">
        <v>110.96</v>
      </c>
      <c r="D82" s="10" t="n">
        <v>139</v>
      </c>
      <c r="E82" s="10" t="n">
        <v>137</v>
      </c>
      <c r="F82" s="10" t="n">
        <v>139</v>
      </c>
      <c r="G82" s="10" t="n">
        <v>145</v>
      </c>
      <c r="H82" s="10" t="n">
        <v>142</v>
      </c>
      <c r="I82" s="10" t="n">
        <v>139</v>
      </c>
      <c r="J82" s="10" t="n"/>
      <c r="K82" s="10" t="n"/>
    </row>
    <row r="83">
      <c r="A83" s="8" t="inlineStr">
        <is>
          <t>Масло оливковое Боргес EV ст/б 0,5л</t>
        </is>
      </c>
      <c r="B83" s="9" t="inlineStr">
        <is>
          <t>8410179100036</t>
        </is>
      </c>
      <c r="C83" s="10" t="n">
        <v>663</v>
      </c>
      <c r="D83" s="10" t="n">
        <v>795</v>
      </c>
      <c r="E83" s="10" t="n">
        <v>798</v>
      </c>
      <c r="F83" s="10" t="n"/>
      <c r="G83" s="10" t="n">
        <v>900</v>
      </c>
      <c r="H83" s="10" t="n">
        <v>779</v>
      </c>
      <c r="I83" s="10" t="n">
        <v>1140</v>
      </c>
      <c r="J83" s="10" t="n"/>
      <c r="K83" s="10" t="n"/>
    </row>
    <row r="84">
      <c r="A84" s="8" t="inlineStr">
        <is>
          <t>Масло оливковое Хангров EV ст/б 250мл</t>
        </is>
      </c>
      <c r="B84" s="9" t="inlineStr">
        <is>
          <t>4603552022825</t>
        </is>
      </c>
      <c r="C84" s="10" t="n">
        <v>346.6</v>
      </c>
      <c r="D84" s="10" t="n">
        <v>455</v>
      </c>
      <c r="E84" s="10" t="n"/>
      <c r="F84" s="10" t="n">
        <v>480</v>
      </c>
      <c r="G84" s="10" t="n"/>
      <c r="H84" s="10" t="n">
        <v>569</v>
      </c>
      <c r="I84" s="10" t="n">
        <v>562</v>
      </c>
      <c r="J84" s="10" t="n"/>
      <c r="K84" s="10" t="n"/>
    </row>
    <row r="85">
      <c r="A85" s="8" t="inlineStr">
        <is>
          <t>Масло подсолнечное Слобода рафин 1л</t>
        </is>
      </c>
      <c r="B85" s="9" t="inlineStr">
        <is>
          <t>4600699501121</t>
        </is>
      </c>
      <c r="C85" s="10" t="n">
        <v>146</v>
      </c>
      <c r="D85" s="10" t="n">
        <v>175</v>
      </c>
      <c r="E85" s="10" t="n">
        <v>175</v>
      </c>
      <c r="F85" s="10" t="n">
        <v>188</v>
      </c>
      <c r="G85" s="10" t="n">
        <v>200</v>
      </c>
      <c r="H85" s="10" t="n">
        <v>188</v>
      </c>
      <c r="I85" s="10" t="n">
        <v>176</v>
      </c>
      <c r="J85" s="10" t="n">
        <v>155</v>
      </c>
      <c r="K85" s="10" t="n">
        <v>155</v>
      </c>
    </row>
    <row r="86">
      <c r="A86" s="8" t="inlineStr">
        <is>
          <t>Масло подсолнечное Золотая Семечка 1л</t>
        </is>
      </c>
      <c r="B86" s="9" t="inlineStr">
        <is>
          <t>4680001220025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8" t="inlineStr">
        <is>
          <t>Масло подсолнечное Светлица 0,9л (либо самое дешевое)</t>
        </is>
      </c>
      <c r="B87" s="9" t="inlineStr">
        <is>
          <t>4607085810782</t>
        </is>
      </c>
      <c r="C87" s="10" t="n">
        <v>99.90000000000001</v>
      </c>
      <c r="D87" s="10" t="n">
        <v>125</v>
      </c>
      <c r="E87" s="10" t="n"/>
      <c r="F87" s="10" t="n"/>
      <c r="G87" s="10" t="n"/>
      <c r="H87" s="10" t="n"/>
      <c r="I87" s="10" t="n"/>
      <c r="J87" s="10" t="n"/>
      <c r="K87" s="10" t="n"/>
    </row>
    <row r="88">
      <c r="A88" s="8" t="inlineStr">
        <is>
          <t>Зефир Пастухов Молочный с ванилью в мол бельг шоколаде 60г</t>
        </is>
      </c>
      <c r="B88" s="9" t="inlineStr">
        <is>
          <t>4610050690111</t>
        </is>
      </c>
      <c r="C88" s="10" t="n">
        <v>142.5</v>
      </c>
      <c r="D88" s="10" t="n">
        <v>175</v>
      </c>
      <c r="E88" s="10" t="n"/>
      <c r="F88" s="10" t="n">
        <v>180</v>
      </c>
      <c r="G88" s="10" t="n">
        <v>185</v>
      </c>
      <c r="H88" s="10" t="n">
        <v>184</v>
      </c>
      <c r="I88" s="10" t="n">
        <v>172</v>
      </c>
      <c r="J88" s="10" t="n"/>
      <c r="K88" s="10" t="n"/>
    </row>
    <row r="89">
      <c r="A89" s="8" t="inlineStr">
        <is>
          <t>Йогурт Актибио питьев 870г Злаки</t>
        </is>
      </c>
      <c r="B89" s="9" t="inlineStr">
        <is>
          <t>4600605032800</t>
        </is>
      </c>
      <c r="C89" s="10" t="n">
        <v>142.05</v>
      </c>
      <c r="D89" s="10" t="n">
        <v>169</v>
      </c>
      <c r="E89" s="10" t="n">
        <v>198</v>
      </c>
      <c r="F89" s="10" t="n">
        <v>189</v>
      </c>
      <c r="G89" s="10" t="n">
        <v>185</v>
      </c>
      <c r="H89" s="10" t="n">
        <v>182</v>
      </c>
      <c r="I89" s="10" t="n">
        <v>182</v>
      </c>
      <c r="J89" s="10" t="n">
        <v>180</v>
      </c>
      <c r="K89" s="10" t="n">
        <v>183</v>
      </c>
    </row>
    <row r="90">
      <c r="A90" s="8" t="inlineStr">
        <is>
          <t>Йогурт Даниссимо Фантазия 105г хруст шарики</t>
        </is>
      </c>
      <c r="B90" s="9" t="inlineStr">
        <is>
          <t>4600605019351</t>
        </is>
      </c>
      <c r="C90" s="10" t="n">
        <v>67.2</v>
      </c>
      <c r="D90" s="10" t="n">
        <v>89</v>
      </c>
      <c r="E90" s="10" t="n"/>
      <c r="F90" s="10" t="n">
        <v>93</v>
      </c>
      <c r="G90" s="10" t="n">
        <v>90</v>
      </c>
      <c r="H90" s="10" t="n"/>
      <c r="I90" s="10" t="n">
        <v>90</v>
      </c>
      <c r="J90" s="10" t="n">
        <v>90</v>
      </c>
      <c r="K90" s="10" t="n">
        <v>87</v>
      </c>
    </row>
    <row r="91">
      <c r="A91" s="8" t="inlineStr">
        <is>
          <t>Йогурт Савушкин TEOS Греческий 2% 250г Натуральный</t>
        </is>
      </c>
      <c r="B91" s="9" t="inlineStr">
        <is>
          <t>4810268031793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8" t="inlineStr">
        <is>
          <t>Йогурт Савушкин TEOS Греческий 2% 140г Натуральный</t>
        </is>
      </c>
      <c r="B92" s="9" t="inlineStr">
        <is>
          <t>4810268030369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8" t="inlineStr">
        <is>
          <t>Кефир Дарман 2,5% п/бут 1000г</t>
        </is>
      </c>
      <c r="B93" s="9" t="inlineStr">
        <is>
          <t>4607157481698</t>
        </is>
      </c>
      <c r="C93" s="10" t="n">
        <v>100</v>
      </c>
      <c r="D93" s="10" t="n">
        <v>125</v>
      </c>
      <c r="E93" s="10" t="n"/>
      <c r="F93" s="10" t="n">
        <v>135</v>
      </c>
      <c r="G93" s="10" t="n">
        <v>135</v>
      </c>
      <c r="H93" s="10" t="n">
        <v>135</v>
      </c>
      <c r="I93" s="10" t="n"/>
      <c r="J93" s="10" t="n"/>
      <c r="K93" s="10" t="n"/>
    </row>
    <row r="94">
      <c r="A94" s="8" t="inlineStr">
        <is>
          <t>Кефир Согратль 2,5% 900мл п/пак</t>
        </is>
      </c>
      <c r="B94" s="9" t="inlineStr">
        <is>
          <t>4603731707109</t>
        </is>
      </c>
      <c r="C94" s="10" t="n">
        <v>98</v>
      </c>
      <c r="D94" s="10" t="n">
        <v>119</v>
      </c>
      <c r="E94" s="10" t="n">
        <v>125</v>
      </c>
      <c r="F94" s="10" t="n">
        <v>126</v>
      </c>
      <c r="G94" s="10" t="n"/>
      <c r="H94" s="10" t="n"/>
      <c r="I94" s="10" t="n">
        <v>126</v>
      </c>
      <c r="J94" s="10" t="n">
        <v>130</v>
      </c>
      <c r="K94" s="10" t="n">
        <v>129</v>
      </c>
    </row>
    <row r="95">
      <c r="A95" s="8" t="inlineStr">
        <is>
          <t>Кефир Чабан 2,5% п/пак 0,9л</t>
        </is>
      </c>
      <c r="B95" s="9" t="inlineStr">
        <is>
          <t>4607195112721</t>
        </is>
      </c>
      <c r="C95" s="10" t="n">
        <v>110.17</v>
      </c>
      <c r="D95" s="10" t="n">
        <v>129</v>
      </c>
      <c r="E95" s="10" t="n">
        <v>127</v>
      </c>
      <c r="F95" s="10" t="n">
        <v>130</v>
      </c>
      <c r="G95" s="10" t="n">
        <v>125</v>
      </c>
      <c r="H95" s="10" t="n">
        <v>126</v>
      </c>
      <c r="I95" s="10" t="n"/>
      <c r="J95" s="10" t="n">
        <v>115</v>
      </c>
      <c r="K95" s="10" t="n"/>
    </row>
    <row r="96">
      <c r="A96" s="8" t="inlineStr">
        <is>
          <t>Масло сливочное Дарман 82,5% 200г</t>
        </is>
      </c>
      <c r="B96" s="9" t="inlineStr">
        <is>
          <t>4607157484965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8" t="inlineStr">
        <is>
          <t>Масло сливочное Дарман 82,5% 450г</t>
        </is>
      </c>
      <c r="B97" s="9" t="inlineStr">
        <is>
          <t>4607157484972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8" t="inlineStr">
        <is>
          <t>Масло сливочное Приэльбрусье 82,5% 180г</t>
        </is>
      </c>
      <c r="B98" s="9" t="inlineStr">
        <is>
          <t>4607195112431</t>
        </is>
      </c>
      <c r="C98" s="10" t="n">
        <v>187.96</v>
      </c>
      <c r="D98" s="10" t="n">
        <v>235</v>
      </c>
      <c r="E98" s="10" t="n">
        <v>235</v>
      </c>
      <c r="F98" s="10" t="n">
        <v>235</v>
      </c>
      <c r="G98" s="10" t="n">
        <v>225</v>
      </c>
      <c r="H98" s="10" t="n">
        <v>218</v>
      </c>
      <c r="I98" s="10" t="n"/>
      <c r="J98" s="10" t="n">
        <v>210</v>
      </c>
      <c r="K98" s="10" t="n"/>
    </row>
    <row r="99">
      <c r="A99" s="8" t="inlineStr">
        <is>
          <t>Масло сливочное Чабан Халяль 82.5% 330г</t>
        </is>
      </c>
      <c r="B99" s="9" t="inlineStr">
        <is>
          <t>4610092774428</t>
        </is>
      </c>
      <c r="C99" s="10" t="n">
        <v>377.2</v>
      </c>
      <c r="D99" s="10" t="n">
        <v>455</v>
      </c>
      <c r="E99" s="10" t="n">
        <v>470</v>
      </c>
      <c r="F99" s="10" t="n"/>
      <c r="G99" s="10" t="n">
        <v>470</v>
      </c>
      <c r="H99" s="10" t="n">
        <v>437</v>
      </c>
      <c r="I99" s="10" t="n"/>
      <c r="J99" s="10" t="n">
        <v>420</v>
      </c>
      <c r="K99" s="10" t="n">
        <v>410</v>
      </c>
    </row>
    <row r="100">
      <c r="A100" s="8" t="inlineStr">
        <is>
          <t>Масло сливочное Чабан Халяль 82.5% 180г</t>
        </is>
      </c>
      <c r="B100" s="9" t="inlineStr">
        <is>
          <t>4607195113018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8" t="inlineStr">
        <is>
          <t>Молоко Дарман 2,5% пастер бут 1000г</t>
        </is>
      </c>
      <c r="B101" s="9" t="inlineStr">
        <is>
          <t>4607157484316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8" t="inlineStr">
        <is>
          <t>Молоко Дарман жирн 3,5%-4,5% пастер бут 1400г</t>
        </is>
      </c>
      <c r="B102" s="9" t="inlineStr">
        <is>
          <t>4607157481704</t>
        </is>
      </c>
      <c r="C102" s="10" t="n">
        <v>136</v>
      </c>
      <c r="D102" s="10" t="n">
        <v>169</v>
      </c>
      <c r="E102" s="10" t="n">
        <v>176</v>
      </c>
      <c r="F102" s="10" t="n">
        <v>184</v>
      </c>
      <c r="G102" s="10" t="n">
        <v>185</v>
      </c>
      <c r="H102" s="10" t="n">
        <v>184</v>
      </c>
      <c r="I102" s="10" t="n">
        <v>176</v>
      </c>
      <c r="J102" s="10" t="n"/>
      <c r="K102" s="10" t="n"/>
    </row>
    <row r="103">
      <c r="A103" s="8" t="inlineStr">
        <is>
          <t>Молоко Новая деревня пастер 2,5% бут 900г</t>
        </is>
      </c>
      <c r="B103" s="9" t="inlineStr">
        <is>
          <t>4610092773797</t>
        </is>
      </c>
      <c r="C103" s="10" t="n">
        <v>84</v>
      </c>
      <c r="D103" s="10" t="n">
        <v>95</v>
      </c>
      <c r="E103" s="10" t="n"/>
      <c r="F103" s="10" t="n">
        <v>99</v>
      </c>
      <c r="G103" s="10" t="n"/>
      <c r="H103" s="10" t="n">
        <v>96</v>
      </c>
      <c r="I103" s="10" t="n"/>
      <c r="J103" s="10" t="n">
        <v>90</v>
      </c>
      <c r="K103" s="10" t="n">
        <v>90</v>
      </c>
    </row>
    <row r="104">
      <c r="A104" s="8" t="inlineStr">
        <is>
          <t>Молоко Простоквашино 1,5% безлактозное ультрапаст 970г</t>
        </is>
      </c>
      <c r="B104" s="9" t="inlineStr">
        <is>
          <t>4600605026533</t>
        </is>
      </c>
      <c r="C104" s="10" t="n">
        <v>131.78</v>
      </c>
      <c r="D104" s="10" t="n">
        <v>149</v>
      </c>
      <c r="E104" s="10" t="n">
        <v>163</v>
      </c>
      <c r="F104" s="10" t="n">
        <v>176</v>
      </c>
      <c r="G104" s="10" t="n">
        <v>160</v>
      </c>
      <c r="H104" s="10" t="n">
        <v>169</v>
      </c>
      <c r="I104" s="10" t="n">
        <v>165</v>
      </c>
      <c r="J104" s="10" t="n">
        <v>170</v>
      </c>
      <c r="K104" s="10" t="n">
        <v>165</v>
      </c>
    </row>
    <row r="105">
      <c r="A105" s="8" t="inlineStr">
        <is>
          <t>Молоко Чабан пастер 2.5% пл/бут 930г</t>
        </is>
      </c>
      <c r="B105" s="9" t="inlineStr">
        <is>
          <t>4610092770369</t>
        </is>
      </c>
      <c r="C105" s="10" t="n">
        <v>90.05</v>
      </c>
      <c r="D105" s="10" t="n">
        <v>105</v>
      </c>
      <c r="E105" s="10" t="n">
        <v>105</v>
      </c>
      <c r="F105" s="10" t="n">
        <v>106</v>
      </c>
      <c r="G105" s="10" t="n">
        <v>105</v>
      </c>
      <c r="H105" s="10" t="n">
        <v>103</v>
      </c>
      <c r="I105" s="10" t="n">
        <v>105</v>
      </c>
      <c r="J105" s="10" t="n">
        <v>95</v>
      </c>
      <c r="K105" s="10" t="n">
        <v>97</v>
      </c>
    </row>
    <row r="106">
      <c r="A106" s="8" t="inlineStr">
        <is>
          <t>Напиток Exponenta High-pro обезжиренный 250г Малина банан</t>
        </is>
      </c>
      <c r="B106" s="9" t="inlineStr">
        <is>
          <t>4811485040322</t>
        </is>
      </c>
      <c r="C106" s="10" t="n">
        <v>143</v>
      </c>
      <c r="D106" s="10" t="n">
        <v>169</v>
      </c>
      <c r="E106" s="10" t="n">
        <v>170</v>
      </c>
      <c r="F106" s="10" t="n">
        <v>185</v>
      </c>
      <c r="G106" s="10" t="n">
        <v>195</v>
      </c>
      <c r="H106" s="10" t="n">
        <v>182</v>
      </c>
      <c r="I106" s="10" t="n"/>
      <c r="J106" s="10" t="n">
        <v>160</v>
      </c>
      <c r="K106" s="10" t="n">
        <v>173</v>
      </c>
    </row>
    <row r="107">
      <c r="A107" s="8" t="inlineStr">
        <is>
          <t>Коктейль молочный НЕО протеиновый 260г шоколад</t>
        </is>
      </c>
      <c r="B107" s="9" t="inlineStr">
        <is>
          <t>4690228122828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8" t="inlineStr">
        <is>
          <t>Сгущенное молоко Кореновский МК цельное 8,5% кл-кр ж/б 360г</t>
        </is>
      </c>
      <c r="B108" s="9" t="inlineStr">
        <is>
          <t>4602358008811</t>
        </is>
      </c>
      <c r="C108" s="10" t="n">
        <v>118.5</v>
      </c>
      <c r="D108" s="10" t="n">
        <v>145</v>
      </c>
      <c r="E108" s="10" t="n">
        <v>155</v>
      </c>
      <c r="F108" s="10" t="n">
        <v>173</v>
      </c>
      <c r="G108" s="10" t="n">
        <v>160</v>
      </c>
      <c r="H108" s="10" t="n">
        <v>144</v>
      </c>
      <c r="I108" s="10" t="n">
        <v>142</v>
      </c>
      <c r="J108" s="10" t="n">
        <v>160</v>
      </c>
      <c r="K108" s="10" t="n"/>
    </row>
    <row r="109">
      <c r="A109" s="8" t="inlineStr">
        <is>
          <t>Сгущенное молоко цельное Рогачев 8,5% ж/б 380г с ключом</t>
        </is>
      </c>
      <c r="B109" s="9" t="inlineStr">
        <is>
          <t>4810065006987</t>
        </is>
      </c>
      <c r="C109" s="10" t="n">
        <v>126.67</v>
      </c>
      <c r="D109" s="10" t="n">
        <v>149</v>
      </c>
      <c r="E109" s="10" t="n">
        <v>152</v>
      </c>
      <c r="F109" s="10" t="n"/>
      <c r="G109" s="10" t="n"/>
      <c r="H109" s="10" t="n">
        <v>150</v>
      </c>
      <c r="I109" s="10" t="n"/>
      <c r="J109" s="10" t="n">
        <v>145</v>
      </c>
      <c r="K109" s="10" t="n"/>
    </row>
    <row r="110">
      <c r="A110" s="8" t="inlineStr">
        <is>
          <t>Сливки Простоквашино 20% стер 0,5л</t>
        </is>
      </c>
      <c r="B110" s="9" t="inlineStr">
        <is>
          <t>4600605032060</t>
        </is>
      </c>
      <c r="C110" s="10" t="n">
        <v>197.55</v>
      </c>
      <c r="D110" s="10" t="n">
        <v>235</v>
      </c>
      <c r="E110" s="10" t="n">
        <v>245</v>
      </c>
      <c r="F110" s="10" t="n">
        <v>264</v>
      </c>
      <c r="G110" s="10" t="n">
        <v>260</v>
      </c>
      <c r="H110" s="10" t="n">
        <v>279</v>
      </c>
      <c r="I110" s="10" t="n"/>
      <c r="J110" s="10" t="n">
        <v>255</v>
      </c>
      <c r="K110" s="10" t="n">
        <v>247</v>
      </c>
    </row>
    <row r="111">
      <c r="A111" s="8" t="inlineStr">
        <is>
          <t>Сметана Дарман жирн 20% 350г</t>
        </is>
      </c>
      <c r="B111" s="9" t="inlineStr">
        <is>
          <t>4607157484286</t>
        </is>
      </c>
      <c r="C111" s="10" t="n">
        <v>118.4</v>
      </c>
      <c r="D111" s="10" t="n">
        <v>149</v>
      </c>
      <c r="E111" s="10" t="n">
        <v>154</v>
      </c>
      <c r="F111" s="10" t="n">
        <v>160</v>
      </c>
      <c r="G111" s="10" t="n">
        <v>160</v>
      </c>
      <c r="H111" s="10" t="n">
        <v>160</v>
      </c>
      <c r="I111" s="10" t="n">
        <v>153</v>
      </c>
      <c r="J111" s="10" t="n"/>
      <c r="K111" s="10" t="n"/>
    </row>
    <row r="112">
      <c r="A112" s="8" t="inlineStr">
        <is>
          <t>Сметана Новая деревня 20% 300г</t>
        </is>
      </c>
      <c r="B112" s="9" t="inlineStr">
        <is>
          <t>4607195117917</t>
        </is>
      </c>
      <c r="C112" s="10" t="n">
        <v>103.99</v>
      </c>
      <c r="D112" s="10" t="n">
        <v>119</v>
      </c>
      <c r="E112" s="10" t="n">
        <v>120</v>
      </c>
      <c r="F112" s="10" t="n">
        <v>123</v>
      </c>
      <c r="G112" s="10" t="n"/>
      <c r="H112" s="10" t="n">
        <v>131</v>
      </c>
      <c r="I112" s="10" t="n">
        <v>125</v>
      </c>
      <c r="J112" s="10" t="n">
        <v>110</v>
      </c>
      <c r="K112" s="10" t="n">
        <v>112</v>
      </c>
    </row>
    <row r="113">
      <c r="A113" s="8" t="inlineStr">
        <is>
          <t>Сметана Согратль 20% 400г</t>
        </is>
      </c>
      <c r="B113" s="9" t="inlineStr">
        <is>
          <t>4603731707178</t>
        </is>
      </c>
      <c r="C113" s="10" t="n">
        <v>126</v>
      </c>
      <c r="D113" s="10" t="n">
        <v>155</v>
      </c>
      <c r="E113" s="10" t="n">
        <v>157</v>
      </c>
      <c r="F113" s="10" t="n">
        <v>162</v>
      </c>
      <c r="G113" s="10" t="n">
        <v>160</v>
      </c>
      <c r="H113" s="10" t="n">
        <v>173</v>
      </c>
      <c r="I113" s="10" t="n"/>
      <c r="J113" s="10" t="n">
        <v>170</v>
      </c>
      <c r="K113" s="10" t="n"/>
    </row>
    <row r="114">
      <c r="A114" s="8" t="inlineStr">
        <is>
          <t>Сметана Чабан 15% 400г</t>
        </is>
      </c>
      <c r="B114" s="9" t="inlineStr">
        <is>
          <t>4607195114527</t>
        </is>
      </c>
      <c r="C114" s="10" t="n">
        <v>128.33</v>
      </c>
      <c r="D114" s="10" t="n">
        <v>149</v>
      </c>
      <c r="E114" s="10" t="n">
        <v>150</v>
      </c>
      <c r="F114" s="10" t="n">
        <v>151</v>
      </c>
      <c r="G114" s="10" t="n">
        <v>150</v>
      </c>
      <c r="H114" s="10" t="n">
        <v>147</v>
      </c>
      <c r="I114" s="10" t="n">
        <v>154</v>
      </c>
      <c r="J114" s="10" t="n">
        <v>135</v>
      </c>
      <c r="K114" s="10" t="n"/>
    </row>
    <row r="115">
      <c r="A115" s="8" t="inlineStr">
        <is>
          <t>Сметана Чабан 25% 400г</t>
        </is>
      </c>
      <c r="B115" s="9" t="inlineStr">
        <is>
          <t>4607195114565</t>
        </is>
      </c>
      <c r="C115" s="10" t="n">
        <v>170.5</v>
      </c>
      <c r="D115" s="10" t="n">
        <v>199</v>
      </c>
      <c r="E115" s="10" t="n">
        <v>197</v>
      </c>
      <c r="F115" s="10" t="n">
        <v>201</v>
      </c>
      <c r="G115" s="10" t="n">
        <v>195</v>
      </c>
      <c r="H115" s="10" t="n">
        <v>196</v>
      </c>
      <c r="I115" s="10" t="n">
        <v>205</v>
      </c>
      <c r="J115" s="10" t="n">
        <v>180</v>
      </c>
      <c r="K115" s="10" t="n">
        <v>183</v>
      </c>
    </row>
    <row r="116">
      <c r="A116" s="8" t="inlineStr">
        <is>
          <t>Творог Простоквашино Зерненный 5% 130г</t>
        </is>
      </c>
      <c r="B116" s="9" t="inlineStr">
        <is>
          <t>4600605030271</t>
        </is>
      </c>
      <c r="C116" s="10" t="n">
        <v>67.54000000000001</v>
      </c>
      <c r="D116" s="10" t="n">
        <v>79</v>
      </c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8" t="inlineStr">
        <is>
          <t>Творог Чабан рассыпчатый 5% 280г</t>
        </is>
      </c>
      <c r="B117" s="9" t="inlineStr">
        <is>
          <t>4610092774985</t>
        </is>
      </c>
      <c r="C117" s="10" t="n">
        <v>126.2</v>
      </c>
      <c r="D117" s="10" t="n">
        <v>149</v>
      </c>
      <c r="E117" s="10" t="n">
        <v>145</v>
      </c>
      <c r="F117" s="10" t="n"/>
      <c r="G117" s="10" t="n"/>
      <c r="H117" s="10" t="n"/>
      <c r="I117" s="10" t="n"/>
      <c r="J117" s="10" t="n">
        <v>135</v>
      </c>
      <c r="K117" s="10" t="n">
        <v>137</v>
      </c>
    </row>
    <row r="118">
      <c r="A118" s="8" t="inlineStr">
        <is>
          <t>Творожная масса Дарман с ванилином 150г</t>
        </is>
      </c>
      <c r="B118" s="9" t="inlineStr">
        <is>
          <t>4607157484057</t>
        </is>
      </c>
      <c r="C118" s="10" t="n">
        <v>62.4</v>
      </c>
      <c r="D118" s="10" t="n">
        <v>79</v>
      </c>
      <c r="E118" s="10" t="n"/>
      <c r="F118" s="10" t="n">
        <v>89</v>
      </c>
      <c r="G118" s="10" t="n">
        <v>90</v>
      </c>
      <c r="H118" s="10" t="n">
        <v>84</v>
      </c>
      <c r="I118" s="10" t="n"/>
      <c r="J118" s="10" t="n"/>
      <c r="K118" s="10" t="n"/>
    </row>
    <row r="119">
      <c r="A119" s="8" t="inlineStr">
        <is>
          <t>Творожная масса Новая Деревня 15,5% пломбир 180г</t>
        </is>
      </c>
      <c r="B119" s="9" t="inlineStr">
        <is>
          <t>4610092770970</t>
        </is>
      </c>
      <c r="C119" s="10" t="n">
        <v>107.5</v>
      </c>
      <c r="D119" s="10" t="n">
        <v>129</v>
      </c>
      <c r="E119" s="10" t="n"/>
      <c r="F119" s="10" t="n">
        <v>134</v>
      </c>
      <c r="G119" s="10" t="n">
        <v>132</v>
      </c>
      <c r="H119" s="10" t="n">
        <v>127</v>
      </c>
      <c r="I119" s="10" t="n">
        <v>129</v>
      </c>
      <c r="J119" s="10" t="n"/>
      <c r="K119" s="10" t="n">
        <v>116</v>
      </c>
    </row>
    <row r="120">
      <c r="A120" s="8" t="inlineStr">
        <is>
          <t>Сыр Гауда 45% Ольден Россия</t>
        </is>
      </c>
      <c r="B120" s="9" t="inlineStr">
        <is>
          <t>2191255</t>
        </is>
      </c>
      <c r="C120" s="10" t="n">
        <v>600</v>
      </c>
      <c r="D120" s="10" t="n">
        <v>769</v>
      </c>
      <c r="E120" s="10" t="n">
        <v>649</v>
      </c>
      <c r="F120" s="10" t="n"/>
      <c r="G120" s="10" t="n"/>
      <c r="H120" s="10" t="n">
        <v>706</v>
      </c>
      <c r="I120" s="10" t="n"/>
      <c r="J120" s="10" t="n">
        <v>710</v>
      </c>
      <c r="K120" s="10" t="n"/>
    </row>
    <row r="121">
      <c r="A121" s="8" t="inlineStr">
        <is>
          <t>Сыр Ламбер 50% классический Россия</t>
        </is>
      </c>
      <c r="B121" s="9" t="inlineStr">
        <is>
          <t>2102606</t>
        </is>
      </c>
      <c r="C121" s="10" t="n">
        <v>1032.56</v>
      </c>
      <c r="D121" s="10" t="n">
        <v>1299</v>
      </c>
      <c r="E121" s="10" t="n">
        <v>1315</v>
      </c>
      <c r="F121" s="10" t="n">
        <v>1459</v>
      </c>
      <c r="G121" s="10" t="n">
        <v>1435</v>
      </c>
      <c r="H121" s="10" t="n"/>
      <c r="I121" s="10" t="n"/>
      <c r="J121" s="10" t="n">
        <v>1400</v>
      </c>
      <c r="K121" s="10" t="n"/>
    </row>
    <row r="122">
      <c r="A122" s="8" t="inlineStr">
        <is>
          <t>Сыр плавленый Чабан сливочный 180г</t>
        </is>
      </c>
      <c r="B122" s="9" t="inlineStr">
        <is>
          <t>4610092774596</t>
        </is>
      </c>
      <c r="C122" s="10" t="n">
        <v>136.4</v>
      </c>
      <c r="D122" s="10" t="n">
        <v>169</v>
      </c>
      <c r="E122" s="10" t="n">
        <v>170</v>
      </c>
      <c r="F122" s="10" t="n">
        <v>170</v>
      </c>
      <c r="G122" s="10" t="n">
        <v>170</v>
      </c>
      <c r="H122" s="10" t="n">
        <v>168</v>
      </c>
      <c r="I122" s="10" t="n">
        <v>164</v>
      </c>
      <c r="J122" s="10" t="n">
        <v>150</v>
      </c>
      <c r="K122" s="10" t="n">
        <v>148</v>
      </c>
    </row>
    <row r="123">
      <c r="A123" s="8" t="inlineStr">
        <is>
          <t>Сыр творожный Алметте 150г Сливочный</t>
        </is>
      </c>
      <c r="B123" s="9" t="inlineStr">
        <is>
          <t>4607004890673</t>
        </is>
      </c>
      <c r="C123" s="10" t="n">
        <v>101.28</v>
      </c>
      <c r="D123" s="10" t="n">
        <v>125</v>
      </c>
      <c r="E123" s="10" t="n">
        <v>135</v>
      </c>
      <c r="F123" s="10" t="n">
        <v>134</v>
      </c>
      <c r="G123" s="10" t="n">
        <v>145</v>
      </c>
      <c r="H123" s="10" t="n">
        <v>128</v>
      </c>
      <c r="I123" s="10" t="n">
        <v>128</v>
      </c>
      <c r="J123" s="10" t="n">
        <v>130</v>
      </c>
      <c r="K123" s="10" t="n"/>
    </row>
    <row r="124">
      <c r="A124" s="8" t="inlineStr">
        <is>
          <t>Сыр творожный Хохланд 220г сливочный</t>
        </is>
      </c>
      <c r="B124" s="9" t="inlineStr">
        <is>
          <t>4607004891694</t>
        </is>
      </c>
      <c r="C124" s="10" t="n">
        <v>130.64</v>
      </c>
      <c r="D124" s="10" t="n">
        <v>165</v>
      </c>
      <c r="E124" s="10" t="n">
        <v>178</v>
      </c>
      <c r="F124" s="10" t="n">
        <v>173</v>
      </c>
      <c r="G124" s="10" t="n">
        <v>185</v>
      </c>
      <c r="H124" s="10" t="n">
        <v>175</v>
      </c>
      <c r="I124" s="10" t="n">
        <v>165</v>
      </c>
      <c r="J124" s="10" t="n">
        <v>165</v>
      </c>
      <c r="K124" s="10" t="n"/>
    </row>
    <row r="125">
      <c r="A125" s="8" t="inlineStr">
        <is>
          <t>Мороженое Кореновка Пломбир в вафел стак 15% 100г</t>
        </is>
      </c>
      <c r="B125" s="9" t="inlineStr">
        <is>
          <t>4602358003472</t>
        </is>
      </c>
      <c r="C125" s="10" t="n">
        <v>68</v>
      </c>
      <c r="D125" s="10" t="n">
        <v>89</v>
      </c>
      <c r="E125" s="10" t="n">
        <v>82</v>
      </c>
      <c r="F125" s="10" t="n">
        <v>85</v>
      </c>
      <c r="G125" s="10" t="n"/>
      <c r="H125" s="10" t="n">
        <v>87</v>
      </c>
      <c r="I125" s="10" t="n">
        <v>82</v>
      </c>
      <c r="J125" s="10" t="n">
        <v>80</v>
      </c>
      <c r="K125" s="10" t="n"/>
    </row>
    <row r="126">
      <c r="A126" s="8" t="inlineStr">
        <is>
          <t>Мороженое Кореновка Пломбир ваф/стак 100г Шоколадный</t>
        </is>
      </c>
      <c r="B126" s="9" t="inlineStr">
        <is>
          <t>4602358003670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8" t="inlineStr">
        <is>
          <t>Мороженое Магнат Шоколадный трюфель 67г</t>
        </is>
      </c>
      <c r="B127" s="9" t="inlineStr">
        <is>
          <t>4605922004615</t>
        </is>
      </c>
      <c r="C127" s="10" t="n">
        <v>122.88</v>
      </c>
      <c r="D127" s="10" t="n">
        <v>159</v>
      </c>
      <c r="E127" s="10" t="n">
        <v>154</v>
      </c>
      <c r="F127" s="10" t="n">
        <v>131</v>
      </c>
      <c r="G127" s="10" t="n"/>
      <c r="H127" s="10" t="n">
        <v>116</v>
      </c>
      <c r="I127" s="10" t="n"/>
      <c r="J127" s="10" t="n">
        <v>115</v>
      </c>
      <c r="K127" s="10" t="n"/>
    </row>
    <row r="128">
      <c r="A128" s="8" t="inlineStr">
        <is>
          <t>Колбаса Башоровъ Чеченская Халяль</t>
        </is>
      </c>
      <c r="B128" s="9" t="inlineStr">
        <is>
          <t>2110347</t>
        </is>
      </c>
      <c r="C128" s="10" t="n">
        <v>668</v>
      </c>
      <c r="D128" s="10" t="n">
        <v>750</v>
      </c>
      <c r="E128" s="10" t="n">
        <v>842</v>
      </c>
      <c r="F128" s="10" t="n">
        <v>835</v>
      </c>
      <c r="G128" s="10" t="n">
        <v>882</v>
      </c>
      <c r="H128" s="10" t="n"/>
      <c r="I128" s="10" t="n"/>
      <c r="J128" s="10" t="n">
        <v>800</v>
      </c>
      <c r="K128" s="10" t="n"/>
    </row>
    <row r="129">
      <c r="A129" s="8" t="inlineStr">
        <is>
          <t>Колбаса Урицкий Чеченская п/к батон</t>
        </is>
      </c>
      <c r="B129" s="9" t="inlineStr">
        <is>
          <t>2124551</t>
        </is>
      </c>
      <c r="C129" s="10" t="n">
        <v>567</v>
      </c>
      <c r="D129" s="10" t="n">
        <v>695</v>
      </c>
      <c r="E129" s="10" t="n"/>
      <c r="F129" s="10" t="n"/>
      <c r="G129" s="10" t="n">
        <v>740</v>
      </c>
      <c r="H129" s="10" t="n"/>
      <c r="I129" s="10" t="n">
        <v>915</v>
      </c>
      <c r="J129" s="10" t="n"/>
      <c r="K129" s="10" t="n"/>
    </row>
    <row r="130">
      <c r="A130" s="8" t="inlineStr">
        <is>
          <t>Колбаса Школьная вар Хицунов Халяль</t>
        </is>
      </c>
      <c r="B130" s="9" t="inlineStr">
        <is>
          <t>2176394</t>
        </is>
      </c>
      <c r="C130" s="10" t="n">
        <v>468</v>
      </c>
      <c r="D130" s="10" t="n">
        <v>599</v>
      </c>
      <c r="E130" s="10" t="n"/>
      <c r="F130" s="10" t="n">
        <v>594</v>
      </c>
      <c r="G130" s="10" t="n"/>
      <c r="H130" s="10" t="n"/>
      <c r="I130" s="10" t="n"/>
      <c r="J130" s="10" t="n"/>
      <c r="K130" s="10" t="n"/>
    </row>
    <row r="131">
      <c r="A131" s="8" t="inlineStr">
        <is>
          <t>Сосиски Индилайт из индейки Молочные п/о 440г Халяль</t>
        </is>
      </c>
      <c r="B131" s="9" t="inlineStr">
        <is>
          <t>4610121636048</t>
        </is>
      </c>
      <c r="C131" s="10" t="n">
        <v>217</v>
      </c>
      <c r="D131" s="10" t="n">
        <v>269</v>
      </c>
      <c r="E131" s="10" t="n">
        <v>320</v>
      </c>
      <c r="F131" s="10" t="n">
        <v>319</v>
      </c>
      <c r="G131" s="10" t="n">
        <v>335</v>
      </c>
      <c r="H131" s="10" t="n"/>
      <c r="I131" s="10" t="n"/>
      <c r="J131" s="10" t="n"/>
      <c r="K131" s="10" t="n"/>
    </row>
    <row r="132">
      <c r="A132" s="8" t="inlineStr">
        <is>
          <t>Ветчина Индилайт Филе грудки индейки нарезка п/о 120г</t>
        </is>
      </c>
      <c r="B132" s="9" t="inlineStr">
        <is>
          <t>4610121634945</t>
        </is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8" t="inlineStr">
        <is>
          <t>Вода мин Рычал-су пл/б 1л</t>
        </is>
      </c>
      <c r="B133" s="9" t="inlineStr">
        <is>
          <t>4607001710066</t>
        </is>
      </c>
      <c r="C133" s="10" t="n">
        <v>80.22</v>
      </c>
      <c r="D133" s="10" t="n">
        <v>99</v>
      </c>
      <c r="E133" s="10" t="n"/>
      <c r="F133" s="10" t="n">
        <v>100</v>
      </c>
      <c r="G133" s="10" t="n">
        <v>108</v>
      </c>
      <c r="H133" s="10" t="n">
        <v>104</v>
      </c>
      <c r="I133" s="10" t="n">
        <v>98</v>
      </c>
      <c r="J133" s="10" t="n">
        <v>95</v>
      </c>
      <c r="K133" s="10" t="n"/>
    </row>
    <row r="134">
      <c r="A134" s="8" t="inlineStr">
        <is>
          <t>Вода мин Рычал-су ст/б 0,5л</t>
        </is>
      </c>
      <c r="B134" s="9" t="inlineStr">
        <is>
          <t>4607001710042</t>
        </is>
      </c>
      <c r="C134" s="10" t="n">
        <v>72.43000000000001</v>
      </c>
      <c r="D134" s="10" t="n">
        <v>89</v>
      </c>
      <c r="E134" s="10" t="n"/>
      <c r="F134" s="10" t="n">
        <v>95</v>
      </c>
      <c r="G134" s="10" t="n">
        <v>80</v>
      </c>
      <c r="H134" s="10" t="n">
        <v>94</v>
      </c>
      <c r="I134" s="10" t="n">
        <v>88</v>
      </c>
      <c r="J134" s="10" t="n">
        <v>85</v>
      </c>
      <c r="K134" s="10" t="n">
        <v>82</v>
      </c>
    </row>
    <row r="135">
      <c r="A135" s="8" t="inlineStr">
        <is>
          <t>Вода минеральная Боржоми лечебно-столовая ст/б 0.5л</t>
        </is>
      </c>
      <c r="B135" s="9" t="inlineStr">
        <is>
          <t>4860019001346</t>
        </is>
      </c>
      <c r="C135" s="10" t="n">
        <v>99.25</v>
      </c>
      <c r="D135" s="10" t="n">
        <v>129</v>
      </c>
      <c r="E135" s="10" t="n">
        <v>142</v>
      </c>
      <c r="F135" s="10" t="n">
        <v>154</v>
      </c>
      <c r="G135" s="10" t="n"/>
      <c r="H135" s="10" t="n">
        <v>151</v>
      </c>
      <c r="I135" s="10" t="n">
        <v>125</v>
      </c>
      <c r="J135" s="10" t="n">
        <v>110</v>
      </c>
      <c r="K135" s="10" t="n"/>
    </row>
    <row r="136">
      <c r="A136" s="8" t="inlineStr">
        <is>
          <t>Вода Денеб Горная пл/б 0,6л Ультра</t>
        </is>
      </c>
      <c r="B136" s="9" t="inlineStr">
        <is>
          <t>4606592005285</t>
        </is>
      </c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8" t="inlineStr">
        <is>
          <t>Вода Серноводская негазир 9л</t>
        </is>
      </c>
      <c r="B137" s="9" t="inlineStr">
        <is>
          <t>4607167624849</t>
        </is>
      </c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8" t="inlineStr">
        <is>
          <t>Напиток Денеб Голд 1,25л Груша</t>
        </is>
      </c>
      <c r="B138" s="9" t="inlineStr">
        <is>
          <t>4606592001805</t>
        </is>
      </c>
      <c r="C138" s="10" t="n">
        <v>73.59999999999999</v>
      </c>
      <c r="D138" s="10" t="n">
        <v>95</v>
      </c>
      <c r="E138" s="10" t="n">
        <v>97</v>
      </c>
      <c r="F138" s="10" t="n">
        <v>115</v>
      </c>
      <c r="G138" s="10" t="n">
        <v>100</v>
      </c>
      <c r="H138" s="10" t="n">
        <v>100</v>
      </c>
      <c r="I138" s="10" t="n">
        <v>91</v>
      </c>
      <c r="J138" s="10" t="n"/>
      <c r="K138" s="10" t="n"/>
    </row>
    <row r="139">
      <c r="A139" s="8" t="inlineStr">
        <is>
          <t>Напиток Добрый Кола пл/б 1л</t>
        </is>
      </c>
      <c r="B139" s="9" t="inlineStr">
        <is>
          <t>4610011503795</t>
        </is>
      </c>
      <c r="C139" s="10" t="n">
        <v>73.72</v>
      </c>
      <c r="D139" s="10" t="n">
        <v>99</v>
      </c>
      <c r="E139" s="10" t="n">
        <v>100</v>
      </c>
      <c r="F139" s="10" t="n">
        <v>86</v>
      </c>
      <c r="G139" s="10" t="n">
        <v>105</v>
      </c>
      <c r="H139" s="10" t="n"/>
      <c r="I139" s="10" t="n">
        <v>83</v>
      </c>
      <c r="J139" s="10" t="n">
        <v>80</v>
      </c>
      <c r="K139" s="10" t="n">
        <v>94</v>
      </c>
    </row>
    <row r="140">
      <c r="A140" s="8" t="inlineStr">
        <is>
          <t>Напиток Добрый Кола пл/б 1,5л</t>
        </is>
      </c>
      <c r="B140" s="9" t="inlineStr">
        <is>
          <t>4610011503818</t>
        </is>
      </c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8" t="inlineStr">
        <is>
          <t>Напиток Кока Кола пл/б 1л</t>
        </is>
      </c>
      <c r="B141" s="9" t="inlineStr">
        <is>
          <t>5449000054227</t>
        </is>
      </c>
      <c r="C141" s="10" t="n">
        <v>100.04</v>
      </c>
      <c r="D141" s="10" t="n">
        <v>149</v>
      </c>
      <c r="E141" s="10" t="n"/>
      <c r="F141" s="10" t="n"/>
      <c r="G141" s="10" t="n"/>
      <c r="H141" s="10" t="n"/>
      <c r="I141" s="10" t="n"/>
      <c r="J141" s="10" t="n">
        <v>70</v>
      </c>
      <c r="K141" s="10" t="n"/>
    </row>
    <row r="142">
      <c r="A142" s="8" t="inlineStr">
        <is>
          <t>Напиток Кока Кола пл/б 2л</t>
        </is>
      </c>
      <c r="B142" s="9" t="inlineStr">
        <is>
          <t>5449000000286</t>
        </is>
      </c>
      <c r="C142" s="10" t="n">
        <v>141.52</v>
      </c>
      <c r="D142" s="10" t="n">
        <v>215</v>
      </c>
      <c r="E142" s="10" t="n"/>
      <c r="F142" s="10" t="n"/>
      <c r="G142" s="10" t="n">
        <v>205</v>
      </c>
      <c r="H142" s="10" t="n">
        <v>224</v>
      </c>
      <c r="I142" s="10" t="n"/>
      <c r="J142" s="10" t="n"/>
      <c r="K142" s="10" t="n"/>
    </row>
    <row r="143">
      <c r="A143" s="8" t="inlineStr">
        <is>
          <t>Напиток газированный KINZA ж/б 320мл Кола</t>
        </is>
      </c>
      <c r="B143" s="9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8" t="inlineStr">
        <is>
          <t>Напиток энергетический Адреналин ж/б 0,449л Rush</t>
        </is>
      </c>
      <c r="B144" s="9" t="inlineStr">
        <is>
          <t>4600494694202</t>
        </is>
      </c>
      <c r="C144" s="10" t="n">
        <v>96.95</v>
      </c>
      <c r="D144" s="10" t="n">
        <v>125</v>
      </c>
      <c r="E144" s="10" t="n">
        <v>120</v>
      </c>
      <c r="F144" s="10" t="n"/>
      <c r="G144" s="10" t="n"/>
      <c r="H144" s="10" t="n">
        <v>123</v>
      </c>
      <c r="I144" s="10" t="n">
        <v>141</v>
      </c>
      <c r="J144" s="10" t="n">
        <v>115</v>
      </c>
      <c r="K144" s="10" t="n"/>
    </row>
    <row r="145">
      <c r="A145" s="8" t="inlineStr">
        <is>
          <t>Напиток энергетический Горилла ж/б 450мл Манго и кoкос</t>
        </is>
      </c>
      <c r="B145" s="9" t="inlineStr">
        <is>
          <t>4650243871828</t>
        </is>
      </c>
      <c r="C145" s="10" t="n">
        <v>82.92</v>
      </c>
      <c r="D145" s="10" t="n">
        <v>105</v>
      </c>
      <c r="E145" s="10" t="n">
        <v>115</v>
      </c>
      <c r="F145" s="10" t="n"/>
      <c r="G145" s="10" t="n">
        <v>110</v>
      </c>
      <c r="H145" s="10" t="n">
        <v>112</v>
      </c>
      <c r="I145" s="10" t="n">
        <v>88</v>
      </c>
      <c r="J145" s="10" t="n">
        <v>85</v>
      </c>
      <c r="K145" s="10" t="n"/>
    </row>
    <row r="146">
      <c r="A146" s="8" t="inlineStr">
        <is>
          <t>Нектар Кикуни ст/б 0,75л абрикосовый с мякотью</t>
        </is>
      </c>
      <c r="B146" s="9" t="inlineStr">
        <is>
          <t>4678598774403</t>
        </is>
      </c>
      <c r="C146" s="10" t="n">
        <v>99</v>
      </c>
      <c r="D146" s="10" t="n">
        <v>125</v>
      </c>
      <c r="E146" s="10" t="n"/>
      <c r="F146" s="10" t="n"/>
      <c r="G146" s="10" t="n"/>
      <c r="H146" s="10" t="n"/>
      <c r="I146" s="10" t="n"/>
      <c r="J146" s="10" t="n">
        <v>120</v>
      </c>
      <c r="K146" s="10" t="n"/>
    </row>
    <row r="147">
      <c r="A147" s="8" t="inlineStr">
        <is>
          <t>Сок Вико 1л ананасовый</t>
        </is>
      </c>
      <c r="B147" s="9" t="inlineStr">
        <is>
          <t>4601248016332</t>
        </is>
      </c>
      <c r="C147" s="10" t="n">
        <v>122.02</v>
      </c>
      <c r="D147" s="10" t="n">
        <v>149</v>
      </c>
      <c r="E147" s="10" t="n">
        <v>153</v>
      </c>
      <c r="F147" s="10" t="n">
        <v>153</v>
      </c>
      <c r="G147" s="10" t="n"/>
      <c r="H147" s="10" t="n">
        <v>156</v>
      </c>
      <c r="I147" s="10" t="n">
        <v>154</v>
      </c>
      <c r="J147" s="10" t="n">
        <v>140</v>
      </c>
      <c r="K147" s="10" t="n">
        <v>135</v>
      </c>
    </row>
    <row r="148">
      <c r="A148" s="8" t="inlineStr">
        <is>
          <t>Сок Ириб ст/б 0,75л Апельсиновый 100%</t>
        </is>
      </c>
      <c r="B148" s="9" t="inlineStr">
        <is>
          <t>4607122945675</t>
        </is>
      </c>
      <c r="C148" s="10" t="n">
        <v>118.32</v>
      </c>
      <c r="D148" s="10" t="n">
        <v>145</v>
      </c>
      <c r="E148" s="10" t="n">
        <v>145</v>
      </c>
      <c r="F148" s="10" t="n">
        <v>145</v>
      </c>
      <c r="G148" s="10" t="n"/>
      <c r="H148" s="10" t="n"/>
      <c r="I148" s="10" t="n">
        <v>147</v>
      </c>
      <c r="J148" s="10" t="n">
        <v>130</v>
      </c>
      <c r="K148" s="10" t="n">
        <v>130</v>
      </c>
    </row>
    <row r="149">
      <c r="A149" s="8" t="inlineStr">
        <is>
          <t>Чай холодный Липтон 0,5л Зеленый</t>
        </is>
      </c>
      <c r="B149" s="9" t="inlineStr">
        <is>
          <t>4600494600463</t>
        </is>
      </c>
      <c r="C149" s="10" t="n">
        <v>76.2</v>
      </c>
      <c r="D149" s="10" t="n">
        <v>99</v>
      </c>
      <c r="E149" s="10" t="n">
        <v>107</v>
      </c>
      <c r="F149" s="10" t="n">
        <v>108</v>
      </c>
      <c r="G149" s="10" t="n"/>
      <c r="H149" s="10" t="n">
        <v>109</v>
      </c>
      <c r="I149" s="10" t="n">
        <v>104</v>
      </c>
      <c r="J149" s="10" t="n"/>
      <c r="K149" s="10" t="n"/>
    </row>
    <row r="150">
      <c r="A150" s="8" t="inlineStr">
        <is>
          <t>Чай холодный Менди пл/б 1,25л Лесная ягода</t>
        </is>
      </c>
      <c r="B150" s="9" t="inlineStr">
        <is>
          <t>4606592001362</t>
        </is>
      </c>
      <c r="C150" s="10" t="n">
        <v>84.48</v>
      </c>
      <c r="D150" s="10" t="n">
        <v>109</v>
      </c>
      <c r="E150" s="10" t="n">
        <v>111</v>
      </c>
      <c r="F150" s="10" t="n">
        <v>133</v>
      </c>
      <c r="G150" s="10" t="n"/>
      <c r="H150" s="10" t="n">
        <v>114</v>
      </c>
      <c r="I150" s="10" t="n">
        <v>105</v>
      </c>
      <c r="J150" s="10" t="n"/>
      <c r="K150" s="10" t="n"/>
    </row>
    <row r="151">
      <c r="A151" s="8" t="inlineStr">
        <is>
          <t>Семечки Джинн великан 100г</t>
        </is>
      </c>
      <c r="B151" s="9" t="inlineStr">
        <is>
          <t>4630007400990</t>
        </is>
      </c>
      <c r="C151" s="10" t="n">
        <v>62.8</v>
      </c>
      <c r="D151" s="10" t="n">
        <v>79</v>
      </c>
      <c r="E151" s="10" t="n"/>
      <c r="F151" s="10" t="n">
        <v>79</v>
      </c>
      <c r="G151" s="10" t="n">
        <v>100</v>
      </c>
      <c r="H151" s="10" t="n"/>
      <c r="I151" s="10" t="n">
        <v>77</v>
      </c>
      <c r="J151" s="10" t="n">
        <v>75</v>
      </c>
      <c r="K151" s="10" t="n">
        <v>73</v>
      </c>
    </row>
    <row r="152">
      <c r="A152" s="8" t="inlineStr">
        <is>
          <t>Семечки Джинн Солнечный Великан соленый 200г</t>
        </is>
      </c>
      <c r="B152" s="9" t="inlineStr">
        <is>
          <t>4630007401362</t>
        </is>
      </c>
      <c r="C152" s="10" t="n">
        <v>122.3</v>
      </c>
      <c r="D152" s="10" t="n">
        <v>155</v>
      </c>
      <c r="E152" s="10" t="n"/>
      <c r="F152" s="10" t="n">
        <v>153</v>
      </c>
      <c r="G152" s="10" t="n">
        <v>160</v>
      </c>
      <c r="H152" s="10" t="n"/>
      <c r="I152" s="10" t="n">
        <v>149</v>
      </c>
      <c r="J152" s="10" t="n">
        <v>145</v>
      </c>
      <c r="K152" s="10" t="n">
        <v>143</v>
      </c>
    </row>
    <row r="153">
      <c r="A153" s="8" t="inlineStr">
        <is>
          <t>Чипсы LIT ENERGY 120г Паприка</t>
        </is>
      </c>
      <c r="B153" s="9" t="inlineStr">
        <is>
          <t>4680232931127</t>
        </is>
      </c>
      <c r="C153" s="10" t="n">
        <v>97</v>
      </c>
      <c r="D153" s="10" t="n">
        <v>129</v>
      </c>
      <c r="E153" s="10" t="n">
        <v>140</v>
      </c>
      <c r="F153" s="10" t="n"/>
      <c r="G153" s="10" t="n"/>
      <c r="H153" s="10" t="n">
        <v>134</v>
      </c>
      <c r="I153" s="10" t="n"/>
      <c r="J153" s="10" t="n"/>
      <c r="K153" s="10" t="n"/>
    </row>
    <row r="154">
      <c r="A154" s="8" t="inlineStr">
        <is>
          <t>Чипсы Лейс 140г Сыр</t>
        </is>
      </c>
      <c r="B154" s="9" t="inlineStr">
        <is>
          <t>4690388111359</t>
        </is>
      </c>
      <c r="C154" s="10" t="n">
        <v>152.09</v>
      </c>
      <c r="D154" s="10" t="n">
        <v>189</v>
      </c>
      <c r="E154" s="10" t="n">
        <v>170</v>
      </c>
      <c r="F154" s="10" t="n">
        <v>166</v>
      </c>
      <c r="G154" s="10" t="n"/>
      <c r="H154" s="10" t="n">
        <v>171</v>
      </c>
      <c r="I154" s="10" t="n">
        <v>173</v>
      </c>
      <c r="J154" s="10" t="n">
        <v>155</v>
      </c>
      <c r="K154" s="10" t="n"/>
    </row>
    <row r="155">
      <c r="A155" s="8" t="inlineStr">
        <is>
          <t>Грецкий орех очищенный половинки вес</t>
        </is>
      </c>
      <c r="B155" s="9" t="inlineStr">
        <is>
          <t>2184638</t>
        </is>
      </c>
      <c r="C155" s="10" t="n">
        <v>546</v>
      </c>
      <c r="D155" s="10" t="n">
        <v>690</v>
      </c>
      <c r="E155" s="10" t="n">
        <v>750</v>
      </c>
      <c r="F155" s="10" t="n"/>
      <c r="G155" s="10" t="n">
        <v>780</v>
      </c>
      <c r="H155" s="10" t="n">
        <v>768</v>
      </c>
      <c r="I155" s="10" t="n"/>
      <c r="J155" s="10" t="n">
        <v>685</v>
      </c>
      <c r="K155" s="10" t="n"/>
    </row>
    <row r="156">
      <c r="A156" s="8" t="inlineStr">
        <is>
          <t>Кешью сырой вес</t>
        </is>
      </c>
      <c r="B156" s="9" t="inlineStr">
        <is>
          <t>2127426</t>
        </is>
      </c>
      <c r="C156" s="10" t="n">
        <v>773</v>
      </c>
      <c r="D156" s="10" t="n">
        <v>1120</v>
      </c>
      <c r="E156" s="10" t="n">
        <v>960</v>
      </c>
      <c r="F156" s="10" t="n"/>
      <c r="G156" s="10" t="n"/>
      <c r="H156" s="10" t="n">
        <v>1088</v>
      </c>
      <c r="I156" s="10" t="n"/>
      <c r="J156" s="10" t="n">
        <v>875</v>
      </c>
      <c r="K156" s="10" t="n"/>
    </row>
    <row r="157">
      <c r="A157" s="8" t="inlineStr">
        <is>
          <t>Кешью жареный вес</t>
        </is>
      </c>
      <c r="B157" s="9" t="inlineStr">
        <is>
          <t>2188226</t>
        </is>
      </c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8" t="inlineStr">
        <is>
          <t>Миндаль золотой вес</t>
        </is>
      </c>
      <c r="B158" s="9" t="inlineStr">
        <is>
          <t>2153304</t>
        </is>
      </c>
      <c r="C158" s="10" t="n">
        <v>870</v>
      </c>
      <c r="D158" s="10" t="n">
        <v>990</v>
      </c>
      <c r="E158" s="10" t="n">
        <v>1050</v>
      </c>
      <c r="F158" s="10" t="n"/>
      <c r="G158" s="10" t="n">
        <v>1000</v>
      </c>
      <c r="H158" s="10" t="n">
        <v>998</v>
      </c>
      <c r="I158" s="10" t="n"/>
      <c r="J158" s="10" t="n">
        <v>850</v>
      </c>
      <c r="K158" s="10" t="n"/>
    </row>
    <row r="159">
      <c r="A159" s="8" t="inlineStr">
        <is>
          <t>Миндаль жаренный вес</t>
        </is>
      </c>
      <c r="B159" s="9" t="inlineStr">
        <is>
          <t>2197268</t>
        </is>
      </c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8" t="inlineStr">
        <is>
          <t>Финики королевские вес</t>
        </is>
      </c>
      <c r="B160" s="9" t="inlineStr">
        <is>
          <t>2170890</t>
        </is>
      </c>
      <c r="C160" s="10" t="n">
        <v>897.8</v>
      </c>
      <c r="D160" s="10" t="n">
        <v>1099</v>
      </c>
      <c r="E160" s="10" t="n"/>
      <c r="F160" s="10" t="n"/>
      <c r="G160" s="10" t="n">
        <v>1300</v>
      </c>
      <c r="H160" s="10" t="n">
        <v>1050</v>
      </c>
      <c r="I160" s="10" t="n"/>
      <c r="J160" s="10" t="n">
        <v>1030</v>
      </c>
      <c r="K160" s="10" t="n"/>
    </row>
    <row r="161">
      <c r="A161" s="8" t="inlineStr">
        <is>
          <t>Фисташки Иран 1с</t>
        </is>
      </c>
      <c r="B161" s="9" t="inlineStr">
        <is>
          <t>2198321</t>
        </is>
      </c>
      <c r="C161" s="10" t="n">
        <v>1000</v>
      </c>
      <c r="D161" s="10" t="n">
        <v>1250</v>
      </c>
      <c r="E161" s="10" t="n">
        <v>1250</v>
      </c>
      <c r="F161" s="10" t="n"/>
      <c r="G161" s="10" t="n">
        <v>1600</v>
      </c>
      <c r="H161" s="10" t="n">
        <v>1536</v>
      </c>
      <c r="I161" s="10" t="n"/>
      <c r="J161" s="10" t="n">
        <v>1260</v>
      </c>
      <c r="K161" s="10" t="n"/>
    </row>
    <row r="162">
      <c r="A162" s="8" t="inlineStr">
        <is>
          <t>Фундук очищенный вес</t>
        </is>
      </c>
      <c r="B162" s="9" t="inlineStr">
        <is>
          <t>2109532</t>
        </is>
      </c>
      <c r="C162" s="10" t="n">
        <v>1050</v>
      </c>
      <c r="D162" s="10" t="n">
        <v>1290</v>
      </c>
      <c r="E162" s="10" t="n">
        <v>1300</v>
      </c>
      <c r="F162" s="10" t="n"/>
      <c r="G162" s="10" t="n">
        <v>1280</v>
      </c>
      <c r="H162" s="10" t="n">
        <v>1242</v>
      </c>
      <c r="I162" s="10" t="n"/>
      <c r="J162" s="10" t="n">
        <v>1140</v>
      </c>
      <c r="K162" s="10" t="n"/>
    </row>
    <row r="163">
      <c r="A163" s="8" t="inlineStr">
        <is>
          <t>Крабовые палочки Русское море 200г</t>
        </is>
      </c>
      <c r="B163" s="9" t="inlineStr">
        <is>
          <t>4605561014204</t>
        </is>
      </c>
      <c r="C163" s="10" t="n">
        <v>87</v>
      </c>
      <c r="D163" s="10" t="n">
        <v>125</v>
      </c>
      <c r="E163" s="10" t="n"/>
      <c r="F163" s="10" t="n">
        <v>114</v>
      </c>
      <c r="G163" s="10" t="n"/>
      <c r="H163" s="10" t="n">
        <v>106</v>
      </c>
      <c r="I163" s="10" t="n"/>
      <c r="J163" s="10" t="n">
        <v>100</v>
      </c>
      <c r="K163" s="10" t="n"/>
    </row>
    <row r="164">
      <c r="A164" s="8" t="inlineStr">
        <is>
          <t>Сельдь малосоленая Р</t>
        </is>
      </c>
      <c r="B164" s="9" t="inlineStr">
        <is>
          <t>2102019</t>
        </is>
      </c>
      <c r="C164" s="10" t="n">
        <v>320</v>
      </c>
      <c r="D164" s="10" t="n">
        <v>385</v>
      </c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8" t="inlineStr">
        <is>
          <t>Скумбрия х/к Р</t>
        </is>
      </c>
      <c r="B165" s="9" t="inlineStr">
        <is>
          <t>2193317</t>
        </is>
      </c>
      <c r="C165" s="10" t="n">
        <v>590</v>
      </c>
      <c r="D165" s="10" t="n">
        <v>735</v>
      </c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8" t="inlineStr">
        <is>
          <t>Малина Фрамбини в белом и молочном шоколаде 130г</t>
        </is>
      </c>
      <c r="B166" s="9" t="inlineStr">
        <is>
          <t>4620269170144</t>
        </is>
      </c>
      <c r="C166" s="10" t="n">
        <v>530</v>
      </c>
      <c r="D166" s="10" t="n">
        <v>689</v>
      </c>
      <c r="E166" s="10" t="n">
        <v>640</v>
      </c>
      <c r="F166" s="10" t="n"/>
      <c r="G166" s="10" t="n"/>
      <c r="H166" s="10" t="n">
        <v>688</v>
      </c>
      <c r="I166" s="10" t="n"/>
      <c r="J166" s="10" t="n"/>
      <c r="K166" s="10" t="n"/>
    </row>
    <row r="167">
      <c r="A167" s="8" t="inlineStr">
        <is>
          <t>Малина Франуй в белом и молочном шоколаде 150г</t>
        </is>
      </c>
      <c r="B167" s="9" t="inlineStr">
        <is>
          <t>8437020396011</t>
        </is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8" t="inlineStr">
        <is>
          <t>Брокколи Хортекс 400г</t>
        </is>
      </c>
      <c r="B168" s="9" t="inlineStr">
        <is>
          <t>4610088414673</t>
        </is>
      </c>
      <c r="C168" s="10" t="n">
        <v>155.1</v>
      </c>
      <c r="D168" s="10" t="n">
        <v>210</v>
      </c>
      <c r="E168" s="10" t="n"/>
      <c r="F168" s="10" t="n">
        <v>205</v>
      </c>
      <c r="G168" s="10" t="n"/>
      <c r="H168" s="10" t="n"/>
      <c r="I168" s="10" t="n"/>
      <c r="J168" s="10" t="n"/>
      <c r="K168" s="10" t="n"/>
    </row>
    <row r="169">
      <c r="A169" s="8" t="inlineStr">
        <is>
          <t>Салат Vip Хортекс 400г</t>
        </is>
      </c>
      <c r="B169" s="9" t="inlineStr">
        <is>
          <t>4610088414710</t>
        </is>
      </c>
      <c r="C169" s="10" t="n">
        <v>124.8</v>
      </c>
      <c r="D169" s="10" t="n">
        <v>169</v>
      </c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8" t="inlineStr">
        <is>
          <t>Филе цыпленка Приосколье Халяль</t>
        </is>
      </c>
      <c r="B170" s="9" t="inlineStr">
        <is>
          <t>2189791</t>
        </is>
      </c>
      <c r="C170" s="10" t="n">
        <v>490</v>
      </c>
      <c r="D170" s="10" t="n">
        <v>649</v>
      </c>
      <c r="E170" s="10" t="n"/>
      <c r="F170" s="10" t="n">
        <v>613</v>
      </c>
      <c r="G170" s="10" t="n">
        <v>675</v>
      </c>
      <c r="H170" s="10" t="n"/>
      <c r="I170" s="10" t="n"/>
      <c r="J170" s="10" t="n"/>
      <c r="K170" s="10" t="n"/>
    </row>
    <row r="171">
      <c r="A171" s="8" t="inlineStr">
        <is>
          <t>Яйцо куриное Первая категория 10шт</t>
        </is>
      </c>
      <c r="B171" s="9" t="inlineStr">
        <is>
          <t>4603728302539</t>
        </is>
      </c>
      <c r="C171" s="10" t="n">
        <v>64.16</v>
      </c>
      <c r="D171" s="10" t="n">
        <v>75</v>
      </c>
      <c r="E171" s="10" t="n"/>
      <c r="F171" s="10" t="n"/>
      <c r="G171" s="10" t="n"/>
      <c r="H171" s="10" t="n"/>
      <c r="I171" s="10" t="n">
        <v>67</v>
      </c>
      <c r="J171" s="10" t="n"/>
      <c r="K171" s="10" t="n"/>
    </row>
    <row r="172">
      <c r="A172" s="8" t="inlineStr">
        <is>
          <t>Яйцо куриное Отборное 10шт К</t>
        </is>
      </c>
      <c r="B172" s="9" t="inlineStr">
        <is>
          <t>4626015440226</t>
        </is>
      </c>
      <c r="C172" s="10" t="n">
        <v>62</v>
      </c>
      <c r="D172" s="10" t="n">
        <v>75</v>
      </c>
      <c r="E172" s="10" t="n"/>
      <c r="F172" s="10" t="n">
        <v>76</v>
      </c>
      <c r="G172" s="10" t="n"/>
      <c r="H172" s="10" t="n">
        <v>102</v>
      </c>
      <c r="I172" s="10" t="n">
        <v>70</v>
      </c>
      <c r="J172" s="10" t="n">
        <v>90</v>
      </c>
      <c r="K172" s="10" t="n">
        <v>75</v>
      </c>
    </row>
    <row r="173">
      <c r="A173" s="8" t="inlineStr">
        <is>
          <t>Яйцо перепелиное 20шт бум/уп</t>
        </is>
      </c>
      <c r="B173" s="9" t="inlineStr">
        <is>
          <t>4606910000015</t>
        </is>
      </c>
      <c r="C173" s="10" t="n">
        <v>100</v>
      </c>
      <c r="D173" s="10" t="n">
        <v>120</v>
      </c>
      <c r="E173" s="10" t="n">
        <v>118</v>
      </c>
      <c r="F173" s="10" t="n">
        <v>127</v>
      </c>
      <c r="G173" s="10" t="n"/>
      <c r="H173" s="10" t="n"/>
      <c r="I173" s="10" t="n">
        <v>129</v>
      </c>
      <c r="J173" s="10" t="n"/>
      <c r="K173" s="10" t="n"/>
    </row>
    <row r="174">
      <c r="A174" s="8" t="inlineStr">
        <is>
          <t>Курица фермерская п/ф</t>
        </is>
      </c>
      <c r="B174" s="9" t="n"/>
      <c r="C174" s="10" t="n"/>
      <c r="D174" s="10" t="n">
        <v>219</v>
      </c>
      <c r="E174" s="10" t="n"/>
      <c r="F174" s="10" t="n"/>
      <c r="G174" s="10" t="n">
        <v>315</v>
      </c>
      <c r="H174" s="10" t="n"/>
      <c r="I174" s="10" t="n">
        <v>207</v>
      </c>
      <c r="J174" s="10" t="n"/>
      <c r="K174" s="10" t="n"/>
    </row>
    <row r="175">
      <c r="A175" s="8" t="inlineStr">
        <is>
          <t>Уголь 5кг березовый Binchotes 10</t>
        </is>
      </c>
      <c r="B175" s="9" t="inlineStr">
        <is>
          <t>4678597315096</t>
        </is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8" t="inlineStr">
        <is>
          <t>Дрова-растопка 25шт натуральная FireStart 15</t>
        </is>
      </c>
      <c r="B176" s="9" t="inlineStr">
        <is>
          <t>4680016920026</t>
        </is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8" t="inlineStr">
        <is>
          <t>Уголь 5кг древесный</t>
        </is>
      </c>
      <c r="B177" s="9" t="inlineStr">
        <is>
          <t>2045622202133</t>
        </is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8" t="inlineStr">
        <is>
          <t>Уголь 3кг древесный</t>
        </is>
      </c>
      <c r="B178" s="9" t="inlineStr">
        <is>
          <t>4634444097300</t>
        </is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8" t="inlineStr">
        <is>
          <t>Комплект фумигатор+жидкость 45 ночей Универсальная защита Москитолл 6</t>
        </is>
      </c>
      <c r="B179" s="9" t="inlineStr">
        <is>
          <t>4650056490797</t>
        </is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8" t="inlineStr">
        <is>
          <t>Комплект фумигатор+жидкость 30 ночей Раптор 24</t>
        </is>
      </c>
      <c r="B180" s="9" t="inlineStr">
        <is>
          <t>4607131422914</t>
        </is>
      </c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8" t="inlineStr">
        <is>
          <t>Комплект фумигатор+жидкость 30 ночей Натурин Гардекс 24</t>
        </is>
      </c>
      <c r="B181" s="9" t="inlineStr">
        <is>
          <t>4640221709304</t>
        </is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</sheetData>
  <autoFilter ref="A1:K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</cols>
  <sheetData>
    <row r="1" ht="22" customHeight="1">
      <c r="A1" s="7" t="inlineStr">
        <is>
          <t>Штрихкод</t>
        </is>
      </c>
      <c r="B1" s="7" t="inlineStr">
        <is>
          <t>Кол-во_продаж</t>
        </is>
      </c>
      <c r="C1" s="7" t="inlineStr">
        <is>
          <t>Выручка</t>
        </is>
      </c>
      <c r="D1" s="7" t="inlineStr">
        <is>
          <t>Валовая_прибыль</t>
        </is>
      </c>
    </row>
    <row r="2">
      <c r="A2" s="11" t="n"/>
      <c r="B2" s="12" t="n"/>
      <c r="C2" s="12" t="n"/>
      <c r="D2" s="12" t="n"/>
    </row>
    <row r="3">
      <c r="A3" s="11" t="n"/>
      <c r="B3" s="12" t="n"/>
      <c r="C3" s="12" t="n"/>
      <c r="D3" s="12" t="n"/>
    </row>
    <row r="4">
      <c r="A4" s="11" t="n"/>
      <c r="B4" s="12" t="n"/>
      <c r="C4" s="12" t="n"/>
      <c r="D4" s="12" t="n"/>
    </row>
    <row r="5">
      <c r="A5" s="11" t="n"/>
      <c r="B5" s="12" t="n"/>
      <c r="C5" s="12" t="n"/>
      <c r="D5" s="12" t="n"/>
    </row>
    <row r="6">
      <c r="A6" s="11" t="n"/>
      <c r="B6" s="12" t="n"/>
      <c r="C6" s="12" t="n"/>
      <c r="D6" s="12" t="n"/>
    </row>
    <row r="7">
      <c r="A7" s="11" t="n"/>
      <c r="B7" s="12" t="n"/>
      <c r="C7" s="12" t="n"/>
      <c r="D7" s="12" t="n"/>
    </row>
    <row r="8">
      <c r="A8" s="11" t="n"/>
      <c r="B8" s="12" t="n"/>
      <c r="C8" s="12" t="n"/>
      <c r="D8" s="12" t="n"/>
    </row>
    <row r="9">
      <c r="A9" s="11" t="n"/>
      <c r="B9" s="12" t="n"/>
      <c r="C9" s="12" t="n"/>
      <c r="D9" s="12" t="n"/>
    </row>
    <row r="10">
      <c r="A10" s="11" t="n"/>
      <c r="B10" s="12" t="n"/>
      <c r="C10" s="12" t="n"/>
      <c r="D10" s="12" t="n"/>
    </row>
    <row r="11">
      <c r="A11" s="11" t="n"/>
      <c r="B11" s="12" t="n"/>
      <c r="C11" s="12" t="n"/>
      <c r="D11" s="12" t="n"/>
    </row>
    <row r="13">
      <c r="A13" s="13" t="inlineStr">
        <is>
          <t>Заполните по штрихкоду. При отсутствии данных - расчёты на листе Расчеты работают без ошибок.</t>
        </is>
      </c>
    </row>
  </sheetData>
  <mergeCells count="1">
    <mergeCell ref="A13:D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4B942"/>
    <outlinePr summaryBelow="1" summaryRight="1"/>
    <pageSetUpPr/>
  </sheetPr>
  <dimension ref="A1:BU18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11" customWidth="1" min="13" max="13"/>
    <col width="14" customWidth="1" min="14" max="14"/>
    <col width="13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1" customWidth="1" min="25" max="25"/>
    <col width="11" customWidth="1" min="26" max="26"/>
    <col width="12" customWidth="1" min="27" max="27"/>
    <col width="11" customWidth="1" min="28" max="28"/>
    <col width="11" customWidth="1" min="29" max="29"/>
    <col width="12" customWidth="1" min="30" max="30"/>
    <col width="12" customWidth="1" min="31" max="31"/>
    <col width="11" customWidth="1" min="32" max="32"/>
    <col width="11" customWidth="1" min="33" max="33"/>
    <col width="12" customWidth="1" min="34" max="34"/>
    <col width="11" customWidth="1" min="35" max="35"/>
    <col width="11" customWidth="1" min="36" max="36"/>
    <col width="12" customWidth="1" min="37" max="37"/>
    <col width="12" customWidth="1" min="38" max="38"/>
    <col width="11" customWidth="1" min="39" max="39"/>
    <col width="11" customWidth="1" min="40" max="40"/>
    <col width="12" customWidth="1" min="41" max="41"/>
    <col width="11" customWidth="1" min="42" max="42"/>
    <col width="11" customWidth="1" min="43" max="43"/>
    <col width="12" customWidth="1" min="44" max="44"/>
    <col width="14" customWidth="1" min="45" max="45"/>
    <col width="11" customWidth="1" min="46" max="46"/>
    <col width="11" customWidth="1" min="47" max="47"/>
    <col width="12" customWidth="1" min="48" max="48"/>
    <col width="11" customWidth="1" min="49" max="49"/>
    <col width="11" customWidth="1" min="50" max="50"/>
    <col width="12" customWidth="1" min="51" max="51"/>
    <col width="14" customWidth="1" min="52" max="52"/>
    <col width="12" customWidth="1" min="53" max="53"/>
    <col width="11" customWidth="1" min="54" max="54"/>
    <col width="11" customWidth="1" min="55" max="55"/>
    <col width="12" customWidth="1" min="56" max="56"/>
    <col width="11" customWidth="1" min="57" max="57"/>
    <col width="11" customWidth="1" min="58" max="58"/>
    <col width="12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3" customWidth="1" min="70" max="70"/>
    <col width="12" customWidth="1" min="71" max="71"/>
    <col width="13" customWidth="1" min="72" max="72"/>
    <col width="12" customWidth="1" min="73" max="73"/>
  </cols>
  <sheetData>
    <row r="1" ht="18" customHeight="1">
      <c r="A1" s="14" t="inlineStr">
        <is>
          <t>ИДЕНТИФИКАЦИЯ</t>
        </is>
      </c>
      <c r="C1" s="15" t="inlineStr">
        <is>
          <t>ЦЕНЫ ЗЯ / СИГНАЛ</t>
        </is>
      </c>
      <c r="F1" s="16" t="inlineStr">
        <is>
          <t>АНАЛИЗ РЫНКА</t>
        </is>
      </c>
      <c r="O1" s="17" t="inlineStr">
        <is>
          <t>ЭКОНОМИКА ТЕКУЩАЯ</t>
        </is>
      </c>
      <c r="T1" s="18" t="inlineStr">
        <is>
          <t>ПРОДАЖИ</t>
        </is>
      </c>
      <c r="X1" s="19" t="inlineStr">
        <is>
          <t>С1: СРЕДНЯЯ РЫНКА</t>
        </is>
      </c>
      <c r="AE1" s="20" t="inlineStr">
        <is>
          <t>С2: МЕДИАНА РЫНКА</t>
        </is>
      </c>
      <c r="AL1" s="21" t="inlineStr">
        <is>
          <t>С3: МИН.КОНКУРЕНТ</t>
        </is>
      </c>
      <c r="AS1" s="22" t="inlineStr">
        <is>
          <t>С4: ПРОИЗВ.ЦЕНА</t>
        </is>
      </c>
      <c r="AZ1" s="23" t="inlineStr">
        <is>
          <t>С5: ЦЕЛЕВАЯ МАРЖА</t>
        </is>
      </c>
      <c r="BH1" s="24" t="inlineStr">
        <is>
          <t>МОДЕЛИРОВАНИЕ ПРОДАЖ</t>
        </is>
      </c>
    </row>
    <row r="2" ht="36" customHeight="1">
      <c r="A2" s="25" t="inlineStr">
        <is>
          <t>Наименование</t>
        </is>
      </c>
      <c r="B2" s="25" t="inlineStr">
        <is>
          <t>Штрихкод</t>
        </is>
      </c>
      <c r="C2" s="26" t="inlineStr">
        <is>
          <t>Закупочная цена</t>
        </is>
      </c>
      <c r="D2" s="26" t="inlineStr">
        <is>
          <t>Розничная цена ЗЯ</t>
        </is>
      </c>
      <c r="E2" s="26" t="inlineStr">
        <is>
          <t>Сигнал цены</t>
        </is>
      </c>
      <c r="F2" s="27" t="inlineStr">
        <is>
          <t>Ср.цена рынка</t>
        </is>
      </c>
      <c r="G2" s="27" t="inlineStr">
        <is>
          <t>Медиана рынка</t>
        </is>
      </c>
      <c r="H2" s="27" t="inlineStr">
        <is>
          <t>Мин.конкурент</t>
        </is>
      </c>
      <c r="I2" s="27" t="inlineStr">
        <is>
          <t>Макс.конкурент</t>
        </is>
      </c>
      <c r="J2" s="27" t="inlineStr">
        <is>
          <t>Откл.от средней</t>
        </is>
      </c>
      <c r="K2" s="27" t="inlineStr">
        <is>
          <t>Откл.от медианы</t>
        </is>
      </c>
      <c r="L2" s="27" t="inlineStr">
        <is>
          <t>Откл.от минимума</t>
        </is>
      </c>
      <c r="M2" s="27" t="inlineStr">
        <is>
          <t>Рейтинг цены</t>
        </is>
      </c>
      <c r="N2" s="27" t="inlineStr">
        <is>
          <t>Позиц.на рынке</t>
        </is>
      </c>
      <c r="O2" s="28" t="inlineStr">
        <is>
          <t>Наценка тек.%</t>
        </is>
      </c>
      <c r="P2" s="28" t="inlineStr">
        <is>
          <t>Маржа тек.%</t>
        </is>
      </c>
      <c r="Q2" s="28" t="inlineStr">
        <is>
          <t>ВП/ед тек.</t>
        </is>
      </c>
      <c r="R2" s="28" t="inlineStr">
        <is>
          <t>Сигнал маржи</t>
        </is>
      </c>
      <c r="S2" s="28" t="inlineStr">
        <is>
          <t>Риск потери ВП</t>
        </is>
      </c>
      <c r="T2" s="29" t="inlineStr">
        <is>
          <t>Кол-во продаж</t>
        </is>
      </c>
      <c r="U2" s="29" t="inlineStr">
        <is>
          <t>Выручка тек.</t>
        </is>
      </c>
      <c r="V2" s="29" t="inlineStr">
        <is>
          <t>ВП тек.суммарная</t>
        </is>
      </c>
      <c r="W2" s="29" t="inlineStr">
        <is>
          <t>Маржа тек.общая%</t>
        </is>
      </c>
      <c r="X2" s="30" t="inlineStr">
        <is>
          <t>С1:Цена</t>
        </is>
      </c>
      <c r="Y2" s="30" t="inlineStr">
        <is>
          <t>С1:Наценка%</t>
        </is>
      </c>
      <c r="Z2" s="30" t="inlineStr">
        <is>
          <t>С1:Маржа%</t>
        </is>
      </c>
      <c r="AA2" s="30" t="inlineStr">
        <is>
          <t>С1:ВП/ед</t>
        </is>
      </c>
      <c r="AB2" s="30" t="inlineStr">
        <is>
          <t>С1:Дельта цены%</t>
        </is>
      </c>
      <c r="AC2" s="30" t="inlineStr">
        <is>
          <t>С1:Дельта маржи%</t>
        </is>
      </c>
      <c r="AD2" s="30" t="inlineStr">
        <is>
          <t>С1:Дельта ВП/ед</t>
        </is>
      </c>
      <c r="AE2" s="31" t="inlineStr">
        <is>
          <t>С2:Цена</t>
        </is>
      </c>
      <c r="AF2" s="31" t="inlineStr">
        <is>
          <t>С2:Наценка%</t>
        </is>
      </c>
      <c r="AG2" s="31" t="inlineStr">
        <is>
          <t>С2:Маржа%</t>
        </is>
      </c>
      <c r="AH2" s="31" t="inlineStr">
        <is>
          <t>С2:ВП/ед</t>
        </is>
      </c>
      <c r="AI2" s="31" t="inlineStr">
        <is>
          <t>С2:Дельта цены%</t>
        </is>
      </c>
      <c r="AJ2" s="31" t="inlineStr">
        <is>
          <t>С2:Дельта маржи%</t>
        </is>
      </c>
      <c r="AK2" s="31" t="inlineStr">
        <is>
          <t>С2:Дельта ВП/ед</t>
        </is>
      </c>
      <c r="AL2" s="32" t="inlineStr">
        <is>
          <t>С3:Цена</t>
        </is>
      </c>
      <c r="AM2" s="32" t="inlineStr">
        <is>
          <t>С3:Наценка%</t>
        </is>
      </c>
      <c r="AN2" s="32" t="inlineStr">
        <is>
          <t>С3:Маржа%</t>
        </is>
      </c>
      <c r="AO2" s="32" t="inlineStr">
        <is>
          <t>С3:ВП/ед</t>
        </is>
      </c>
      <c r="AP2" s="32" t="inlineStr">
        <is>
          <t>С3:Дельта цены%</t>
        </is>
      </c>
      <c r="AQ2" s="32" t="inlineStr">
        <is>
          <t>С3:Дельта маржи%</t>
        </is>
      </c>
      <c r="AR2" s="32" t="inlineStr">
        <is>
          <t>С3:Дельта ВП/ед</t>
        </is>
      </c>
      <c r="AS2" s="33" t="inlineStr">
        <is>
          <t>С4:Нов.цена[ВВОД]</t>
        </is>
      </c>
      <c r="AT2" s="33" t="inlineStr">
        <is>
          <t>С4:Наценка%</t>
        </is>
      </c>
      <c r="AU2" s="33" t="inlineStr">
        <is>
          <t>С4:Маржа%</t>
        </is>
      </c>
      <c r="AV2" s="33" t="inlineStr">
        <is>
          <t>С4:ВП/ед</t>
        </is>
      </c>
      <c r="AW2" s="33" t="inlineStr">
        <is>
          <t>С4:Дельта цены%</t>
        </is>
      </c>
      <c r="AX2" s="33" t="inlineStr">
        <is>
          <t>С4:Дельта маржи%</t>
        </is>
      </c>
      <c r="AY2" s="33" t="inlineStr">
        <is>
          <t>С4:Дельта ВП/ед</t>
        </is>
      </c>
      <c r="AZ2" s="34" t="inlineStr">
        <is>
          <t>С5:Цел.маржа[ВВОД]</t>
        </is>
      </c>
      <c r="BA2" s="34" t="inlineStr">
        <is>
          <t>С5:Цена</t>
        </is>
      </c>
      <c r="BB2" s="34" t="inlineStr">
        <is>
          <t>С5:Наценка%</t>
        </is>
      </c>
      <c r="BC2" s="34" t="inlineStr">
        <is>
          <t>С5:Маржа%</t>
        </is>
      </c>
      <c r="BD2" s="34" t="inlineStr">
        <is>
          <t>С5:ВП/ед</t>
        </is>
      </c>
      <c r="BE2" s="34" t="inlineStr">
        <is>
          <t>С5:Дельта цены%</t>
        </is>
      </c>
      <c r="BF2" s="34" t="inlineStr">
        <is>
          <t>С5:Дельта маржи%</t>
        </is>
      </c>
      <c r="BG2" s="34" t="inlineStr">
        <is>
          <t>С5:Дельта ВП/ед</t>
        </is>
      </c>
      <c r="BH2" s="35" t="inlineStr">
        <is>
          <t>С1:Прогн.выручка</t>
        </is>
      </c>
      <c r="BI2" s="35" t="inlineStr">
        <is>
          <t>С1:Прогн.ВП</t>
        </is>
      </c>
      <c r="BJ2" s="35" t="inlineStr">
        <is>
          <t>С2:Прогн.выручка</t>
        </is>
      </c>
      <c r="BK2" s="35" t="inlineStr">
        <is>
          <t>С2:Прогн.ВП</t>
        </is>
      </c>
      <c r="BL2" s="35" t="inlineStr">
        <is>
          <t>С3:Прогн.выручка</t>
        </is>
      </c>
      <c r="BM2" s="35" t="inlineStr">
        <is>
          <t>С3:Прогн.ВП</t>
        </is>
      </c>
      <c r="BN2" s="35" t="inlineStr">
        <is>
          <t>С4:Прогн.выручка</t>
        </is>
      </c>
      <c r="BO2" s="35" t="inlineStr">
        <is>
          <t>С4:Прогн.ВП</t>
        </is>
      </c>
      <c r="BP2" s="35" t="inlineStr">
        <is>
          <t>С5:Прогн.выручка</t>
        </is>
      </c>
      <c r="BQ2" s="35" t="inlineStr">
        <is>
          <t>С5:Прогн.ВП</t>
        </is>
      </c>
      <c r="BR2" s="35" t="inlineStr">
        <is>
          <t>С1:Треб.рост шт</t>
        </is>
      </c>
      <c r="BS2" s="35" t="inlineStr">
        <is>
          <t>С1:Треб.рост %</t>
        </is>
      </c>
      <c r="BT2" s="35" t="inlineStr">
        <is>
          <t>С3:Треб.рост шт</t>
        </is>
      </c>
      <c r="BU2" s="35" t="inlineStr">
        <is>
          <t>С3:Треб.рост %</t>
        </is>
      </c>
    </row>
    <row r="3">
      <c r="A3" s="36">
        <f>'📊 Исходные данные'!A2</f>
        <v/>
      </c>
      <c r="B3" s="37">
        <f>'📊 Исходные данные'!B2</f>
        <v/>
      </c>
      <c r="C3" s="38">
        <f>'📊 Исходные данные'!C2</f>
        <v/>
      </c>
      <c r="D3" s="38">
        <f>'📊 Исходные данные'!D2</f>
        <v/>
      </c>
      <c r="E3" s="39">
        <f>IF(OR(D3="",F3=""),"-",IF(D3&gt;F3*1.05,"Выше рынка",IF(D3&lt;F3*0.95,"Ниже рынка","На уровне")))</f>
        <v/>
      </c>
      <c r="F3" s="40">
        <f>IFERROR(AVERAGE('📊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G3" s="40">
        <f>IFERROR(MEDIAN('📊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H3" s="40">
        <f>IFERROR(MIN('📊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I3" s="40">
        <f>IFERROR(MAX('📊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данные'!K2),"")</f>
        <v/>
      </c>
      <c r="J3" s="41">
        <f>IF(AND(D3&lt;&gt;"",F3&lt;&gt;""),(D3-F3)/F3,"")</f>
        <v/>
      </c>
      <c r="K3" s="41">
        <f>IF(AND(D3&lt;&gt;"",G3&lt;&gt;""),(D3-G3)/G3,"")</f>
        <v/>
      </c>
      <c r="L3" s="41">
        <f>IF(AND(D3&lt;&gt;"",H3&lt;&gt;""),(D3-H3)/H3,"")</f>
        <v/>
      </c>
      <c r="M3" s="42">
        <f>IFERROR(RANK(D3,('📊 Исходные данные'!E2,'📊 Исходные данные'!F2,'📊 Исходные данные'!G2,'📊 Исходные данные'!H2,'📊 Исходные данные'!I2,'📊 Исходные данные'!J2,'📊 Исходные данные'!K2)),"")</f>
        <v/>
      </c>
      <c r="N3" s="39">
        <f>IF(M3="","-",IF(M3=1,"Дороже всех",IF(M3=2,"2-й по цене",IF(M3&lt;=4,"Средний","Ниже конкурентов"))))</f>
        <v/>
      </c>
      <c r="O3" s="41">
        <f>IF(AND(C3&gt;0,D3&gt;0),(D3-C3)/C3,"")</f>
        <v/>
      </c>
      <c r="P3" s="41">
        <f>IF(AND(C3&gt;0,D3&gt;0),(D3-C3)/D3,"")</f>
        <v/>
      </c>
      <c r="Q3" s="40">
        <f>IF(AND(C3&gt;0,D3&gt;0),D3-C3,"")</f>
        <v/>
      </c>
      <c r="R3" s="39">
        <f>IF(P3="","-",IF(P3&lt;0.1,"Низкая(&lt;10%)",IF(P3&lt;0.2,"Средняя(10-20%)","Хорошая(&gt;20%)")))</f>
        <v/>
      </c>
      <c r="S3" s="39">
        <f>IF(OR(H3="",C3=""),"-",IF((H3-C3)/H3&lt;0.05,"КРИТИЧНО",IF((H3-C3)/H3&lt;0.15,"УМЕРЕННЫЙ","НИЗКИЙ")))</f>
        <v/>
      </c>
      <c r="T3" s="43" t="n"/>
      <c r="U3" s="40">
        <f>IF(T3&gt;0,T3*D3,"")</f>
        <v/>
      </c>
      <c r="V3" s="40">
        <f>IF(T3&gt;0,T3*Q3,"")</f>
        <v/>
      </c>
      <c r="W3" s="41">
        <f>IF(U3&gt;0,V3/U3,"")</f>
        <v/>
      </c>
      <c r="X3" s="40">
        <f>IF(F3&lt;&gt;"",F3,"")</f>
        <v/>
      </c>
      <c r="Y3" s="41">
        <f>IF(AND(X3&lt;&gt;"",C3&gt;0),(X3-C3)/C3,"")</f>
        <v/>
      </c>
      <c r="Z3" s="41">
        <f>IF(AND(X3&lt;&gt;"",X3&gt;0),(X3-C3)/X3,"")</f>
        <v/>
      </c>
      <c r="AA3" s="40">
        <f>IF(AND(X3&lt;&gt;"",C3&gt;0),X3-C3,"")</f>
        <v/>
      </c>
      <c r="AB3" s="41">
        <f>IF(AND(X3&lt;&gt;"",D3&gt;0),(X3-D3)/D3,"")</f>
        <v/>
      </c>
      <c r="AC3" s="41">
        <f>IF(AND(Z3&lt;&gt;"",P3&lt;&gt;""),(Z3-P3)/ABS(IF(P3=0,1,P3)),"")</f>
        <v/>
      </c>
      <c r="AD3" s="40">
        <f>IF(AND(AA3&lt;&gt;"",Q3&lt;&gt;""),AA3-Q3,"")</f>
        <v/>
      </c>
      <c r="AE3" s="40">
        <f>IF(G3&lt;&gt;"",G3,"")</f>
        <v/>
      </c>
      <c r="AF3" s="41">
        <f>IF(AND(AE3&lt;&gt;"",C3&gt;0),(AE3-C3)/C3,"")</f>
        <v/>
      </c>
      <c r="AG3" s="41">
        <f>IF(AND(AE3&lt;&gt;"",AE3&gt;0),(AE3-C3)/AE3,"")</f>
        <v/>
      </c>
      <c r="AH3" s="40">
        <f>IF(AND(AE3&lt;&gt;"",C3&gt;0),AE3-C3,"")</f>
        <v/>
      </c>
      <c r="AI3" s="41">
        <f>IF(AND(AE3&lt;&gt;"",D3&gt;0),(AE3-D3)/D3,"")</f>
        <v/>
      </c>
      <c r="AJ3" s="41">
        <f>IF(AND(AG3&lt;&gt;"",P3&lt;&gt;""),(AG3-P3)/ABS(IF(P3=0,1,P3)),"")</f>
        <v/>
      </c>
      <c r="AK3" s="40">
        <f>IF(AND(AH3&lt;&gt;"",Q3&lt;&gt;""),AH3-Q3,"")</f>
        <v/>
      </c>
      <c r="AL3" s="40">
        <f>IF(H3&lt;&gt;"",H3,"")</f>
        <v/>
      </c>
      <c r="AM3" s="41">
        <f>IF(AND(AL3&lt;&gt;"",C3&gt;0),(AL3-C3)/C3,"")</f>
        <v/>
      </c>
      <c r="AN3" s="41">
        <f>IF(AND(AL3&lt;&gt;"",AL3&gt;0),(AL3-C3)/AL3,"")</f>
        <v/>
      </c>
      <c r="AO3" s="40">
        <f>IF(AND(AL3&lt;&gt;"",C3&gt;0),AL3-C3,"")</f>
        <v/>
      </c>
      <c r="AP3" s="41">
        <f>IF(AND(AL3&lt;&gt;"",D3&gt;0),(AL3-D3)/D3,"")</f>
        <v/>
      </c>
      <c r="AQ3" s="41">
        <f>IF(AND(AN3&lt;&gt;"",P3&lt;&gt;""),(AN3-P3)/ABS(IF(P3=0,1,P3)),"")</f>
        <v/>
      </c>
      <c r="AR3" s="40">
        <f>IF(AND(AO3&lt;&gt;"",Q3&lt;&gt;""),AO3-Q3,"")</f>
        <v/>
      </c>
      <c r="AS3" s="44" t="n"/>
      <c r="AT3" s="41">
        <f>IF(AND(AS3&gt;0,C3&gt;0),(AS3-C3)/C3,"")</f>
        <v/>
      </c>
      <c r="AU3" s="41">
        <f>IF(AND(AS3&gt;0,AS3&gt;0),(AS3-C3)/AS3,"")</f>
        <v/>
      </c>
      <c r="AV3" s="40">
        <f>IF(AND(AS3&gt;0,C3&gt;0),AS3-C3,"")</f>
        <v/>
      </c>
      <c r="AW3" s="41">
        <f>IF(AND(AS3&gt;0,D3&gt;0),(AS3-D3)/D3,"")</f>
        <v/>
      </c>
      <c r="AX3" s="41">
        <f>IF(AND(AU3&lt;&gt;"",P3&lt;&gt;""),(AU3-P3)/ABS(IF(P3=0,1,P3)),"")</f>
        <v/>
      </c>
      <c r="AY3" s="40">
        <f>IF(AND(AV3&lt;&gt;"",Q3&lt;&gt;""),AV3-Q3,"")</f>
        <v/>
      </c>
      <c r="AZ3" s="45" t="n"/>
      <c r="BA3" s="40">
        <f>IF(AND(AZ3&gt;0,C3&gt;0),C3/(1-AZ3),"")</f>
        <v/>
      </c>
      <c r="BB3" s="41">
        <f>IF(AND(BA3&lt;&gt;"",C3&gt;0),(BA3-C3)/C3,"")</f>
        <v/>
      </c>
      <c r="BC3" s="41">
        <f>IF(BA3&lt;&gt;"",AZ3,"")</f>
        <v/>
      </c>
      <c r="BD3" s="40">
        <f>IF(AND(BA3&lt;&gt;"",C3&gt;0),BA3-C3,"")</f>
        <v/>
      </c>
      <c r="BE3" s="41">
        <f>IF(AND(BA3&lt;&gt;"",D3&gt;0),(BA3-D3)/D3,"")</f>
        <v/>
      </c>
      <c r="BF3" s="41">
        <f>IF(AND(BC3&lt;&gt;"",P3&lt;&gt;""),(BC3-P3)/ABS(IF(P3=0,1,P3)),"")</f>
        <v/>
      </c>
      <c r="BG3" s="40">
        <f>IF(AND(BD3&lt;&gt;"",Q3&lt;&gt;""),BD3-Q3,"")</f>
        <v/>
      </c>
      <c r="BH3" s="40">
        <f>IF(AND(T3&gt;0,X3&lt;&gt;""),T3*X3,"")</f>
        <v/>
      </c>
      <c r="BI3" s="40">
        <f>IF(AND(T3&gt;0,AA3&lt;&gt;""),T3*AA3,"")</f>
        <v/>
      </c>
      <c r="BJ3" s="40">
        <f>IF(AND(T3&gt;0,AE3&lt;&gt;""),T3*AE3,"")</f>
        <v/>
      </c>
      <c r="BK3" s="40">
        <f>IF(AND(T3&gt;0,AH3&lt;&gt;""),T3*AH3,"")</f>
        <v/>
      </c>
      <c r="BL3" s="40">
        <f>IF(AND(T3&gt;0,AL3&lt;&gt;""),T3*AL3,"")</f>
        <v/>
      </c>
      <c r="BM3" s="40">
        <f>IF(AND(T3&gt;0,AO3&lt;&gt;""),T3*AO3,"")</f>
        <v/>
      </c>
      <c r="BN3" s="40">
        <f>IF(AND(T3&gt;0,AS3&gt;0),T3*AS3,"")</f>
        <v/>
      </c>
      <c r="BO3" s="40">
        <f>IF(AND(T3&gt;0,AV3&lt;&gt;""),T3*AV3,"")</f>
        <v/>
      </c>
      <c r="BP3" s="40">
        <f>IF(AND(T3&gt;0,BA3&lt;&gt;""),T3*BA3,"")</f>
        <v/>
      </c>
      <c r="BQ3" s="40">
        <f>IF(AND(T3&gt;0,BD3&lt;&gt;""),T3*BD3,"")</f>
        <v/>
      </c>
      <c r="BR3" s="46">
        <f>IF(AND(T3&gt;0,V3&gt;0,AA3&lt;&gt;0),V3/AA3-T3,"")</f>
        <v/>
      </c>
      <c r="BS3" s="41">
        <f>IF(AND(BR3&lt;&gt;"",T3&gt;0),BR3/T3,"")</f>
        <v/>
      </c>
      <c r="BT3" s="46">
        <f>IF(AND(T3&gt;0,V3&gt;0,AO3&lt;&gt;0),V3/AO3-T3,"")</f>
        <v/>
      </c>
      <c r="BU3" s="41">
        <f>IF(AND(BT3&lt;&gt;"",T3&gt;0),BT3/T3,"")</f>
        <v/>
      </c>
    </row>
    <row r="4">
      <c r="A4" s="36">
        <f>'📊 Исходные данные'!A3</f>
        <v/>
      </c>
      <c r="B4" s="37">
        <f>'📊 Исходные данные'!B3</f>
        <v/>
      </c>
      <c r="C4" s="38">
        <f>'📊 Исходные данные'!C3</f>
        <v/>
      </c>
      <c r="D4" s="38">
        <f>'📊 Исходные данные'!D3</f>
        <v/>
      </c>
      <c r="E4" s="39">
        <f>IF(OR(D4="",F4=""),"-",IF(D4&gt;F4*1.05,"Выше рынка",IF(D4&lt;F4*0.95,"Ниже рынка","На уровне")))</f>
        <v/>
      </c>
      <c r="F4" s="40">
        <f>IFERROR(AVERAGE('📊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G4" s="40">
        <f>IFERROR(MEDIAN('📊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H4" s="40">
        <f>IFERROR(MIN('📊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I4" s="40">
        <f>IFERROR(MAX('📊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данные'!K3),"")</f>
        <v/>
      </c>
      <c r="J4" s="41">
        <f>IF(AND(D4&lt;&gt;"",F4&lt;&gt;""),(D4-F4)/F4,"")</f>
        <v/>
      </c>
      <c r="K4" s="41">
        <f>IF(AND(D4&lt;&gt;"",G4&lt;&gt;""),(D4-G4)/G4,"")</f>
        <v/>
      </c>
      <c r="L4" s="41">
        <f>IF(AND(D4&lt;&gt;"",H4&lt;&gt;""),(D4-H4)/H4,"")</f>
        <v/>
      </c>
      <c r="M4" s="42">
        <f>IFERROR(RANK(D4,('📊 Исходные данные'!E3,'📊 Исходные данные'!F3,'📊 Исходные данные'!G3,'📊 Исходные данные'!H3,'📊 Исходные данные'!I3,'📊 Исходные данные'!J3,'📊 Исходные данные'!K3)),"")</f>
        <v/>
      </c>
      <c r="N4" s="39">
        <f>IF(M4="","-",IF(M4=1,"Дороже всех",IF(M4=2,"2-й по цене",IF(M4&lt;=4,"Средний","Ниже конкурентов"))))</f>
        <v/>
      </c>
      <c r="O4" s="41">
        <f>IF(AND(C4&gt;0,D4&gt;0),(D4-C4)/C4,"")</f>
        <v/>
      </c>
      <c r="P4" s="41">
        <f>IF(AND(C4&gt;0,D4&gt;0),(D4-C4)/D4,"")</f>
        <v/>
      </c>
      <c r="Q4" s="40">
        <f>IF(AND(C4&gt;0,D4&gt;0),D4-C4,"")</f>
        <v/>
      </c>
      <c r="R4" s="39">
        <f>IF(P4="","-",IF(P4&lt;0.1,"Низкая(&lt;10%)",IF(P4&lt;0.2,"Средняя(10-20%)","Хорошая(&gt;20%)")))</f>
        <v/>
      </c>
      <c r="S4" s="39">
        <f>IF(OR(H4="",C4=""),"-",IF((H4-C4)/H4&lt;0.05,"КРИТИЧНО",IF((H4-C4)/H4&lt;0.15,"УМЕРЕННЫЙ","НИЗКИЙ")))</f>
        <v/>
      </c>
      <c r="T4" s="43" t="n"/>
      <c r="U4" s="40">
        <f>IF(T4&gt;0,T4*D4,"")</f>
        <v/>
      </c>
      <c r="V4" s="40">
        <f>IF(T4&gt;0,T4*Q4,"")</f>
        <v/>
      </c>
      <c r="W4" s="41">
        <f>IF(U4&gt;0,V4/U4,"")</f>
        <v/>
      </c>
      <c r="X4" s="40">
        <f>IF(F4&lt;&gt;"",F4,"")</f>
        <v/>
      </c>
      <c r="Y4" s="41">
        <f>IF(AND(X4&lt;&gt;"",C4&gt;0),(X4-C4)/C4,"")</f>
        <v/>
      </c>
      <c r="Z4" s="41">
        <f>IF(AND(X4&lt;&gt;"",X4&gt;0),(X4-C4)/X4,"")</f>
        <v/>
      </c>
      <c r="AA4" s="40">
        <f>IF(AND(X4&lt;&gt;"",C4&gt;0),X4-C4,"")</f>
        <v/>
      </c>
      <c r="AB4" s="41">
        <f>IF(AND(X4&lt;&gt;"",D4&gt;0),(X4-D4)/D4,"")</f>
        <v/>
      </c>
      <c r="AC4" s="41">
        <f>IF(AND(Z4&lt;&gt;"",P4&lt;&gt;""),(Z4-P4)/ABS(IF(P4=0,1,P4)),"")</f>
        <v/>
      </c>
      <c r="AD4" s="40">
        <f>IF(AND(AA4&lt;&gt;"",Q4&lt;&gt;""),AA4-Q4,"")</f>
        <v/>
      </c>
      <c r="AE4" s="40">
        <f>IF(G4&lt;&gt;"",G4,"")</f>
        <v/>
      </c>
      <c r="AF4" s="41">
        <f>IF(AND(AE4&lt;&gt;"",C4&gt;0),(AE4-C4)/C4,"")</f>
        <v/>
      </c>
      <c r="AG4" s="41">
        <f>IF(AND(AE4&lt;&gt;"",AE4&gt;0),(AE4-C4)/AE4,"")</f>
        <v/>
      </c>
      <c r="AH4" s="40">
        <f>IF(AND(AE4&lt;&gt;"",C4&gt;0),AE4-C4,"")</f>
        <v/>
      </c>
      <c r="AI4" s="41">
        <f>IF(AND(AE4&lt;&gt;"",D4&gt;0),(AE4-D4)/D4,"")</f>
        <v/>
      </c>
      <c r="AJ4" s="41">
        <f>IF(AND(AG4&lt;&gt;"",P4&lt;&gt;""),(AG4-P4)/ABS(IF(P4=0,1,P4)),"")</f>
        <v/>
      </c>
      <c r="AK4" s="40">
        <f>IF(AND(AH4&lt;&gt;"",Q4&lt;&gt;""),AH4-Q4,"")</f>
        <v/>
      </c>
      <c r="AL4" s="40">
        <f>IF(H4&lt;&gt;"",H4,"")</f>
        <v/>
      </c>
      <c r="AM4" s="41">
        <f>IF(AND(AL4&lt;&gt;"",C4&gt;0),(AL4-C4)/C4,"")</f>
        <v/>
      </c>
      <c r="AN4" s="41">
        <f>IF(AND(AL4&lt;&gt;"",AL4&gt;0),(AL4-C4)/AL4,"")</f>
        <v/>
      </c>
      <c r="AO4" s="40">
        <f>IF(AND(AL4&lt;&gt;"",C4&gt;0),AL4-C4,"")</f>
        <v/>
      </c>
      <c r="AP4" s="41">
        <f>IF(AND(AL4&lt;&gt;"",D4&gt;0),(AL4-D4)/D4,"")</f>
        <v/>
      </c>
      <c r="AQ4" s="41">
        <f>IF(AND(AN4&lt;&gt;"",P4&lt;&gt;""),(AN4-P4)/ABS(IF(P4=0,1,P4)),"")</f>
        <v/>
      </c>
      <c r="AR4" s="40">
        <f>IF(AND(AO4&lt;&gt;"",Q4&lt;&gt;""),AO4-Q4,"")</f>
        <v/>
      </c>
      <c r="AS4" s="44" t="n"/>
      <c r="AT4" s="41">
        <f>IF(AND(AS4&gt;0,C4&gt;0),(AS4-C4)/C4,"")</f>
        <v/>
      </c>
      <c r="AU4" s="41">
        <f>IF(AND(AS4&gt;0,AS4&gt;0),(AS4-C4)/AS4,"")</f>
        <v/>
      </c>
      <c r="AV4" s="40">
        <f>IF(AND(AS4&gt;0,C4&gt;0),AS4-C4,"")</f>
        <v/>
      </c>
      <c r="AW4" s="41">
        <f>IF(AND(AS4&gt;0,D4&gt;0),(AS4-D4)/D4,"")</f>
        <v/>
      </c>
      <c r="AX4" s="41">
        <f>IF(AND(AU4&lt;&gt;"",P4&lt;&gt;""),(AU4-P4)/ABS(IF(P4=0,1,P4)),"")</f>
        <v/>
      </c>
      <c r="AY4" s="40">
        <f>IF(AND(AV4&lt;&gt;"",Q4&lt;&gt;""),AV4-Q4,"")</f>
        <v/>
      </c>
      <c r="AZ4" s="45" t="n"/>
      <c r="BA4" s="40">
        <f>IF(AND(AZ4&gt;0,C4&gt;0),C4/(1-AZ4),"")</f>
        <v/>
      </c>
      <c r="BB4" s="41">
        <f>IF(AND(BA4&lt;&gt;"",C4&gt;0),(BA4-C4)/C4,"")</f>
        <v/>
      </c>
      <c r="BC4" s="41">
        <f>IF(BA4&lt;&gt;"",AZ4,"")</f>
        <v/>
      </c>
      <c r="BD4" s="40">
        <f>IF(AND(BA4&lt;&gt;"",C4&gt;0),BA4-C4,"")</f>
        <v/>
      </c>
      <c r="BE4" s="41">
        <f>IF(AND(BA4&lt;&gt;"",D4&gt;0),(BA4-D4)/D4,"")</f>
        <v/>
      </c>
      <c r="BF4" s="41">
        <f>IF(AND(BC4&lt;&gt;"",P4&lt;&gt;""),(BC4-P4)/ABS(IF(P4=0,1,P4)),"")</f>
        <v/>
      </c>
      <c r="BG4" s="40">
        <f>IF(AND(BD4&lt;&gt;"",Q4&lt;&gt;""),BD4-Q4,"")</f>
        <v/>
      </c>
      <c r="BH4" s="40">
        <f>IF(AND(T4&gt;0,X4&lt;&gt;""),T4*X4,"")</f>
        <v/>
      </c>
      <c r="BI4" s="40">
        <f>IF(AND(T4&gt;0,AA4&lt;&gt;""),T4*AA4,"")</f>
        <v/>
      </c>
      <c r="BJ4" s="40">
        <f>IF(AND(T4&gt;0,AE4&lt;&gt;""),T4*AE4,"")</f>
        <v/>
      </c>
      <c r="BK4" s="40">
        <f>IF(AND(T4&gt;0,AH4&lt;&gt;""),T4*AH4,"")</f>
        <v/>
      </c>
      <c r="BL4" s="40">
        <f>IF(AND(T4&gt;0,AL4&lt;&gt;""),T4*AL4,"")</f>
        <v/>
      </c>
      <c r="BM4" s="40">
        <f>IF(AND(T4&gt;0,AO4&lt;&gt;""),T4*AO4,"")</f>
        <v/>
      </c>
      <c r="BN4" s="40">
        <f>IF(AND(T4&gt;0,AS4&gt;0),T4*AS4,"")</f>
        <v/>
      </c>
      <c r="BO4" s="40">
        <f>IF(AND(T4&gt;0,AV4&lt;&gt;""),T4*AV4,"")</f>
        <v/>
      </c>
      <c r="BP4" s="40">
        <f>IF(AND(T4&gt;0,BA4&lt;&gt;""),T4*BA4,"")</f>
        <v/>
      </c>
      <c r="BQ4" s="40">
        <f>IF(AND(T4&gt;0,BD4&lt;&gt;""),T4*BD4,"")</f>
        <v/>
      </c>
      <c r="BR4" s="46">
        <f>IF(AND(T4&gt;0,V4&gt;0,AA4&lt;&gt;0),V4/AA4-T4,"")</f>
        <v/>
      </c>
      <c r="BS4" s="41">
        <f>IF(AND(BR4&lt;&gt;"",T4&gt;0),BR4/T4,"")</f>
        <v/>
      </c>
      <c r="BT4" s="46">
        <f>IF(AND(T4&gt;0,V4&gt;0,AO4&lt;&gt;0),V4/AO4-T4,"")</f>
        <v/>
      </c>
      <c r="BU4" s="41">
        <f>IF(AND(BT4&lt;&gt;"",T4&gt;0),BT4/T4,"")</f>
        <v/>
      </c>
    </row>
    <row r="5">
      <c r="A5" s="36">
        <f>'📊 Исходные данные'!A4</f>
        <v/>
      </c>
      <c r="B5" s="37">
        <f>'📊 Исходные данные'!B4</f>
        <v/>
      </c>
      <c r="C5" s="38">
        <f>'📊 Исходные данные'!C4</f>
        <v/>
      </c>
      <c r="D5" s="38">
        <f>'📊 Исходные данные'!D4</f>
        <v/>
      </c>
      <c r="E5" s="39">
        <f>IF(OR(D5="",F5=""),"-",IF(D5&gt;F5*1.05,"Выше рынка",IF(D5&lt;F5*0.95,"Ниже рынка","На уровне")))</f>
        <v/>
      </c>
      <c r="F5" s="40">
        <f>IFERROR(AVERAGE('📊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G5" s="40">
        <f>IFERROR(MEDIAN('📊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H5" s="40">
        <f>IFERROR(MIN('📊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I5" s="40">
        <f>IFERROR(MAX('📊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данные'!K4),"")</f>
        <v/>
      </c>
      <c r="J5" s="41">
        <f>IF(AND(D5&lt;&gt;"",F5&lt;&gt;""),(D5-F5)/F5,"")</f>
        <v/>
      </c>
      <c r="K5" s="41">
        <f>IF(AND(D5&lt;&gt;"",G5&lt;&gt;""),(D5-G5)/G5,"")</f>
        <v/>
      </c>
      <c r="L5" s="41">
        <f>IF(AND(D5&lt;&gt;"",H5&lt;&gt;""),(D5-H5)/H5,"")</f>
        <v/>
      </c>
      <c r="M5" s="42">
        <f>IFERROR(RANK(D5,('📊 Исходные данные'!E4,'📊 Исходные данные'!F4,'📊 Исходные данные'!G4,'📊 Исходные данные'!H4,'📊 Исходные данные'!I4,'📊 Исходные данные'!J4,'📊 Исходные данные'!K4)),"")</f>
        <v/>
      </c>
      <c r="N5" s="39">
        <f>IF(M5="","-",IF(M5=1,"Дороже всех",IF(M5=2,"2-й по цене",IF(M5&lt;=4,"Средний","Ниже конкурентов"))))</f>
        <v/>
      </c>
      <c r="O5" s="41">
        <f>IF(AND(C5&gt;0,D5&gt;0),(D5-C5)/C5,"")</f>
        <v/>
      </c>
      <c r="P5" s="41">
        <f>IF(AND(C5&gt;0,D5&gt;0),(D5-C5)/D5,"")</f>
        <v/>
      </c>
      <c r="Q5" s="40">
        <f>IF(AND(C5&gt;0,D5&gt;0),D5-C5,"")</f>
        <v/>
      </c>
      <c r="R5" s="39">
        <f>IF(P5="","-",IF(P5&lt;0.1,"Низкая(&lt;10%)",IF(P5&lt;0.2,"Средняя(10-20%)","Хорошая(&gt;20%)")))</f>
        <v/>
      </c>
      <c r="S5" s="39">
        <f>IF(OR(H5="",C5=""),"-",IF((H5-C5)/H5&lt;0.05,"КРИТИЧНО",IF((H5-C5)/H5&lt;0.15,"УМЕРЕННЫЙ","НИЗКИЙ")))</f>
        <v/>
      </c>
      <c r="T5" s="43" t="n"/>
      <c r="U5" s="40">
        <f>IF(T5&gt;0,T5*D5,"")</f>
        <v/>
      </c>
      <c r="V5" s="40">
        <f>IF(T5&gt;0,T5*Q5,"")</f>
        <v/>
      </c>
      <c r="W5" s="41">
        <f>IF(U5&gt;0,V5/U5,"")</f>
        <v/>
      </c>
      <c r="X5" s="40">
        <f>IF(F5&lt;&gt;"",F5,"")</f>
        <v/>
      </c>
      <c r="Y5" s="41">
        <f>IF(AND(X5&lt;&gt;"",C5&gt;0),(X5-C5)/C5,"")</f>
        <v/>
      </c>
      <c r="Z5" s="41">
        <f>IF(AND(X5&lt;&gt;"",X5&gt;0),(X5-C5)/X5,"")</f>
        <v/>
      </c>
      <c r="AA5" s="40">
        <f>IF(AND(X5&lt;&gt;"",C5&gt;0),X5-C5,"")</f>
        <v/>
      </c>
      <c r="AB5" s="41">
        <f>IF(AND(X5&lt;&gt;"",D5&gt;0),(X5-D5)/D5,"")</f>
        <v/>
      </c>
      <c r="AC5" s="41">
        <f>IF(AND(Z5&lt;&gt;"",P5&lt;&gt;""),(Z5-P5)/ABS(IF(P5=0,1,P5)),"")</f>
        <v/>
      </c>
      <c r="AD5" s="40">
        <f>IF(AND(AA5&lt;&gt;"",Q5&lt;&gt;""),AA5-Q5,"")</f>
        <v/>
      </c>
      <c r="AE5" s="40">
        <f>IF(G5&lt;&gt;"",G5,"")</f>
        <v/>
      </c>
      <c r="AF5" s="41">
        <f>IF(AND(AE5&lt;&gt;"",C5&gt;0),(AE5-C5)/C5,"")</f>
        <v/>
      </c>
      <c r="AG5" s="41">
        <f>IF(AND(AE5&lt;&gt;"",AE5&gt;0),(AE5-C5)/AE5,"")</f>
        <v/>
      </c>
      <c r="AH5" s="40">
        <f>IF(AND(AE5&lt;&gt;"",C5&gt;0),AE5-C5,"")</f>
        <v/>
      </c>
      <c r="AI5" s="41">
        <f>IF(AND(AE5&lt;&gt;"",D5&gt;0),(AE5-D5)/D5,"")</f>
        <v/>
      </c>
      <c r="AJ5" s="41">
        <f>IF(AND(AG5&lt;&gt;"",P5&lt;&gt;""),(AG5-P5)/ABS(IF(P5=0,1,P5)),"")</f>
        <v/>
      </c>
      <c r="AK5" s="40">
        <f>IF(AND(AH5&lt;&gt;"",Q5&lt;&gt;""),AH5-Q5,"")</f>
        <v/>
      </c>
      <c r="AL5" s="40">
        <f>IF(H5&lt;&gt;"",H5,"")</f>
        <v/>
      </c>
      <c r="AM5" s="41">
        <f>IF(AND(AL5&lt;&gt;"",C5&gt;0),(AL5-C5)/C5,"")</f>
        <v/>
      </c>
      <c r="AN5" s="41">
        <f>IF(AND(AL5&lt;&gt;"",AL5&gt;0),(AL5-C5)/AL5,"")</f>
        <v/>
      </c>
      <c r="AO5" s="40">
        <f>IF(AND(AL5&lt;&gt;"",C5&gt;0),AL5-C5,"")</f>
        <v/>
      </c>
      <c r="AP5" s="41">
        <f>IF(AND(AL5&lt;&gt;"",D5&gt;0),(AL5-D5)/D5,"")</f>
        <v/>
      </c>
      <c r="AQ5" s="41">
        <f>IF(AND(AN5&lt;&gt;"",P5&lt;&gt;""),(AN5-P5)/ABS(IF(P5=0,1,P5)),"")</f>
        <v/>
      </c>
      <c r="AR5" s="40">
        <f>IF(AND(AO5&lt;&gt;"",Q5&lt;&gt;""),AO5-Q5,"")</f>
        <v/>
      </c>
      <c r="AS5" s="44" t="n"/>
      <c r="AT5" s="41">
        <f>IF(AND(AS5&gt;0,C5&gt;0),(AS5-C5)/C5,"")</f>
        <v/>
      </c>
      <c r="AU5" s="41">
        <f>IF(AND(AS5&gt;0,AS5&gt;0),(AS5-C5)/AS5,"")</f>
        <v/>
      </c>
      <c r="AV5" s="40">
        <f>IF(AND(AS5&gt;0,C5&gt;0),AS5-C5,"")</f>
        <v/>
      </c>
      <c r="AW5" s="41">
        <f>IF(AND(AS5&gt;0,D5&gt;0),(AS5-D5)/D5,"")</f>
        <v/>
      </c>
      <c r="AX5" s="41">
        <f>IF(AND(AU5&lt;&gt;"",P5&lt;&gt;""),(AU5-P5)/ABS(IF(P5=0,1,P5)),"")</f>
        <v/>
      </c>
      <c r="AY5" s="40">
        <f>IF(AND(AV5&lt;&gt;"",Q5&lt;&gt;""),AV5-Q5,"")</f>
        <v/>
      </c>
      <c r="AZ5" s="45" t="n"/>
      <c r="BA5" s="40">
        <f>IF(AND(AZ5&gt;0,C5&gt;0),C5/(1-AZ5),"")</f>
        <v/>
      </c>
      <c r="BB5" s="41">
        <f>IF(AND(BA5&lt;&gt;"",C5&gt;0),(BA5-C5)/C5,"")</f>
        <v/>
      </c>
      <c r="BC5" s="41">
        <f>IF(BA5&lt;&gt;"",AZ5,"")</f>
        <v/>
      </c>
      <c r="BD5" s="40">
        <f>IF(AND(BA5&lt;&gt;"",C5&gt;0),BA5-C5,"")</f>
        <v/>
      </c>
      <c r="BE5" s="41">
        <f>IF(AND(BA5&lt;&gt;"",D5&gt;0),(BA5-D5)/D5,"")</f>
        <v/>
      </c>
      <c r="BF5" s="41">
        <f>IF(AND(BC5&lt;&gt;"",P5&lt;&gt;""),(BC5-P5)/ABS(IF(P5=0,1,P5)),"")</f>
        <v/>
      </c>
      <c r="BG5" s="40">
        <f>IF(AND(BD5&lt;&gt;"",Q5&lt;&gt;""),BD5-Q5,"")</f>
        <v/>
      </c>
      <c r="BH5" s="40">
        <f>IF(AND(T5&gt;0,X5&lt;&gt;""),T5*X5,"")</f>
        <v/>
      </c>
      <c r="BI5" s="40">
        <f>IF(AND(T5&gt;0,AA5&lt;&gt;""),T5*AA5,"")</f>
        <v/>
      </c>
      <c r="BJ5" s="40">
        <f>IF(AND(T5&gt;0,AE5&lt;&gt;""),T5*AE5,"")</f>
        <v/>
      </c>
      <c r="BK5" s="40">
        <f>IF(AND(T5&gt;0,AH5&lt;&gt;""),T5*AH5,"")</f>
        <v/>
      </c>
      <c r="BL5" s="40">
        <f>IF(AND(T5&gt;0,AL5&lt;&gt;""),T5*AL5,"")</f>
        <v/>
      </c>
      <c r="BM5" s="40">
        <f>IF(AND(T5&gt;0,AO5&lt;&gt;""),T5*AO5,"")</f>
        <v/>
      </c>
      <c r="BN5" s="40">
        <f>IF(AND(T5&gt;0,AS5&gt;0),T5*AS5,"")</f>
        <v/>
      </c>
      <c r="BO5" s="40">
        <f>IF(AND(T5&gt;0,AV5&lt;&gt;""),T5*AV5,"")</f>
        <v/>
      </c>
      <c r="BP5" s="40">
        <f>IF(AND(T5&gt;0,BA5&lt;&gt;""),T5*BA5,"")</f>
        <v/>
      </c>
      <c r="BQ5" s="40">
        <f>IF(AND(T5&gt;0,BD5&lt;&gt;""),T5*BD5,"")</f>
        <v/>
      </c>
      <c r="BR5" s="46">
        <f>IF(AND(T5&gt;0,V5&gt;0,AA5&lt;&gt;0),V5/AA5-T5,"")</f>
        <v/>
      </c>
      <c r="BS5" s="41">
        <f>IF(AND(BR5&lt;&gt;"",T5&gt;0),BR5/T5,"")</f>
        <v/>
      </c>
      <c r="BT5" s="46">
        <f>IF(AND(T5&gt;0,V5&gt;0,AO5&lt;&gt;0),V5/AO5-T5,"")</f>
        <v/>
      </c>
      <c r="BU5" s="41">
        <f>IF(AND(BT5&lt;&gt;"",T5&gt;0),BT5/T5,"")</f>
        <v/>
      </c>
    </row>
    <row r="6">
      <c r="A6" s="36">
        <f>'📊 Исходные данные'!A5</f>
        <v/>
      </c>
      <c r="B6" s="37">
        <f>'📊 Исходные данные'!B5</f>
        <v/>
      </c>
      <c r="C6" s="38">
        <f>'📊 Исходные данные'!C5</f>
        <v/>
      </c>
      <c r="D6" s="38">
        <f>'📊 Исходные данные'!D5</f>
        <v/>
      </c>
      <c r="E6" s="39">
        <f>IF(OR(D6="",F6=""),"-",IF(D6&gt;F6*1.05,"Выше рынка",IF(D6&lt;F6*0.95,"Ниже рынка","На уровне")))</f>
        <v/>
      </c>
      <c r="F6" s="40">
        <f>IFERROR(AVERAGE('📊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G6" s="40">
        <f>IFERROR(MEDIAN('📊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H6" s="40">
        <f>IFERROR(MIN('📊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I6" s="40">
        <f>IFERROR(MAX('📊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данные'!K5),"")</f>
        <v/>
      </c>
      <c r="J6" s="41">
        <f>IF(AND(D6&lt;&gt;"",F6&lt;&gt;""),(D6-F6)/F6,"")</f>
        <v/>
      </c>
      <c r="K6" s="41">
        <f>IF(AND(D6&lt;&gt;"",G6&lt;&gt;""),(D6-G6)/G6,"")</f>
        <v/>
      </c>
      <c r="L6" s="41">
        <f>IF(AND(D6&lt;&gt;"",H6&lt;&gt;""),(D6-H6)/H6,"")</f>
        <v/>
      </c>
      <c r="M6" s="42">
        <f>IFERROR(RANK(D6,('📊 Исходные данные'!E5,'📊 Исходные данные'!F5,'📊 Исходные данные'!G5,'📊 Исходные данные'!H5,'📊 Исходные данные'!I5,'📊 Исходные данные'!J5,'📊 Исходные данные'!K5)),"")</f>
        <v/>
      </c>
      <c r="N6" s="39">
        <f>IF(M6="","-",IF(M6=1,"Дороже всех",IF(M6=2,"2-й по цене",IF(M6&lt;=4,"Средний","Ниже конкурентов"))))</f>
        <v/>
      </c>
      <c r="O6" s="41">
        <f>IF(AND(C6&gt;0,D6&gt;0),(D6-C6)/C6,"")</f>
        <v/>
      </c>
      <c r="P6" s="41">
        <f>IF(AND(C6&gt;0,D6&gt;0),(D6-C6)/D6,"")</f>
        <v/>
      </c>
      <c r="Q6" s="40">
        <f>IF(AND(C6&gt;0,D6&gt;0),D6-C6,"")</f>
        <v/>
      </c>
      <c r="R6" s="39">
        <f>IF(P6="","-",IF(P6&lt;0.1,"Низкая(&lt;10%)",IF(P6&lt;0.2,"Средняя(10-20%)","Хорошая(&gt;20%)")))</f>
        <v/>
      </c>
      <c r="S6" s="39">
        <f>IF(OR(H6="",C6=""),"-",IF((H6-C6)/H6&lt;0.05,"КРИТИЧНО",IF((H6-C6)/H6&lt;0.15,"УМЕРЕННЫЙ","НИЗКИЙ")))</f>
        <v/>
      </c>
      <c r="T6" s="43" t="n"/>
      <c r="U6" s="40">
        <f>IF(T6&gt;0,T6*D6,"")</f>
        <v/>
      </c>
      <c r="V6" s="40">
        <f>IF(T6&gt;0,T6*Q6,"")</f>
        <v/>
      </c>
      <c r="W6" s="41">
        <f>IF(U6&gt;0,V6/U6,"")</f>
        <v/>
      </c>
      <c r="X6" s="40">
        <f>IF(F6&lt;&gt;"",F6,"")</f>
        <v/>
      </c>
      <c r="Y6" s="41">
        <f>IF(AND(X6&lt;&gt;"",C6&gt;0),(X6-C6)/C6,"")</f>
        <v/>
      </c>
      <c r="Z6" s="41">
        <f>IF(AND(X6&lt;&gt;"",X6&gt;0),(X6-C6)/X6,"")</f>
        <v/>
      </c>
      <c r="AA6" s="40">
        <f>IF(AND(X6&lt;&gt;"",C6&gt;0),X6-C6,"")</f>
        <v/>
      </c>
      <c r="AB6" s="41">
        <f>IF(AND(X6&lt;&gt;"",D6&gt;0),(X6-D6)/D6,"")</f>
        <v/>
      </c>
      <c r="AC6" s="41">
        <f>IF(AND(Z6&lt;&gt;"",P6&lt;&gt;""),(Z6-P6)/ABS(IF(P6=0,1,P6)),"")</f>
        <v/>
      </c>
      <c r="AD6" s="40">
        <f>IF(AND(AA6&lt;&gt;"",Q6&lt;&gt;""),AA6-Q6,"")</f>
        <v/>
      </c>
      <c r="AE6" s="40">
        <f>IF(G6&lt;&gt;"",G6,"")</f>
        <v/>
      </c>
      <c r="AF6" s="41">
        <f>IF(AND(AE6&lt;&gt;"",C6&gt;0),(AE6-C6)/C6,"")</f>
        <v/>
      </c>
      <c r="AG6" s="41">
        <f>IF(AND(AE6&lt;&gt;"",AE6&gt;0),(AE6-C6)/AE6,"")</f>
        <v/>
      </c>
      <c r="AH6" s="40">
        <f>IF(AND(AE6&lt;&gt;"",C6&gt;0),AE6-C6,"")</f>
        <v/>
      </c>
      <c r="AI6" s="41">
        <f>IF(AND(AE6&lt;&gt;"",D6&gt;0),(AE6-D6)/D6,"")</f>
        <v/>
      </c>
      <c r="AJ6" s="41">
        <f>IF(AND(AG6&lt;&gt;"",P6&lt;&gt;""),(AG6-P6)/ABS(IF(P6=0,1,P6)),"")</f>
        <v/>
      </c>
      <c r="AK6" s="40">
        <f>IF(AND(AH6&lt;&gt;"",Q6&lt;&gt;""),AH6-Q6,"")</f>
        <v/>
      </c>
      <c r="AL6" s="40">
        <f>IF(H6&lt;&gt;"",H6,"")</f>
        <v/>
      </c>
      <c r="AM6" s="41">
        <f>IF(AND(AL6&lt;&gt;"",C6&gt;0),(AL6-C6)/C6,"")</f>
        <v/>
      </c>
      <c r="AN6" s="41">
        <f>IF(AND(AL6&lt;&gt;"",AL6&gt;0),(AL6-C6)/AL6,"")</f>
        <v/>
      </c>
      <c r="AO6" s="40">
        <f>IF(AND(AL6&lt;&gt;"",C6&gt;0),AL6-C6,"")</f>
        <v/>
      </c>
      <c r="AP6" s="41">
        <f>IF(AND(AL6&lt;&gt;"",D6&gt;0),(AL6-D6)/D6,"")</f>
        <v/>
      </c>
      <c r="AQ6" s="41">
        <f>IF(AND(AN6&lt;&gt;"",P6&lt;&gt;""),(AN6-P6)/ABS(IF(P6=0,1,P6)),"")</f>
        <v/>
      </c>
      <c r="AR6" s="40">
        <f>IF(AND(AO6&lt;&gt;"",Q6&lt;&gt;""),AO6-Q6,"")</f>
        <v/>
      </c>
      <c r="AS6" s="44" t="n"/>
      <c r="AT6" s="41">
        <f>IF(AND(AS6&gt;0,C6&gt;0),(AS6-C6)/C6,"")</f>
        <v/>
      </c>
      <c r="AU6" s="41">
        <f>IF(AND(AS6&gt;0,AS6&gt;0),(AS6-C6)/AS6,"")</f>
        <v/>
      </c>
      <c r="AV6" s="40">
        <f>IF(AND(AS6&gt;0,C6&gt;0),AS6-C6,"")</f>
        <v/>
      </c>
      <c r="AW6" s="41">
        <f>IF(AND(AS6&gt;0,D6&gt;0),(AS6-D6)/D6,"")</f>
        <v/>
      </c>
      <c r="AX6" s="41">
        <f>IF(AND(AU6&lt;&gt;"",P6&lt;&gt;""),(AU6-P6)/ABS(IF(P6=0,1,P6)),"")</f>
        <v/>
      </c>
      <c r="AY6" s="40">
        <f>IF(AND(AV6&lt;&gt;"",Q6&lt;&gt;""),AV6-Q6,"")</f>
        <v/>
      </c>
      <c r="AZ6" s="45" t="n"/>
      <c r="BA6" s="40">
        <f>IF(AND(AZ6&gt;0,C6&gt;0),C6/(1-AZ6),"")</f>
        <v/>
      </c>
      <c r="BB6" s="41">
        <f>IF(AND(BA6&lt;&gt;"",C6&gt;0),(BA6-C6)/C6,"")</f>
        <v/>
      </c>
      <c r="BC6" s="41">
        <f>IF(BA6&lt;&gt;"",AZ6,"")</f>
        <v/>
      </c>
      <c r="BD6" s="40">
        <f>IF(AND(BA6&lt;&gt;"",C6&gt;0),BA6-C6,"")</f>
        <v/>
      </c>
      <c r="BE6" s="41">
        <f>IF(AND(BA6&lt;&gt;"",D6&gt;0),(BA6-D6)/D6,"")</f>
        <v/>
      </c>
      <c r="BF6" s="41">
        <f>IF(AND(BC6&lt;&gt;"",P6&lt;&gt;""),(BC6-P6)/ABS(IF(P6=0,1,P6)),"")</f>
        <v/>
      </c>
      <c r="BG6" s="40">
        <f>IF(AND(BD6&lt;&gt;"",Q6&lt;&gt;""),BD6-Q6,"")</f>
        <v/>
      </c>
      <c r="BH6" s="40">
        <f>IF(AND(T6&gt;0,X6&lt;&gt;""),T6*X6,"")</f>
        <v/>
      </c>
      <c r="BI6" s="40">
        <f>IF(AND(T6&gt;0,AA6&lt;&gt;""),T6*AA6,"")</f>
        <v/>
      </c>
      <c r="BJ6" s="40">
        <f>IF(AND(T6&gt;0,AE6&lt;&gt;""),T6*AE6,"")</f>
        <v/>
      </c>
      <c r="BK6" s="40">
        <f>IF(AND(T6&gt;0,AH6&lt;&gt;""),T6*AH6,"")</f>
        <v/>
      </c>
      <c r="BL6" s="40">
        <f>IF(AND(T6&gt;0,AL6&lt;&gt;""),T6*AL6,"")</f>
        <v/>
      </c>
      <c r="BM6" s="40">
        <f>IF(AND(T6&gt;0,AO6&lt;&gt;""),T6*AO6,"")</f>
        <v/>
      </c>
      <c r="BN6" s="40">
        <f>IF(AND(T6&gt;0,AS6&gt;0),T6*AS6,"")</f>
        <v/>
      </c>
      <c r="BO6" s="40">
        <f>IF(AND(T6&gt;0,AV6&lt;&gt;""),T6*AV6,"")</f>
        <v/>
      </c>
      <c r="BP6" s="40">
        <f>IF(AND(T6&gt;0,BA6&lt;&gt;""),T6*BA6,"")</f>
        <v/>
      </c>
      <c r="BQ6" s="40">
        <f>IF(AND(T6&gt;0,BD6&lt;&gt;""),T6*BD6,"")</f>
        <v/>
      </c>
      <c r="BR6" s="46">
        <f>IF(AND(T6&gt;0,V6&gt;0,AA6&lt;&gt;0),V6/AA6-T6,"")</f>
        <v/>
      </c>
      <c r="BS6" s="41">
        <f>IF(AND(BR6&lt;&gt;"",T6&gt;0),BR6/T6,"")</f>
        <v/>
      </c>
      <c r="BT6" s="46">
        <f>IF(AND(T6&gt;0,V6&gt;0,AO6&lt;&gt;0),V6/AO6-T6,"")</f>
        <v/>
      </c>
      <c r="BU6" s="41">
        <f>IF(AND(BT6&lt;&gt;"",T6&gt;0),BT6/T6,"")</f>
        <v/>
      </c>
    </row>
    <row r="7">
      <c r="A7" s="36">
        <f>'📊 Исходные данные'!A6</f>
        <v/>
      </c>
      <c r="B7" s="37">
        <f>'📊 Исходные данные'!B6</f>
        <v/>
      </c>
      <c r="C7" s="38">
        <f>'📊 Исходные данные'!C6</f>
        <v/>
      </c>
      <c r="D7" s="38">
        <f>'📊 Исходные данные'!D6</f>
        <v/>
      </c>
      <c r="E7" s="39">
        <f>IF(OR(D7="",F7=""),"-",IF(D7&gt;F7*1.05,"Выше рынка",IF(D7&lt;F7*0.95,"Ниже рынка","На уровне")))</f>
        <v/>
      </c>
      <c r="F7" s="40">
        <f>IFERROR(AVERAGE('📊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G7" s="40">
        <f>IFERROR(MEDIAN('📊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H7" s="40">
        <f>IFERROR(MIN('📊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I7" s="40">
        <f>IFERROR(MAX('📊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данные'!K6),"")</f>
        <v/>
      </c>
      <c r="J7" s="41">
        <f>IF(AND(D7&lt;&gt;"",F7&lt;&gt;""),(D7-F7)/F7,"")</f>
        <v/>
      </c>
      <c r="K7" s="41">
        <f>IF(AND(D7&lt;&gt;"",G7&lt;&gt;""),(D7-G7)/G7,"")</f>
        <v/>
      </c>
      <c r="L7" s="41">
        <f>IF(AND(D7&lt;&gt;"",H7&lt;&gt;""),(D7-H7)/H7,"")</f>
        <v/>
      </c>
      <c r="M7" s="42">
        <f>IFERROR(RANK(D7,('📊 Исходные данные'!E6,'📊 Исходные данные'!F6,'📊 Исходные данные'!G6,'📊 Исходные данные'!H6,'📊 Исходные данные'!I6,'📊 Исходные данные'!J6,'📊 Исходные данные'!K6)),"")</f>
        <v/>
      </c>
      <c r="N7" s="39">
        <f>IF(M7="","-",IF(M7=1,"Дороже всех",IF(M7=2,"2-й по цене",IF(M7&lt;=4,"Средний","Ниже конкурентов"))))</f>
        <v/>
      </c>
      <c r="O7" s="41">
        <f>IF(AND(C7&gt;0,D7&gt;0),(D7-C7)/C7,"")</f>
        <v/>
      </c>
      <c r="P7" s="41">
        <f>IF(AND(C7&gt;0,D7&gt;0),(D7-C7)/D7,"")</f>
        <v/>
      </c>
      <c r="Q7" s="40">
        <f>IF(AND(C7&gt;0,D7&gt;0),D7-C7,"")</f>
        <v/>
      </c>
      <c r="R7" s="39">
        <f>IF(P7="","-",IF(P7&lt;0.1,"Низкая(&lt;10%)",IF(P7&lt;0.2,"Средняя(10-20%)","Хорошая(&gt;20%)")))</f>
        <v/>
      </c>
      <c r="S7" s="39">
        <f>IF(OR(H7="",C7=""),"-",IF((H7-C7)/H7&lt;0.05,"КРИТИЧНО",IF((H7-C7)/H7&lt;0.15,"УМЕРЕННЫЙ","НИЗКИЙ")))</f>
        <v/>
      </c>
      <c r="T7" s="43" t="n"/>
      <c r="U7" s="40">
        <f>IF(T7&gt;0,T7*D7,"")</f>
        <v/>
      </c>
      <c r="V7" s="40">
        <f>IF(T7&gt;0,T7*Q7,"")</f>
        <v/>
      </c>
      <c r="W7" s="41">
        <f>IF(U7&gt;0,V7/U7,"")</f>
        <v/>
      </c>
      <c r="X7" s="40">
        <f>IF(F7&lt;&gt;"",F7,"")</f>
        <v/>
      </c>
      <c r="Y7" s="41">
        <f>IF(AND(X7&lt;&gt;"",C7&gt;0),(X7-C7)/C7,"")</f>
        <v/>
      </c>
      <c r="Z7" s="41">
        <f>IF(AND(X7&lt;&gt;"",X7&gt;0),(X7-C7)/X7,"")</f>
        <v/>
      </c>
      <c r="AA7" s="40">
        <f>IF(AND(X7&lt;&gt;"",C7&gt;0),X7-C7,"")</f>
        <v/>
      </c>
      <c r="AB7" s="41">
        <f>IF(AND(X7&lt;&gt;"",D7&gt;0),(X7-D7)/D7,"")</f>
        <v/>
      </c>
      <c r="AC7" s="41">
        <f>IF(AND(Z7&lt;&gt;"",P7&lt;&gt;""),(Z7-P7)/ABS(IF(P7=0,1,P7)),"")</f>
        <v/>
      </c>
      <c r="AD7" s="40">
        <f>IF(AND(AA7&lt;&gt;"",Q7&lt;&gt;""),AA7-Q7,"")</f>
        <v/>
      </c>
      <c r="AE7" s="40">
        <f>IF(G7&lt;&gt;"",G7,"")</f>
        <v/>
      </c>
      <c r="AF7" s="41">
        <f>IF(AND(AE7&lt;&gt;"",C7&gt;0),(AE7-C7)/C7,"")</f>
        <v/>
      </c>
      <c r="AG7" s="41">
        <f>IF(AND(AE7&lt;&gt;"",AE7&gt;0),(AE7-C7)/AE7,"")</f>
        <v/>
      </c>
      <c r="AH7" s="40">
        <f>IF(AND(AE7&lt;&gt;"",C7&gt;0),AE7-C7,"")</f>
        <v/>
      </c>
      <c r="AI7" s="41">
        <f>IF(AND(AE7&lt;&gt;"",D7&gt;0),(AE7-D7)/D7,"")</f>
        <v/>
      </c>
      <c r="AJ7" s="41">
        <f>IF(AND(AG7&lt;&gt;"",P7&lt;&gt;""),(AG7-P7)/ABS(IF(P7=0,1,P7)),"")</f>
        <v/>
      </c>
      <c r="AK7" s="40">
        <f>IF(AND(AH7&lt;&gt;"",Q7&lt;&gt;""),AH7-Q7,"")</f>
        <v/>
      </c>
      <c r="AL7" s="40">
        <f>IF(H7&lt;&gt;"",H7,"")</f>
        <v/>
      </c>
      <c r="AM7" s="41">
        <f>IF(AND(AL7&lt;&gt;"",C7&gt;0),(AL7-C7)/C7,"")</f>
        <v/>
      </c>
      <c r="AN7" s="41">
        <f>IF(AND(AL7&lt;&gt;"",AL7&gt;0),(AL7-C7)/AL7,"")</f>
        <v/>
      </c>
      <c r="AO7" s="40">
        <f>IF(AND(AL7&lt;&gt;"",C7&gt;0),AL7-C7,"")</f>
        <v/>
      </c>
      <c r="AP7" s="41">
        <f>IF(AND(AL7&lt;&gt;"",D7&gt;0),(AL7-D7)/D7,"")</f>
        <v/>
      </c>
      <c r="AQ7" s="41">
        <f>IF(AND(AN7&lt;&gt;"",P7&lt;&gt;""),(AN7-P7)/ABS(IF(P7=0,1,P7)),"")</f>
        <v/>
      </c>
      <c r="AR7" s="40">
        <f>IF(AND(AO7&lt;&gt;"",Q7&lt;&gt;""),AO7-Q7,"")</f>
        <v/>
      </c>
      <c r="AS7" s="44" t="n"/>
      <c r="AT7" s="41">
        <f>IF(AND(AS7&gt;0,C7&gt;0),(AS7-C7)/C7,"")</f>
        <v/>
      </c>
      <c r="AU7" s="41">
        <f>IF(AND(AS7&gt;0,AS7&gt;0),(AS7-C7)/AS7,"")</f>
        <v/>
      </c>
      <c r="AV7" s="40">
        <f>IF(AND(AS7&gt;0,C7&gt;0),AS7-C7,"")</f>
        <v/>
      </c>
      <c r="AW7" s="41">
        <f>IF(AND(AS7&gt;0,D7&gt;0),(AS7-D7)/D7,"")</f>
        <v/>
      </c>
      <c r="AX7" s="41">
        <f>IF(AND(AU7&lt;&gt;"",P7&lt;&gt;""),(AU7-P7)/ABS(IF(P7=0,1,P7)),"")</f>
        <v/>
      </c>
      <c r="AY7" s="40">
        <f>IF(AND(AV7&lt;&gt;"",Q7&lt;&gt;""),AV7-Q7,"")</f>
        <v/>
      </c>
      <c r="AZ7" s="45" t="n"/>
      <c r="BA7" s="40">
        <f>IF(AND(AZ7&gt;0,C7&gt;0),C7/(1-AZ7),"")</f>
        <v/>
      </c>
      <c r="BB7" s="41">
        <f>IF(AND(BA7&lt;&gt;"",C7&gt;0),(BA7-C7)/C7,"")</f>
        <v/>
      </c>
      <c r="BC7" s="41">
        <f>IF(BA7&lt;&gt;"",AZ7,"")</f>
        <v/>
      </c>
      <c r="BD7" s="40">
        <f>IF(AND(BA7&lt;&gt;"",C7&gt;0),BA7-C7,"")</f>
        <v/>
      </c>
      <c r="BE7" s="41">
        <f>IF(AND(BA7&lt;&gt;"",D7&gt;0),(BA7-D7)/D7,"")</f>
        <v/>
      </c>
      <c r="BF7" s="41">
        <f>IF(AND(BC7&lt;&gt;"",P7&lt;&gt;""),(BC7-P7)/ABS(IF(P7=0,1,P7)),"")</f>
        <v/>
      </c>
      <c r="BG7" s="40">
        <f>IF(AND(BD7&lt;&gt;"",Q7&lt;&gt;""),BD7-Q7,"")</f>
        <v/>
      </c>
      <c r="BH7" s="40">
        <f>IF(AND(T7&gt;0,X7&lt;&gt;""),T7*X7,"")</f>
        <v/>
      </c>
      <c r="BI7" s="40">
        <f>IF(AND(T7&gt;0,AA7&lt;&gt;""),T7*AA7,"")</f>
        <v/>
      </c>
      <c r="BJ7" s="40">
        <f>IF(AND(T7&gt;0,AE7&lt;&gt;""),T7*AE7,"")</f>
        <v/>
      </c>
      <c r="BK7" s="40">
        <f>IF(AND(T7&gt;0,AH7&lt;&gt;""),T7*AH7,"")</f>
        <v/>
      </c>
      <c r="BL7" s="40">
        <f>IF(AND(T7&gt;0,AL7&lt;&gt;""),T7*AL7,"")</f>
        <v/>
      </c>
      <c r="BM7" s="40">
        <f>IF(AND(T7&gt;0,AO7&lt;&gt;""),T7*AO7,"")</f>
        <v/>
      </c>
      <c r="BN7" s="40">
        <f>IF(AND(T7&gt;0,AS7&gt;0),T7*AS7,"")</f>
        <v/>
      </c>
      <c r="BO7" s="40">
        <f>IF(AND(T7&gt;0,AV7&lt;&gt;""),T7*AV7,"")</f>
        <v/>
      </c>
      <c r="BP7" s="40">
        <f>IF(AND(T7&gt;0,BA7&lt;&gt;""),T7*BA7,"")</f>
        <v/>
      </c>
      <c r="BQ7" s="40">
        <f>IF(AND(T7&gt;0,BD7&lt;&gt;""),T7*BD7,"")</f>
        <v/>
      </c>
      <c r="BR7" s="46">
        <f>IF(AND(T7&gt;0,V7&gt;0,AA7&lt;&gt;0),V7/AA7-T7,"")</f>
        <v/>
      </c>
      <c r="BS7" s="41">
        <f>IF(AND(BR7&lt;&gt;"",T7&gt;0),BR7/T7,"")</f>
        <v/>
      </c>
      <c r="BT7" s="46">
        <f>IF(AND(T7&gt;0,V7&gt;0,AO7&lt;&gt;0),V7/AO7-T7,"")</f>
        <v/>
      </c>
      <c r="BU7" s="41">
        <f>IF(AND(BT7&lt;&gt;"",T7&gt;0),BT7/T7,"")</f>
        <v/>
      </c>
    </row>
    <row r="8">
      <c r="A8" s="36">
        <f>'📊 Исходные данные'!A7</f>
        <v/>
      </c>
      <c r="B8" s="37">
        <f>'📊 Исходные данные'!B7</f>
        <v/>
      </c>
      <c r="C8" s="38">
        <f>'📊 Исходные данные'!C7</f>
        <v/>
      </c>
      <c r="D8" s="38">
        <f>'📊 Исходные данные'!D7</f>
        <v/>
      </c>
      <c r="E8" s="39">
        <f>IF(OR(D8="",F8=""),"-",IF(D8&gt;F8*1.05,"Выше рынка",IF(D8&lt;F8*0.95,"Ниже рынка","На уровне")))</f>
        <v/>
      </c>
      <c r="F8" s="40">
        <f>IFERROR(AVERAGE('📊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G8" s="40">
        <f>IFERROR(MEDIAN('📊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H8" s="40">
        <f>IFERROR(MIN('📊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I8" s="40">
        <f>IFERROR(MAX('📊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данные'!K7),"")</f>
        <v/>
      </c>
      <c r="J8" s="41">
        <f>IF(AND(D8&lt;&gt;"",F8&lt;&gt;""),(D8-F8)/F8,"")</f>
        <v/>
      </c>
      <c r="K8" s="41">
        <f>IF(AND(D8&lt;&gt;"",G8&lt;&gt;""),(D8-G8)/G8,"")</f>
        <v/>
      </c>
      <c r="L8" s="41">
        <f>IF(AND(D8&lt;&gt;"",H8&lt;&gt;""),(D8-H8)/H8,"")</f>
        <v/>
      </c>
      <c r="M8" s="42">
        <f>IFERROR(RANK(D8,('📊 Исходные данные'!E7,'📊 Исходные данные'!F7,'📊 Исходные данные'!G7,'📊 Исходные данные'!H7,'📊 Исходные данные'!I7,'📊 Исходные данные'!J7,'📊 Исходные данные'!K7)),"")</f>
        <v/>
      </c>
      <c r="N8" s="39">
        <f>IF(M8="","-",IF(M8=1,"Дороже всех",IF(M8=2,"2-й по цене",IF(M8&lt;=4,"Средний","Ниже конкурентов"))))</f>
        <v/>
      </c>
      <c r="O8" s="41">
        <f>IF(AND(C8&gt;0,D8&gt;0),(D8-C8)/C8,"")</f>
        <v/>
      </c>
      <c r="P8" s="41">
        <f>IF(AND(C8&gt;0,D8&gt;0),(D8-C8)/D8,"")</f>
        <v/>
      </c>
      <c r="Q8" s="40">
        <f>IF(AND(C8&gt;0,D8&gt;0),D8-C8,"")</f>
        <v/>
      </c>
      <c r="R8" s="39">
        <f>IF(P8="","-",IF(P8&lt;0.1,"Низкая(&lt;10%)",IF(P8&lt;0.2,"Средняя(10-20%)","Хорошая(&gt;20%)")))</f>
        <v/>
      </c>
      <c r="S8" s="39">
        <f>IF(OR(H8="",C8=""),"-",IF((H8-C8)/H8&lt;0.05,"КРИТИЧНО",IF((H8-C8)/H8&lt;0.15,"УМЕРЕННЫЙ","НИЗКИЙ")))</f>
        <v/>
      </c>
      <c r="T8" s="43" t="n"/>
      <c r="U8" s="40">
        <f>IF(T8&gt;0,T8*D8,"")</f>
        <v/>
      </c>
      <c r="V8" s="40">
        <f>IF(T8&gt;0,T8*Q8,"")</f>
        <v/>
      </c>
      <c r="W8" s="41">
        <f>IF(U8&gt;0,V8/U8,"")</f>
        <v/>
      </c>
      <c r="X8" s="40">
        <f>IF(F8&lt;&gt;"",F8,"")</f>
        <v/>
      </c>
      <c r="Y8" s="41">
        <f>IF(AND(X8&lt;&gt;"",C8&gt;0),(X8-C8)/C8,"")</f>
        <v/>
      </c>
      <c r="Z8" s="41">
        <f>IF(AND(X8&lt;&gt;"",X8&gt;0),(X8-C8)/X8,"")</f>
        <v/>
      </c>
      <c r="AA8" s="40">
        <f>IF(AND(X8&lt;&gt;"",C8&gt;0),X8-C8,"")</f>
        <v/>
      </c>
      <c r="AB8" s="41">
        <f>IF(AND(X8&lt;&gt;"",D8&gt;0),(X8-D8)/D8,"")</f>
        <v/>
      </c>
      <c r="AC8" s="41">
        <f>IF(AND(Z8&lt;&gt;"",P8&lt;&gt;""),(Z8-P8)/ABS(IF(P8=0,1,P8)),"")</f>
        <v/>
      </c>
      <c r="AD8" s="40">
        <f>IF(AND(AA8&lt;&gt;"",Q8&lt;&gt;""),AA8-Q8,"")</f>
        <v/>
      </c>
      <c r="AE8" s="40">
        <f>IF(G8&lt;&gt;"",G8,"")</f>
        <v/>
      </c>
      <c r="AF8" s="41">
        <f>IF(AND(AE8&lt;&gt;"",C8&gt;0),(AE8-C8)/C8,"")</f>
        <v/>
      </c>
      <c r="AG8" s="41">
        <f>IF(AND(AE8&lt;&gt;"",AE8&gt;0),(AE8-C8)/AE8,"")</f>
        <v/>
      </c>
      <c r="AH8" s="40">
        <f>IF(AND(AE8&lt;&gt;"",C8&gt;0),AE8-C8,"")</f>
        <v/>
      </c>
      <c r="AI8" s="41">
        <f>IF(AND(AE8&lt;&gt;"",D8&gt;0),(AE8-D8)/D8,"")</f>
        <v/>
      </c>
      <c r="AJ8" s="41">
        <f>IF(AND(AG8&lt;&gt;"",P8&lt;&gt;""),(AG8-P8)/ABS(IF(P8=0,1,P8)),"")</f>
        <v/>
      </c>
      <c r="AK8" s="40">
        <f>IF(AND(AH8&lt;&gt;"",Q8&lt;&gt;""),AH8-Q8,"")</f>
        <v/>
      </c>
      <c r="AL8" s="40">
        <f>IF(H8&lt;&gt;"",H8,"")</f>
        <v/>
      </c>
      <c r="AM8" s="41">
        <f>IF(AND(AL8&lt;&gt;"",C8&gt;0),(AL8-C8)/C8,"")</f>
        <v/>
      </c>
      <c r="AN8" s="41">
        <f>IF(AND(AL8&lt;&gt;"",AL8&gt;0),(AL8-C8)/AL8,"")</f>
        <v/>
      </c>
      <c r="AO8" s="40">
        <f>IF(AND(AL8&lt;&gt;"",C8&gt;0),AL8-C8,"")</f>
        <v/>
      </c>
      <c r="AP8" s="41">
        <f>IF(AND(AL8&lt;&gt;"",D8&gt;0),(AL8-D8)/D8,"")</f>
        <v/>
      </c>
      <c r="AQ8" s="41">
        <f>IF(AND(AN8&lt;&gt;"",P8&lt;&gt;""),(AN8-P8)/ABS(IF(P8=0,1,P8)),"")</f>
        <v/>
      </c>
      <c r="AR8" s="40">
        <f>IF(AND(AO8&lt;&gt;"",Q8&lt;&gt;""),AO8-Q8,"")</f>
        <v/>
      </c>
      <c r="AS8" s="44" t="n"/>
      <c r="AT8" s="41">
        <f>IF(AND(AS8&gt;0,C8&gt;0),(AS8-C8)/C8,"")</f>
        <v/>
      </c>
      <c r="AU8" s="41">
        <f>IF(AND(AS8&gt;0,AS8&gt;0),(AS8-C8)/AS8,"")</f>
        <v/>
      </c>
      <c r="AV8" s="40">
        <f>IF(AND(AS8&gt;0,C8&gt;0),AS8-C8,"")</f>
        <v/>
      </c>
      <c r="AW8" s="41">
        <f>IF(AND(AS8&gt;0,D8&gt;0),(AS8-D8)/D8,"")</f>
        <v/>
      </c>
      <c r="AX8" s="41">
        <f>IF(AND(AU8&lt;&gt;"",P8&lt;&gt;""),(AU8-P8)/ABS(IF(P8=0,1,P8)),"")</f>
        <v/>
      </c>
      <c r="AY8" s="40">
        <f>IF(AND(AV8&lt;&gt;"",Q8&lt;&gt;""),AV8-Q8,"")</f>
        <v/>
      </c>
      <c r="AZ8" s="45" t="n"/>
      <c r="BA8" s="40">
        <f>IF(AND(AZ8&gt;0,C8&gt;0),C8/(1-AZ8),"")</f>
        <v/>
      </c>
      <c r="BB8" s="41">
        <f>IF(AND(BA8&lt;&gt;"",C8&gt;0),(BA8-C8)/C8,"")</f>
        <v/>
      </c>
      <c r="BC8" s="41">
        <f>IF(BA8&lt;&gt;"",AZ8,"")</f>
        <v/>
      </c>
      <c r="BD8" s="40">
        <f>IF(AND(BA8&lt;&gt;"",C8&gt;0),BA8-C8,"")</f>
        <v/>
      </c>
      <c r="BE8" s="41">
        <f>IF(AND(BA8&lt;&gt;"",D8&gt;0),(BA8-D8)/D8,"")</f>
        <v/>
      </c>
      <c r="BF8" s="41">
        <f>IF(AND(BC8&lt;&gt;"",P8&lt;&gt;""),(BC8-P8)/ABS(IF(P8=0,1,P8)),"")</f>
        <v/>
      </c>
      <c r="BG8" s="40">
        <f>IF(AND(BD8&lt;&gt;"",Q8&lt;&gt;""),BD8-Q8,"")</f>
        <v/>
      </c>
      <c r="BH8" s="40">
        <f>IF(AND(T8&gt;0,X8&lt;&gt;""),T8*X8,"")</f>
        <v/>
      </c>
      <c r="BI8" s="40">
        <f>IF(AND(T8&gt;0,AA8&lt;&gt;""),T8*AA8,"")</f>
        <v/>
      </c>
      <c r="BJ8" s="40">
        <f>IF(AND(T8&gt;0,AE8&lt;&gt;""),T8*AE8,"")</f>
        <v/>
      </c>
      <c r="BK8" s="40">
        <f>IF(AND(T8&gt;0,AH8&lt;&gt;""),T8*AH8,"")</f>
        <v/>
      </c>
      <c r="BL8" s="40">
        <f>IF(AND(T8&gt;0,AL8&lt;&gt;""),T8*AL8,"")</f>
        <v/>
      </c>
      <c r="BM8" s="40">
        <f>IF(AND(T8&gt;0,AO8&lt;&gt;""),T8*AO8,"")</f>
        <v/>
      </c>
      <c r="BN8" s="40">
        <f>IF(AND(T8&gt;0,AS8&gt;0),T8*AS8,"")</f>
        <v/>
      </c>
      <c r="BO8" s="40">
        <f>IF(AND(T8&gt;0,AV8&lt;&gt;""),T8*AV8,"")</f>
        <v/>
      </c>
      <c r="BP8" s="40">
        <f>IF(AND(T8&gt;0,BA8&lt;&gt;""),T8*BA8,"")</f>
        <v/>
      </c>
      <c r="BQ8" s="40">
        <f>IF(AND(T8&gt;0,BD8&lt;&gt;""),T8*BD8,"")</f>
        <v/>
      </c>
      <c r="BR8" s="46">
        <f>IF(AND(T8&gt;0,V8&gt;0,AA8&lt;&gt;0),V8/AA8-T8,"")</f>
        <v/>
      </c>
      <c r="BS8" s="41">
        <f>IF(AND(BR8&lt;&gt;"",T8&gt;0),BR8/T8,"")</f>
        <v/>
      </c>
      <c r="BT8" s="46">
        <f>IF(AND(T8&gt;0,V8&gt;0,AO8&lt;&gt;0),V8/AO8-T8,"")</f>
        <v/>
      </c>
      <c r="BU8" s="41">
        <f>IF(AND(BT8&lt;&gt;"",T8&gt;0),BT8/T8,"")</f>
        <v/>
      </c>
    </row>
    <row r="9">
      <c r="A9" s="36">
        <f>'📊 Исходные данные'!A8</f>
        <v/>
      </c>
      <c r="B9" s="37">
        <f>'📊 Исходные данные'!B8</f>
        <v/>
      </c>
      <c r="C9" s="38">
        <f>'📊 Исходные данные'!C8</f>
        <v/>
      </c>
      <c r="D9" s="38">
        <f>'📊 Исходные данные'!D8</f>
        <v/>
      </c>
      <c r="E9" s="39">
        <f>IF(OR(D9="",F9=""),"-",IF(D9&gt;F9*1.05,"Выше рынка",IF(D9&lt;F9*0.95,"Ниже рынка","На уровне")))</f>
        <v/>
      </c>
      <c r="F9" s="40">
        <f>IFERROR(AVERAGE('📊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G9" s="40">
        <f>IFERROR(MEDIAN('📊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H9" s="40">
        <f>IFERROR(MIN('📊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I9" s="40">
        <f>IFERROR(MAX('📊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данные'!K8),"")</f>
        <v/>
      </c>
      <c r="J9" s="41">
        <f>IF(AND(D9&lt;&gt;"",F9&lt;&gt;""),(D9-F9)/F9,"")</f>
        <v/>
      </c>
      <c r="K9" s="41">
        <f>IF(AND(D9&lt;&gt;"",G9&lt;&gt;""),(D9-G9)/G9,"")</f>
        <v/>
      </c>
      <c r="L9" s="41">
        <f>IF(AND(D9&lt;&gt;"",H9&lt;&gt;""),(D9-H9)/H9,"")</f>
        <v/>
      </c>
      <c r="M9" s="42">
        <f>IFERROR(RANK(D9,('📊 Исходные данные'!E8,'📊 Исходные данные'!F8,'📊 Исходные данные'!G8,'📊 Исходные данные'!H8,'📊 Исходные данные'!I8,'📊 Исходные данные'!J8,'📊 Исходные данные'!K8)),"")</f>
        <v/>
      </c>
      <c r="N9" s="39">
        <f>IF(M9="","-",IF(M9=1,"Дороже всех",IF(M9=2,"2-й по цене",IF(M9&lt;=4,"Средний","Ниже конкурентов"))))</f>
        <v/>
      </c>
      <c r="O9" s="41">
        <f>IF(AND(C9&gt;0,D9&gt;0),(D9-C9)/C9,"")</f>
        <v/>
      </c>
      <c r="P9" s="41">
        <f>IF(AND(C9&gt;0,D9&gt;0),(D9-C9)/D9,"")</f>
        <v/>
      </c>
      <c r="Q9" s="40">
        <f>IF(AND(C9&gt;0,D9&gt;0),D9-C9,"")</f>
        <v/>
      </c>
      <c r="R9" s="39">
        <f>IF(P9="","-",IF(P9&lt;0.1,"Низкая(&lt;10%)",IF(P9&lt;0.2,"Средняя(10-20%)","Хорошая(&gt;20%)")))</f>
        <v/>
      </c>
      <c r="S9" s="39">
        <f>IF(OR(H9="",C9=""),"-",IF((H9-C9)/H9&lt;0.05,"КРИТИЧНО",IF((H9-C9)/H9&lt;0.15,"УМЕРЕННЫЙ","НИЗКИЙ")))</f>
        <v/>
      </c>
      <c r="T9" s="43" t="n"/>
      <c r="U9" s="40">
        <f>IF(T9&gt;0,T9*D9,"")</f>
        <v/>
      </c>
      <c r="V9" s="40">
        <f>IF(T9&gt;0,T9*Q9,"")</f>
        <v/>
      </c>
      <c r="W9" s="41">
        <f>IF(U9&gt;0,V9/U9,"")</f>
        <v/>
      </c>
      <c r="X9" s="40">
        <f>IF(F9&lt;&gt;"",F9,"")</f>
        <v/>
      </c>
      <c r="Y9" s="41">
        <f>IF(AND(X9&lt;&gt;"",C9&gt;0),(X9-C9)/C9,"")</f>
        <v/>
      </c>
      <c r="Z9" s="41">
        <f>IF(AND(X9&lt;&gt;"",X9&gt;0),(X9-C9)/X9,"")</f>
        <v/>
      </c>
      <c r="AA9" s="40">
        <f>IF(AND(X9&lt;&gt;"",C9&gt;0),X9-C9,"")</f>
        <v/>
      </c>
      <c r="AB9" s="41">
        <f>IF(AND(X9&lt;&gt;"",D9&gt;0),(X9-D9)/D9,"")</f>
        <v/>
      </c>
      <c r="AC9" s="41">
        <f>IF(AND(Z9&lt;&gt;"",P9&lt;&gt;""),(Z9-P9)/ABS(IF(P9=0,1,P9)),"")</f>
        <v/>
      </c>
      <c r="AD9" s="40">
        <f>IF(AND(AA9&lt;&gt;"",Q9&lt;&gt;""),AA9-Q9,"")</f>
        <v/>
      </c>
      <c r="AE9" s="40">
        <f>IF(G9&lt;&gt;"",G9,"")</f>
        <v/>
      </c>
      <c r="AF9" s="41">
        <f>IF(AND(AE9&lt;&gt;"",C9&gt;0),(AE9-C9)/C9,"")</f>
        <v/>
      </c>
      <c r="AG9" s="41">
        <f>IF(AND(AE9&lt;&gt;"",AE9&gt;0),(AE9-C9)/AE9,"")</f>
        <v/>
      </c>
      <c r="AH9" s="40">
        <f>IF(AND(AE9&lt;&gt;"",C9&gt;0),AE9-C9,"")</f>
        <v/>
      </c>
      <c r="AI9" s="41">
        <f>IF(AND(AE9&lt;&gt;"",D9&gt;0),(AE9-D9)/D9,"")</f>
        <v/>
      </c>
      <c r="AJ9" s="41">
        <f>IF(AND(AG9&lt;&gt;"",P9&lt;&gt;""),(AG9-P9)/ABS(IF(P9=0,1,P9)),"")</f>
        <v/>
      </c>
      <c r="AK9" s="40">
        <f>IF(AND(AH9&lt;&gt;"",Q9&lt;&gt;""),AH9-Q9,"")</f>
        <v/>
      </c>
      <c r="AL9" s="40">
        <f>IF(H9&lt;&gt;"",H9,"")</f>
        <v/>
      </c>
      <c r="AM9" s="41">
        <f>IF(AND(AL9&lt;&gt;"",C9&gt;0),(AL9-C9)/C9,"")</f>
        <v/>
      </c>
      <c r="AN9" s="41">
        <f>IF(AND(AL9&lt;&gt;"",AL9&gt;0),(AL9-C9)/AL9,"")</f>
        <v/>
      </c>
      <c r="AO9" s="40">
        <f>IF(AND(AL9&lt;&gt;"",C9&gt;0),AL9-C9,"")</f>
        <v/>
      </c>
      <c r="AP9" s="41">
        <f>IF(AND(AL9&lt;&gt;"",D9&gt;0),(AL9-D9)/D9,"")</f>
        <v/>
      </c>
      <c r="AQ9" s="41">
        <f>IF(AND(AN9&lt;&gt;"",P9&lt;&gt;""),(AN9-P9)/ABS(IF(P9=0,1,P9)),"")</f>
        <v/>
      </c>
      <c r="AR9" s="40">
        <f>IF(AND(AO9&lt;&gt;"",Q9&lt;&gt;""),AO9-Q9,"")</f>
        <v/>
      </c>
      <c r="AS9" s="44" t="n"/>
      <c r="AT9" s="41">
        <f>IF(AND(AS9&gt;0,C9&gt;0),(AS9-C9)/C9,"")</f>
        <v/>
      </c>
      <c r="AU9" s="41">
        <f>IF(AND(AS9&gt;0,AS9&gt;0),(AS9-C9)/AS9,"")</f>
        <v/>
      </c>
      <c r="AV9" s="40">
        <f>IF(AND(AS9&gt;0,C9&gt;0),AS9-C9,"")</f>
        <v/>
      </c>
      <c r="AW9" s="41">
        <f>IF(AND(AS9&gt;0,D9&gt;0),(AS9-D9)/D9,"")</f>
        <v/>
      </c>
      <c r="AX9" s="41">
        <f>IF(AND(AU9&lt;&gt;"",P9&lt;&gt;""),(AU9-P9)/ABS(IF(P9=0,1,P9)),"")</f>
        <v/>
      </c>
      <c r="AY9" s="40">
        <f>IF(AND(AV9&lt;&gt;"",Q9&lt;&gt;""),AV9-Q9,"")</f>
        <v/>
      </c>
      <c r="AZ9" s="45" t="n"/>
      <c r="BA9" s="40">
        <f>IF(AND(AZ9&gt;0,C9&gt;0),C9/(1-AZ9),"")</f>
        <v/>
      </c>
      <c r="BB9" s="41">
        <f>IF(AND(BA9&lt;&gt;"",C9&gt;0),(BA9-C9)/C9,"")</f>
        <v/>
      </c>
      <c r="BC9" s="41">
        <f>IF(BA9&lt;&gt;"",AZ9,"")</f>
        <v/>
      </c>
      <c r="BD9" s="40">
        <f>IF(AND(BA9&lt;&gt;"",C9&gt;0),BA9-C9,"")</f>
        <v/>
      </c>
      <c r="BE9" s="41">
        <f>IF(AND(BA9&lt;&gt;"",D9&gt;0),(BA9-D9)/D9,"")</f>
        <v/>
      </c>
      <c r="BF9" s="41">
        <f>IF(AND(BC9&lt;&gt;"",P9&lt;&gt;""),(BC9-P9)/ABS(IF(P9=0,1,P9)),"")</f>
        <v/>
      </c>
      <c r="BG9" s="40">
        <f>IF(AND(BD9&lt;&gt;"",Q9&lt;&gt;""),BD9-Q9,"")</f>
        <v/>
      </c>
      <c r="BH9" s="40">
        <f>IF(AND(T9&gt;0,X9&lt;&gt;""),T9*X9,"")</f>
        <v/>
      </c>
      <c r="BI9" s="40">
        <f>IF(AND(T9&gt;0,AA9&lt;&gt;""),T9*AA9,"")</f>
        <v/>
      </c>
      <c r="BJ9" s="40">
        <f>IF(AND(T9&gt;0,AE9&lt;&gt;""),T9*AE9,"")</f>
        <v/>
      </c>
      <c r="BK9" s="40">
        <f>IF(AND(T9&gt;0,AH9&lt;&gt;""),T9*AH9,"")</f>
        <v/>
      </c>
      <c r="BL9" s="40">
        <f>IF(AND(T9&gt;0,AL9&lt;&gt;""),T9*AL9,"")</f>
        <v/>
      </c>
      <c r="BM9" s="40">
        <f>IF(AND(T9&gt;0,AO9&lt;&gt;""),T9*AO9,"")</f>
        <v/>
      </c>
      <c r="BN9" s="40">
        <f>IF(AND(T9&gt;0,AS9&gt;0),T9*AS9,"")</f>
        <v/>
      </c>
      <c r="BO9" s="40">
        <f>IF(AND(T9&gt;0,AV9&lt;&gt;""),T9*AV9,"")</f>
        <v/>
      </c>
      <c r="BP9" s="40">
        <f>IF(AND(T9&gt;0,BA9&lt;&gt;""),T9*BA9,"")</f>
        <v/>
      </c>
      <c r="BQ9" s="40">
        <f>IF(AND(T9&gt;0,BD9&lt;&gt;""),T9*BD9,"")</f>
        <v/>
      </c>
      <c r="BR9" s="46">
        <f>IF(AND(T9&gt;0,V9&gt;0,AA9&lt;&gt;0),V9/AA9-T9,"")</f>
        <v/>
      </c>
      <c r="BS9" s="41">
        <f>IF(AND(BR9&lt;&gt;"",T9&gt;0),BR9/T9,"")</f>
        <v/>
      </c>
      <c r="BT9" s="46">
        <f>IF(AND(T9&gt;0,V9&gt;0,AO9&lt;&gt;0),V9/AO9-T9,"")</f>
        <v/>
      </c>
      <c r="BU9" s="41">
        <f>IF(AND(BT9&lt;&gt;"",T9&gt;0),BT9/T9,"")</f>
        <v/>
      </c>
    </row>
    <row r="10">
      <c r="A10" s="36">
        <f>'📊 Исходные данные'!A9</f>
        <v/>
      </c>
      <c r="B10" s="37">
        <f>'📊 Исходные данные'!B9</f>
        <v/>
      </c>
      <c r="C10" s="38">
        <f>'📊 Исходные данные'!C9</f>
        <v/>
      </c>
      <c r="D10" s="38">
        <f>'📊 Исходные данные'!D9</f>
        <v/>
      </c>
      <c r="E10" s="39">
        <f>IF(OR(D10="",F10=""),"-",IF(D10&gt;F10*1.05,"Выше рынка",IF(D10&lt;F10*0.95,"Ниже рынка","На уровне")))</f>
        <v/>
      </c>
      <c r="F10" s="40">
        <f>IFERROR(AVERAGE('📊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G10" s="40">
        <f>IFERROR(MEDIAN('📊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H10" s="40">
        <f>IFERROR(MIN('📊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I10" s="40">
        <f>IFERROR(MAX('📊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данные'!K9),"")</f>
        <v/>
      </c>
      <c r="J10" s="41">
        <f>IF(AND(D10&lt;&gt;"",F10&lt;&gt;""),(D10-F10)/F10,"")</f>
        <v/>
      </c>
      <c r="K10" s="41">
        <f>IF(AND(D10&lt;&gt;"",G10&lt;&gt;""),(D10-G10)/G10,"")</f>
        <v/>
      </c>
      <c r="L10" s="41">
        <f>IF(AND(D10&lt;&gt;"",H10&lt;&gt;""),(D10-H10)/H10,"")</f>
        <v/>
      </c>
      <c r="M10" s="42">
        <f>IFERROR(RANK(D10,('📊 Исходные данные'!E9,'📊 Исходные данные'!F9,'📊 Исходные данные'!G9,'📊 Исходные данные'!H9,'📊 Исходные данные'!I9,'📊 Исходные данные'!J9,'📊 Исходные данные'!K9)),"")</f>
        <v/>
      </c>
      <c r="N10" s="39">
        <f>IF(M10="","-",IF(M10=1,"Дороже всех",IF(M10=2,"2-й по цене",IF(M10&lt;=4,"Средний","Ниже конкурентов"))))</f>
        <v/>
      </c>
      <c r="O10" s="41">
        <f>IF(AND(C10&gt;0,D10&gt;0),(D10-C10)/C10,"")</f>
        <v/>
      </c>
      <c r="P10" s="41">
        <f>IF(AND(C10&gt;0,D10&gt;0),(D10-C10)/D10,"")</f>
        <v/>
      </c>
      <c r="Q10" s="40">
        <f>IF(AND(C10&gt;0,D10&gt;0),D10-C10,"")</f>
        <v/>
      </c>
      <c r="R10" s="39">
        <f>IF(P10="","-",IF(P10&lt;0.1,"Низкая(&lt;10%)",IF(P10&lt;0.2,"Средняя(10-20%)","Хорошая(&gt;20%)")))</f>
        <v/>
      </c>
      <c r="S10" s="39">
        <f>IF(OR(H10="",C10=""),"-",IF((H10-C10)/H10&lt;0.05,"КРИТИЧНО",IF((H10-C10)/H10&lt;0.15,"УМЕРЕННЫЙ","НИЗКИЙ")))</f>
        <v/>
      </c>
      <c r="T10" s="43" t="n"/>
      <c r="U10" s="40">
        <f>IF(T10&gt;0,T10*D10,"")</f>
        <v/>
      </c>
      <c r="V10" s="40">
        <f>IF(T10&gt;0,T10*Q10,"")</f>
        <v/>
      </c>
      <c r="W10" s="41">
        <f>IF(U10&gt;0,V10/U10,"")</f>
        <v/>
      </c>
      <c r="X10" s="40">
        <f>IF(F10&lt;&gt;"",F10,"")</f>
        <v/>
      </c>
      <c r="Y10" s="41">
        <f>IF(AND(X10&lt;&gt;"",C10&gt;0),(X10-C10)/C10,"")</f>
        <v/>
      </c>
      <c r="Z10" s="41">
        <f>IF(AND(X10&lt;&gt;"",X10&gt;0),(X10-C10)/X10,"")</f>
        <v/>
      </c>
      <c r="AA10" s="40">
        <f>IF(AND(X10&lt;&gt;"",C10&gt;0),X10-C10,"")</f>
        <v/>
      </c>
      <c r="AB10" s="41">
        <f>IF(AND(X10&lt;&gt;"",D10&gt;0),(X10-D10)/D10,"")</f>
        <v/>
      </c>
      <c r="AC10" s="41">
        <f>IF(AND(Z10&lt;&gt;"",P10&lt;&gt;""),(Z10-P10)/ABS(IF(P10=0,1,P10)),"")</f>
        <v/>
      </c>
      <c r="AD10" s="40">
        <f>IF(AND(AA10&lt;&gt;"",Q10&lt;&gt;""),AA10-Q10,"")</f>
        <v/>
      </c>
      <c r="AE10" s="40">
        <f>IF(G10&lt;&gt;"",G10,"")</f>
        <v/>
      </c>
      <c r="AF10" s="41">
        <f>IF(AND(AE10&lt;&gt;"",C10&gt;0),(AE10-C10)/C10,"")</f>
        <v/>
      </c>
      <c r="AG10" s="41">
        <f>IF(AND(AE10&lt;&gt;"",AE10&gt;0),(AE10-C10)/AE10,"")</f>
        <v/>
      </c>
      <c r="AH10" s="40">
        <f>IF(AND(AE10&lt;&gt;"",C10&gt;0),AE10-C10,"")</f>
        <v/>
      </c>
      <c r="AI10" s="41">
        <f>IF(AND(AE10&lt;&gt;"",D10&gt;0),(AE10-D10)/D10,"")</f>
        <v/>
      </c>
      <c r="AJ10" s="41">
        <f>IF(AND(AG10&lt;&gt;"",P10&lt;&gt;""),(AG10-P10)/ABS(IF(P10=0,1,P10)),"")</f>
        <v/>
      </c>
      <c r="AK10" s="40">
        <f>IF(AND(AH10&lt;&gt;"",Q10&lt;&gt;""),AH10-Q10,"")</f>
        <v/>
      </c>
      <c r="AL10" s="40">
        <f>IF(H10&lt;&gt;"",H10,"")</f>
        <v/>
      </c>
      <c r="AM10" s="41">
        <f>IF(AND(AL10&lt;&gt;"",C10&gt;0),(AL10-C10)/C10,"")</f>
        <v/>
      </c>
      <c r="AN10" s="41">
        <f>IF(AND(AL10&lt;&gt;"",AL10&gt;0),(AL10-C10)/AL10,"")</f>
        <v/>
      </c>
      <c r="AO10" s="40">
        <f>IF(AND(AL10&lt;&gt;"",C10&gt;0),AL10-C10,"")</f>
        <v/>
      </c>
      <c r="AP10" s="41">
        <f>IF(AND(AL10&lt;&gt;"",D10&gt;0),(AL10-D10)/D10,"")</f>
        <v/>
      </c>
      <c r="AQ10" s="41">
        <f>IF(AND(AN10&lt;&gt;"",P10&lt;&gt;""),(AN10-P10)/ABS(IF(P10=0,1,P10)),"")</f>
        <v/>
      </c>
      <c r="AR10" s="40">
        <f>IF(AND(AO10&lt;&gt;"",Q10&lt;&gt;""),AO10-Q10,"")</f>
        <v/>
      </c>
      <c r="AS10" s="44" t="n"/>
      <c r="AT10" s="41">
        <f>IF(AND(AS10&gt;0,C10&gt;0),(AS10-C10)/C10,"")</f>
        <v/>
      </c>
      <c r="AU10" s="41">
        <f>IF(AND(AS10&gt;0,AS10&gt;0),(AS10-C10)/AS10,"")</f>
        <v/>
      </c>
      <c r="AV10" s="40">
        <f>IF(AND(AS10&gt;0,C10&gt;0),AS10-C10,"")</f>
        <v/>
      </c>
      <c r="AW10" s="41">
        <f>IF(AND(AS10&gt;0,D10&gt;0),(AS10-D10)/D10,"")</f>
        <v/>
      </c>
      <c r="AX10" s="41">
        <f>IF(AND(AU10&lt;&gt;"",P10&lt;&gt;""),(AU10-P10)/ABS(IF(P10=0,1,P10)),"")</f>
        <v/>
      </c>
      <c r="AY10" s="40">
        <f>IF(AND(AV10&lt;&gt;"",Q10&lt;&gt;""),AV10-Q10,"")</f>
        <v/>
      </c>
      <c r="AZ10" s="45" t="n"/>
      <c r="BA10" s="40">
        <f>IF(AND(AZ10&gt;0,C10&gt;0),C10/(1-AZ10),"")</f>
        <v/>
      </c>
      <c r="BB10" s="41">
        <f>IF(AND(BA10&lt;&gt;"",C10&gt;0),(BA10-C10)/C10,"")</f>
        <v/>
      </c>
      <c r="BC10" s="41">
        <f>IF(BA10&lt;&gt;"",AZ10,"")</f>
        <v/>
      </c>
      <c r="BD10" s="40">
        <f>IF(AND(BA10&lt;&gt;"",C10&gt;0),BA10-C10,"")</f>
        <v/>
      </c>
      <c r="BE10" s="41">
        <f>IF(AND(BA10&lt;&gt;"",D10&gt;0),(BA10-D10)/D10,"")</f>
        <v/>
      </c>
      <c r="BF10" s="41">
        <f>IF(AND(BC10&lt;&gt;"",P10&lt;&gt;""),(BC10-P10)/ABS(IF(P10=0,1,P10)),"")</f>
        <v/>
      </c>
      <c r="BG10" s="40">
        <f>IF(AND(BD10&lt;&gt;"",Q10&lt;&gt;""),BD10-Q10,"")</f>
        <v/>
      </c>
      <c r="BH10" s="40">
        <f>IF(AND(T10&gt;0,X10&lt;&gt;""),T10*X10,"")</f>
        <v/>
      </c>
      <c r="BI10" s="40">
        <f>IF(AND(T10&gt;0,AA10&lt;&gt;""),T10*AA10,"")</f>
        <v/>
      </c>
      <c r="BJ10" s="40">
        <f>IF(AND(T10&gt;0,AE10&lt;&gt;""),T10*AE10,"")</f>
        <v/>
      </c>
      <c r="BK10" s="40">
        <f>IF(AND(T10&gt;0,AH10&lt;&gt;""),T10*AH10,"")</f>
        <v/>
      </c>
      <c r="BL10" s="40">
        <f>IF(AND(T10&gt;0,AL10&lt;&gt;""),T10*AL10,"")</f>
        <v/>
      </c>
      <c r="BM10" s="40">
        <f>IF(AND(T10&gt;0,AO10&lt;&gt;""),T10*AO10,"")</f>
        <v/>
      </c>
      <c r="BN10" s="40">
        <f>IF(AND(T10&gt;0,AS10&gt;0),T10*AS10,"")</f>
        <v/>
      </c>
      <c r="BO10" s="40">
        <f>IF(AND(T10&gt;0,AV10&lt;&gt;""),T10*AV10,"")</f>
        <v/>
      </c>
      <c r="BP10" s="40">
        <f>IF(AND(T10&gt;0,BA10&lt;&gt;""),T10*BA10,"")</f>
        <v/>
      </c>
      <c r="BQ10" s="40">
        <f>IF(AND(T10&gt;0,BD10&lt;&gt;""),T10*BD10,"")</f>
        <v/>
      </c>
      <c r="BR10" s="46">
        <f>IF(AND(T10&gt;0,V10&gt;0,AA10&lt;&gt;0),V10/AA10-T10,"")</f>
        <v/>
      </c>
      <c r="BS10" s="41">
        <f>IF(AND(BR10&lt;&gt;"",T10&gt;0),BR10/T10,"")</f>
        <v/>
      </c>
      <c r="BT10" s="46">
        <f>IF(AND(T10&gt;0,V10&gt;0,AO10&lt;&gt;0),V10/AO10-T10,"")</f>
        <v/>
      </c>
      <c r="BU10" s="41">
        <f>IF(AND(BT10&lt;&gt;"",T10&gt;0),BT10/T10,"")</f>
        <v/>
      </c>
    </row>
    <row r="11">
      <c r="A11" s="36">
        <f>'📊 Исходные данные'!A10</f>
        <v/>
      </c>
      <c r="B11" s="37">
        <f>'📊 Исходные данные'!B10</f>
        <v/>
      </c>
      <c r="C11" s="38">
        <f>'📊 Исходные данные'!C10</f>
        <v/>
      </c>
      <c r="D11" s="38">
        <f>'📊 Исходные данные'!D10</f>
        <v/>
      </c>
      <c r="E11" s="39">
        <f>IF(OR(D11="",F11=""),"-",IF(D11&gt;F11*1.05,"Выше рынка",IF(D11&lt;F11*0.95,"Ниже рынка","На уровне")))</f>
        <v/>
      </c>
      <c r="F11" s="40">
        <f>IFERROR(AVERAGE('📊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G11" s="40">
        <f>IFERROR(MEDIAN('📊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H11" s="40">
        <f>IFERROR(MIN('📊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I11" s="40">
        <f>IFERROR(MAX('📊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данные'!K10),"")</f>
        <v/>
      </c>
      <c r="J11" s="41">
        <f>IF(AND(D11&lt;&gt;"",F11&lt;&gt;""),(D11-F11)/F11,"")</f>
        <v/>
      </c>
      <c r="K11" s="41">
        <f>IF(AND(D11&lt;&gt;"",G11&lt;&gt;""),(D11-G11)/G11,"")</f>
        <v/>
      </c>
      <c r="L11" s="41">
        <f>IF(AND(D11&lt;&gt;"",H11&lt;&gt;""),(D11-H11)/H11,"")</f>
        <v/>
      </c>
      <c r="M11" s="42">
        <f>IFERROR(RANK(D11,('📊 Исходные данные'!E10,'📊 Исходные данные'!F10,'📊 Исходные данные'!G10,'📊 Исходные данные'!H10,'📊 Исходные данные'!I10,'📊 Исходные данные'!J10,'📊 Исходные данные'!K10)),"")</f>
        <v/>
      </c>
      <c r="N11" s="39">
        <f>IF(M11="","-",IF(M11=1,"Дороже всех",IF(M11=2,"2-й по цене",IF(M11&lt;=4,"Средний","Ниже конкурентов"))))</f>
        <v/>
      </c>
      <c r="O11" s="41">
        <f>IF(AND(C11&gt;0,D11&gt;0),(D11-C11)/C11,"")</f>
        <v/>
      </c>
      <c r="P11" s="41">
        <f>IF(AND(C11&gt;0,D11&gt;0),(D11-C11)/D11,"")</f>
        <v/>
      </c>
      <c r="Q11" s="40">
        <f>IF(AND(C11&gt;0,D11&gt;0),D11-C11,"")</f>
        <v/>
      </c>
      <c r="R11" s="39">
        <f>IF(P11="","-",IF(P11&lt;0.1,"Низкая(&lt;10%)",IF(P11&lt;0.2,"Средняя(10-20%)","Хорошая(&gt;20%)")))</f>
        <v/>
      </c>
      <c r="S11" s="39">
        <f>IF(OR(H11="",C11=""),"-",IF((H11-C11)/H11&lt;0.05,"КРИТИЧНО",IF((H11-C11)/H11&lt;0.15,"УМЕРЕННЫЙ","НИЗКИЙ")))</f>
        <v/>
      </c>
      <c r="T11" s="43" t="n"/>
      <c r="U11" s="40">
        <f>IF(T11&gt;0,T11*D11,"")</f>
        <v/>
      </c>
      <c r="V11" s="40">
        <f>IF(T11&gt;0,T11*Q11,"")</f>
        <v/>
      </c>
      <c r="W11" s="41">
        <f>IF(U11&gt;0,V11/U11,"")</f>
        <v/>
      </c>
      <c r="X11" s="40">
        <f>IF(F11&lt;&gt;"",F11,"")</f>
        <v/>
      </c>
      <c r="Y11" s="41">
        <f>IF(AND(X11&lt;&gt;"",C11&gt;0),(X11-C11)/C11,"")</f>
        <v/>
      </c>
      <c r="Z11" s="41">
        <f>IF(AND(X11&lt;&gt;"",X11&gt;0),(X11-C11)/X11,"")</f>
        <v/>
      </c>
      <c r="AA11" s="40">
        <f>IF(AND(X11&lt;&gt;"",C11&gt;0),X11-C11,"")</f>
        <v/>
      </c>
      <c r="AB11" s="41">
        <f>IF(AND(X11&lt;&gt;"",D11&gt;0),(X11-D11)/D11,"")</f>
        <v/>
      </c>
      <c r="AC11" s="41">
        <f>IF(AND(Z11&lt;&gt;"",P11&lt;&gt;""),(Z11-P11)/ABS(IF(P11=0,1,P11)),"")</f>
        <v/>
      </c>
      <c r="AD11" s="40">
        <f>IF(AND(AA11&lt;&gt;"",Q11&lt;&gt;""),AA11-Q11,"")</f>
        <v/>
      </c>
      <c r="AE11" s="40">
        <f>IF(G11&lt;&gt;"",G11,"")</f>
        <v/>
      </c>
      <c r="AF11" s="41">
        <f>IF(AND(AE11&lt;&gt;"",C11&gt;0),(AE11-C11)/C11,"")</f>
        <v/>
      </c>
      <c r="AG11" s="41">
        <f>IF(AND(AE11&lt;&gt;"",AE11&gt;0),(AE11-C11)/AE11,"")</f>
        <v/>
      </c>
      <c r="AH11" s="40">
        <f>IF(AND(AE11&lt;&gt;"",C11&gt;0),AE11-C11,"")</f>
        <v/>
      </c>
      <c r="AI11" s="41">
        <f>IF(AND(AE11&lt;&gt;"",D11&gt;0),(AE11-D11)/D11,"")</f>
        <v/>
      </c>
      <c r="AJ11" s="41">
        <f>IF(AND(AG11&lt;&gt;"",P11&lt;&gt;""),(AG11-P11)/ABS(IF(P11=0,1,P11)),"")</f>
        <v/>
      </c>
      <c r="AK11" s="40">
        <f>IF(AND(AH11&lt;&gt;"",Q11&lt;&gt;""),AH11-Q11,"")</f>
        <v/>
      </c>
      <c r="AL11" s="40">
        <f>IF(H11&lt;&gt;"",H11,"")</f>
        <v/>
      </c>
      <c r="AM11" s="41">
        <f>IF(AND(AL11&lt;&gt;"",C11&gt;0),(AL11-C11)/C11,"")</f>
        <v/>
      </c>
      <c r="AN11" s="41">
        <f>IF(AND(AL11&lt;&gt;"",AL11&gt;0),(AL11-C11)/AL11,"")</f>
        <v/>
      </c>
      <c r="AO11" s="40">
        <f>IF(AND(AL11&lt;&gt;"",C11&gt;0),AL11-C11,"")</f>
        <v/>
      </c>
      <c r="AP11" s="41">
        <f>IF(AND(AL11&lt;&gt;"",D11&gt;0),(AL11-D11)/D11,"")</f>
        <v/>
      </c>
      <c r="AQ11" s="41">
        <f>IF(AND(AN11&lt;&gt;"",P11&lt;&gt;""),(AN11-P11)/ABS(IF(P11=0,1,P11)),"")</f>
        <v/>
      </c>
      <c r="AR11" s="40">
        <f>IF(AND(AO11&lt;&gt;"",Q11&lt;&gt;""),AO11-Q11,"")</f>
        <v/>
      </c>
      <c r="AS11" s="44" t="n"/>
      <c r="AT11" s="41">
        <f>IF(AND(AS11&gt;0,C11&gt;0),(AS11-C11)/C11,"")</f>
        <v/>
      </c>
      <c r="AU11" s="41">
        <f>IF(AND(AS11&gt;0,AS11&gt;0),(AS11-C11)/AS11,"")</f>
        <v/>
      </c>
      <c r="AV11" s="40">
        <f>IF(AND(AS11&gt;0,C11&gt;0),AS11-C11,"")</f>
        <v/>
      </c>
      <c r="AW11" s="41">
        <f>IF(AND(AS11&gt;0,D11&gt;0),(AS11-D11)/D11,"")</f>
        <v/>
      </c>
      <c r="AX11" s="41">
        <f>IF(AND(AU11&lt;&gt;"",P11&lt;&gt;""),(AU11-P11)/ABS(IF(P11=0,1,P11)),"")</f>
        <v/>
      </c>
      <c r="AY11" s="40">
        <f>IF(AND(AV11&lt;&gt;"",Q11&lt;&gt;""),AV11-Q11,"")</f>
        <v/>
      </c>
      <c r="AZ11" s="45" t="n"/>
      <c r="BA11" s="40">
        <f>IF(AND(AZ11&gt;0,C11&gt;0),C11/(1-AZ11),"")</f>
        <v/>
      </c>
      <c r="BB11" s="41">
        <f>IF(AND(BA11&lt;&gt;"",C11&gt;0),(BA11-C11)/C11,"")</f>
        <v/>
      </c>
      <c r="BC11" s="41">
        <f>IF(BA11&lt;&gt;"",AZ11,"")</f>
        <v/>
      </c>
      <c r="BD11" s="40">
        <f>IF(AND(BA11&lt;&gt;"",C11&gt;0),BA11-C11,"")</f>
        <v/>
      </c>
      <c r="BE11" s="41">
        <f>IF(AND(BA11&lt;&gt;"",D11&gt;0),(BA11-D11)/D11,"")</f>
        <v/>
      </c>
      <c r="BF11" s="41">
        <f>IF(AND(BC11&lt;&gt;"",P11&lt;&gt;""),(BC11-P11)/ABS(IF(P11=0,1,P11)),"")</f>
        <v/>
      </c>
      <c r="BG11" s="40">
        <f>IF(AND(BD11&lt;&gt;"",Q11&lt;&gt;""),BD11-Q11,"")</f>
        <v/>
      </c>
      <c r="BH11" s="40">
        <f>IF(AND(T11&gt;0,X11&lt;&gt;""),T11*X11,"")</f>
        <v/>
      </c>
      <c r="BI11" s="40">
        <f>IF(AND(T11&gt;0,AA11&lt;&gt;""),T11*AA11,"")</f>
        <v/>
      </c>
      <c r="BJ11" s="40">
        <f>IF(AND(T11&gt;0,AE11&lt;&gt;""),T11*AE11,"")</f>
        <v/>
      </c>
      <c r="BK11" s="40">
        <f>IF(AND(T11&gt;0,AH11&lt;&gt;""),T11*AH11,"")</f>
        <v/>
      </c>
      <c r="BL11" s="40">
        <f>IF(AND(T11&gt;0,AL11&lt;&gt;""),T11*AL11,"")</f>
        <v/>
      </c>
      <c r="BM11" s="40">
        <f>IF(AND(T11&gt;0,AO11&lt;&gt;""),T11*AO11,"")</f>
        <v/>
      </c>
      <c r="BN11" s="40">
        <f>IF(AND(T11&gt;0,AS11&gt;0),T11*AS11,"")</f>
        <v/>
      </c>
      <c r="BO11" s="40">
        <f>IF(AND(T11&gt;0,AV11&lt;&gt;""),T11*AV11,"")</f>
        <v/>
      </c>
      <c r="BP11" s="40">
        <f>IF(AND(T11&gt;0,BA11&lt;&gt;""),T11*BA11,"")</f>
        <v/>
      </c>
      <c r="BQ11" s="40">
        <f>IF(AND(T11&gt;0,BD11&lt;&gt;""),T11*BD11,"")</f>
        <v/>
      </c>
      <c r="BR11" s="46">
        <f>IF(AND(T11&gt;0,V11&gt;0,AA11&lt;&gt;0),V11/AA11-T11,"")</f>
        <v/>
      </c>
      <c r="BS11" s="41">
        <f>IF(AND(BR11&lt;&gt;"",T11&gt;0),BR11/T11,"")</f>
        <v/>
      </c>
      <c r="BT11" s="46">
        <f>IF(AND(T11&gt;0,V11&gt;0,AO11&lt;&gt;0),V11/AO11-T11,"")</f>
        <v/>
      </c>
      <c r="BU11" s="41">
        <f>IF(AND(BT11&lt;&gt;"",T11&gt;0),BT11/T11,"")</f>
        <v/>
      </c>
    </row>
    <row r="12">
      <c r="A12" s="36">
        <f>'📊 Исходные данные'!A11</f>
        <v/>
      </c>
      <c r="B12" s="37">
        <f>'📊 Исходные данные'!B11</f>
        <v/>
      </c>
      <c r="C12" s="38">
        <f>'📊 Исходные данные'!C11</f>
        <v/>
      </c>
      <c r="D12" s="38">
        <f>'📊 Исходные данные'!D11</f>
        <v/>
      </c>
      <c r="E12" s="39">
        <f>IF(OR(D12="",F12=""),"-",IF(D12&gt;F12*1.05,"Выше рынка",IF(D12&lt;F12*0.95,"Ниже рынка","На уровне")))</f>
        <v/>
      </c>
      <c r="F12" s="40">
        <f>IFERROR(AVERAGE('📊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G12" s="40">
        <f>IFERROR(MEDIAN('📊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H12" s="40">
        <f>IFERROR(MIN('📊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I12" s="40">
        <f>IFERROR(MAX('📊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данные'!K11),"")</f>
        <v/>
      </c>
      <c r="J12" s="41">
        <f>IF(AND(D12&lt;&gt;"",F12&lt;&gt;""),(D12-F12)/F12,"")</f>
        <v/>
      </c>
      <c r="K12" s="41">
        <f>IF(AND(D12&lt;&gt;"",G12&lt;&gt;""),(D12-G12)/G12,"")</f>
        <v/>
      </c>
      <c r="L12" s="41">
        <f>IF(AND(D12&lt;&gt;"",H12&lt;&gt;""),(D12-H12)/H12,"")</f>
        <v/>
      </c>
      <c r="M12" s="42">
        <f>IFERROR(RANK(D12,('📊 Исходные данные'!E11,'📊 Исходные данные'!F11,'📊 Исходные данные'!G11,'📊 Исходные данные'!H11,'📊 Исходные данные'!I11,'📊 Исходные данные'!J11,'📊 Исходные данные'!K11)),"")</f>
        <v/>
      </c>
      <c r="N12" s="39">
        <f>IF(M12="","-",IF(M12=1,"Дороже всех",IF(M12=2,"2-й по цене",IF(M12&lt;=4,"Средний","Ниже конкурентов"))))</f>
        <v/>
      </c>
      <c r="O12" s="41">
        <f>IF(AND(C12&gt;0,D12&gt;0),(D12-C12)/C12,"")</f>
        <v/>
      </c>
      <c r="P12" s="41">
        <f>IF(AND(C12&gt;0,D12&gt;0),(D12-C12)/D12,"")</f>
        <v/>
      </c>
      <c r="Q12" s="40">
        <f>IF(AND(C12&gt;0,D12&gt;0),D12-C12,"")</f>
        <v/>
      </c>
      <c r="R12" s="39">
        <f>IF(P12="","-",IF(P12&lt;0.1,"Низкая(&lt;10%)",IF(P12&lt;0.2,"Средняя(10-20%)","Хорошая(&gt;20%)")))</f>
        <v/>
      </c>
      <c r="S12" s="39">
        <f>IF(OR(H12="",C12=""),"-",IF((H12-C12)/H12&lt;0.05,"КРИТИЧНО",IF((H12-C12)/H12&lt;0.15,"УМЕРЕННЫЙ","НИЗКИЙ")))</f>
        <v/>
      </c>
      <c r="T12" s="43" t="n"/>
      <c r="U12" s="40">
        <f>IF(T12&gt;0,T12*D12,"")</f>
        <v/>
      </c>
      <c r="V12" s="40">
        <f>IF(T12&gt;0,T12*Q12,"")</f>
        <v/>
      </c>
      <c r="W12" s="41">
        <f>IF(U12&gt;0,V12/U12,"")</f>
        <v/>
      </c>
      <c r="X12" s="40">
        <f>IF(F12&lt;&gt;"",F12,"")</f>
        <v/>
      </c>
      <c r="Y12" s="41">
        <f>IF(AND(X12&lt;&gt;"",C12&gt;0),(X12-C12)/C12,"")</f>
        <v/>
      </c>
      <c r="Z12" s="41">
        <f>IF(AND(X12&lt;&gt;"",X12&gt;0),(X12-C12)/X12,"")</f>
        <v/>
      </c>
      <c r="AA12" s="40">
        <f>IF(AND(X12&lt;&gt;"",C12&gt;0),X12-C12,"")</f>
        <v/>
      </c>
      <c r="AB12" s="41">
        <f>IF(AND(X12&lt;&gt;"",D12&gt;0),(X12-D12)/D12,"")</f>
        <v/>
      </c>
      <c r="AC12" s="41">
        <f>IF(AND(Z12&lt;&gt;"",P12&lt;&gt;""),(Z12-P12)/ABS(IF(P12=0,1,P12)),"")</f>
        <v/>
      </c>
      <c r="AD12" s="40">
        <f>IF(AND(AA12&lt;&gt;"",Q12&lt;&gt;""),AA12-Q12,"")</f>
        <v/>
      </c>
      <c r="AE12" s="40">
        <f>IF(G12&lt;&gt;"",G12,"")</f>
        <v/>
      </c>
      <c r="AF12" s="41">
        <f>IF(AND(AE12&lt;&gt;"",C12&gt;0),(AE12-C12)/C12,"")</f>
        <v/>
      </c>
      <c r="AG12" s="41">
        <f>IF(AND(AE12&lt;&gt;"",AE12&gt;0),(AE12-C12)/AE12,"")</f>
        <v/>
      </c>
      <c r="AH12" s="40">
        <f>IF(AND(AE12&lt;&gt;"",C12&gt;0),AE12-C12,"")</f>
        <v/>
      </c>
      <c r="AI12" s="41">
        <f>IF(AND(AE12&lt;&gt;"",D12&gt;0),(AE12-D12)/D12,"")</f>
        <v/>
      </c>
      <c r="AJ12" s="41">
        <f>IF(AND(AG12&lt;&gt;"",P12&lt;&gt;""),(AG12-P12)/ABS(IF(P12=0,1,P12)),"")</f>
        <v/>
      </c>
      <c r="AK12" s="40">
        <f>IF(AND(AH12&lt;&gt;"",Q12&lt;&gt;""),AH12-Q12,"")</f>
        <v/>
      </c>
      <c r="AL12" s="40">
        <f>IF(H12&lt;&gt;"",H12,"")</f>
        <v/>
      </c>
      <c r="AM12" s="41">
        <f>IF(AND(AL12&lt;&gt;"",C12&gt;0),(AL12-C12)/C12,"")</f>
        <v/>
      </c>
      <c r="AN12" s="41">
        <f>IF(AND(AL12&lt;&gt;"",AL12&gt;0),(AL12-C12)/AL12,"")</f>
        <v/>
      </c>
      <c r="AO12" s="40">
        <f>IF(AND(AL12&lt;&gt;"",C12&gt;0),AL12-C12,"")</f>
        <v/>
      </c>
      <c r="AP12" s="41">
        <f>IF(AND(AL12&lt;&gt;"",D12&gt;0),(AL12-D12)/D12,"")</f>
        <v/>
      </c>
      <c r="AQ12" s="41">
        <f>IF(AND(AN12&lt;&gt;"",P12&lt;&gt;""),(AN12-P12)/ABS(IF(P12=0,1,P12)),"")</f>
        <v/>
      </c>
      <c r="AR12" s="40">
        <f>IF(AND(AO12&lt;&gt;"",Q12&lt;&gt;""),AO12-Q12,"")</f>
        <v/>
      </c>
      <c r="AS12" s="44" t="n"/>
      <c r="AT12" s="41">
        <f>IF(AND(AS12&gt;0,C12&gt;0),(AS12-C12)/C12,"")</f>
        <v/>
      </c>
      <c r="AU12" s="41">
        <f>IF(AND(AS12&gt;0,AS12&gt;0),(AS12-C12)/AS12,"")</f>
        <v/>
      </c>
      <c r="AV12" s="40">
        <f>IF(AND(AS12&gt;0,C12&gt;0),AS12-C12,"")</f>
        <v/>
      </c>
      <c r="AW12" s="41">
        <f>IF(AND(AS12&gt;0,D12&gt;0),(AS12-D12)/D12,"")</f>
        <v/>
      </c>
      <c r="AX12" s="41">
        <f>IF(AND(AU12&lt;&gt;"",P12&lt;&gt;""),(AU12-P12)/ABS(IF(P12=0,1,P12)),"")</f>
        <v/>
      </c>
      <c r="AY12" s="40">
        <f>IF(AND(AV12&lt;&gt;"",Q12&lt;&gt;""),AV12-Q12,"")</f>
        <v/>
      </c>
      <c r="AZ12" s="45" t="n"/>
      <c r="BA12" s="40">
        <f>IF(AND(AZ12&gt;0,C12&gt;0),C12/(1-AZ12),"")</f>
        <v/>
      </c>
      <c r="BB12" s="41">
        <f>IF(AND(BA12&lt;&gt;"",C12&gt;0),(BA12-C12)/C12,"")</f>
        <v/>
      </c>
      <c r="BC12" s="41">
        <f>IF(BA12&lt;&gt;"",AZ12,"")</f>
        <v/>
      </c>
      <c r="BD12" s="40">
        <f>IF(AND(BA12&lt;&gt;"",C12&gt;0),BA12-C12,"")</f>
        <v/>
      </c>
      <c r="BE12" s="41">
        <f>IF(AND(BA12&lt;&gt;"",D12&gt;0),(BA12-D12)/D12,"")</f>
        <v/>
      </c>
      <c r="BF12" s="41">
        <f>IF(AND(BC12&lt;&gt;"",P12&lt;&gt;""),(BC12-P12)/ABS(IF(P12=0,1,P12)),"")</f>
        <v/>
      </c>
      <c r="BG12" s="40">
        <f>IF(AND(BD12&lt;&gt;"",Q12&lt;&gt;""),BD12-Q12,"")</f>
        <v/>
      </c>
      <c r="BH12" s="40">
        <f>IF(AND(T12&gt;0,X12&lt;&gt;""),T12*X12,"")</f>
        <v/>
      </c>
      <c r="BI12" s="40">
        <f>IF(AND(T12&gt;0,AA12&lt;&gt;""),T12*AA12,"")</f>
        <v/>
      </c>
      <c r="BJ12" s="40">
        <f>IF(AND(T12&gt;0,AE12&lt;&gt;""),T12*AE12,"")</f>
        <v/>
      </c>
      <c r="BK12" s="40">
        <f>IF(AND(T12&gt;0,AH12&lt;&gt;""),T12*AH12,"")</f>
        <v/>
      </c>
      <c r="BL12" s="40">
        <f>IF(AND(T12&gt;0,AL12&lt;&gt;""),T12*AL12,"")</f>
        <v/>
      </c>
      <c r="BM12" s="40">
        <f>IF(AND(T12&gt;0,AO12&lt;&gt;""),T12*AO12,"")</f>
        <v/>
      </c>
      <c r="BN12" s="40">
        <f>IF(AND(T12&gt;0,AS12&gt;0),T12*AS12,"")</f>
        <v/>
      </c>
      <c r="BO12" s="40">
        <f>IF(AND(T12&gt;0,AV12&lt;&gt;""),T12*AV12,"")</f>
        <v/>
      </c>
      <c r="BP12" s="40">
        <f>IF(AND(T12&gt;0,BA12&lt;&gt;""),T12*BA12,"")</f>
        <v/>
      </c>
      <c r="BQ12" s="40">
        <f>IF(AND(T12&gt;0,BD12&lt;&gt;""),T12*BD12,"")</f>
        <v/>
      </c>
      <c r="BR12" s="46">
        <f>IF(AND(T12&gt;0,V12&gt;0,AA12&lt;&gt;0),V12/AA12-T12,"")</f>
        <v/>
      </c>
      <c r="BS12" s="41">
        <f>IF(AND(BR12&lt;&gt;"",T12&gt;0),BR12/T12,"")</f>
        <v/>
      </c>
      <c r="BT12" s="46">
        <f>IF(AND(T12&gt;0,V12&gt;0,AO12&lt;&gt;0),V12/AO12-T12,"")</f>
        <v/>
      </c>
      <c r="BU12" s="41">
        <f>IF(AND(BT12&lt;&gt;"",T12&gt;0),BT12/T12,"")</f>
        <v/>
      </c>
    </row>
    <row r="13">
      <c r="A13" s="36">
        <f>'📊 Исходные данные'!A12</f>
        <v/>
      </c>
      <c r="B13" s="37">
        <f>'📊 Исходные данные'!B12</f>
        <v/>
      </c>
      <c r="C13" s="38">
        <f>'📊 Исходные данные'!C12</f>
        <v/>
      </c>
      <c r="D13" s="38">
        <f>'📊 Исходные данные'!D12</f>
        <v/>
      </c>
      <c r="E13" s="39">
        <f>IF(OR(D13="",F13=""),"-",IF(D13&gt;F13*1.05,"Выше рынка",IF(D13&lt;F13*0.95,"Ниже рынка","На уровне")))</f>
        <v/>
      </c>
      <c r="F13" s="40">
        <f>IFERROR(AVERAGE('📊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G13" s="40">
        <f>IFERROR(MEDIAN('📊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H13" s="40">
        <f>IFERROR(MIN('📊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I13" s="40">
        <f>IFERROR(MAX('📊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данные'!K12),"")</f>
        <v/>
      </c>
      <c r="J13" s="41">
        <f>IF(AND(D13&lt;&gt;"",F13&lt;&gt;""),(D13-F13)/F13,"")</f>
        <v/>
      </c>
      <c r="K13" s="41">
        <f>IF(AND(D13&lt;&gt;"",G13&lt;&gt;""),(D13-G13)/G13,"")</f>
        <v/>
      </c>
      <c r="L13" s="41">
        <f>IF(AND(D13&lt;&gt;"",H13&lt;&gt;""),(D13-H13)/H13,"")</f>
        <v/>
      </c>
      <c r="M13" s="42">
        <f>IFERROR(RANK(D13,('📊 Исходные данные'!E12,'📊 Исходные данные'!F12,'📊 Исходные данные'!G12,'📊 Исходные данные'!H12,'📊 Исходные данные'!I12,'📊 Исходные данные'!J12,'📊 Исходные данные'!K12)),"")</f>
        <v/>
      </c>
      <c r="N13" s="39">
        <f>IF(M13="","-",IF(M13=1,"Дороже всех",IF(M13=2,"2-й по цене",IF(M13&lt;=4,"Средний","Ниже конкурентов"))))</f>
        <v/>
      </c>
      <c r="O13" s="41">
        <f>IF(AND(C13&gt;0,D13&gt;0),(D13-C13)/C13,"")</f>
        <v/>
      </c>
      <c r="P13" s="41">
        <f>IF(AND(C13&gt;0,D13&gt;0),(D13-C13)/D13,"")</f>
        <v/>
      </c>
      <c r="Q13" s="40">
        <f>IF(AND(C13&gt;0,D13&gt;0),D13-C13,"")</f>
        <v/>
      </c>
      <c r="R13" s="39">
        <f>IF(P13="","-",IF(P13&lt;0.1,"Низкая(&lt;10%)",IF(P13&lt;0.2,"Средняя(10-20%)","Хорошая(&gt;20%)")))</f>
        <v/>
      </c>
      <c r="S13" s="39">
        <f>IF(OR(H13="",C13=""),"-",IF((H13-C13)/H13&lt;0.05,"КРИТИЧНО",IF((H13-C13)/H13&lt;0.15,"УМЕРЕННЫЙ","НИЗКИЙ")))</f>
        <v/>
      </c>
      <c r="T13" s="43" t="n"/>
      <c r="U13" s="40">
        <f>IF(T13&gt;0,T13*D13,"")</f>
        <v/>
      </c>
      <c r="V13" s="40">
        <f>IF(T13&gt;0,T13*Q13,"")</f>
        <v/>
      </c>
      <c r="W13" s="41">
        <f>IF(U13&gt;0,V13/U13,"")</f>
        <v/>
      </c>
      <c r="X13" s="40">
        <f>IF(F13&lt;&gt;"",F13,"")</f>
        <v/>
      </c>
      <c r="Y13" s="41">
        <f>IF(AND(X13&lt;&gt;"",C13&gt;0),(X13-C13)/C13,"")</f>
        <v/>
      </c>
      <c r="Z13" s="41">
        <f>IF(AND(X13&lt;&gt;"",X13&gt;0),(X13-C13)/X13,"")</f>
        <v/>
      </c>
      <c r="AA13" s="40">
        <f>IF(AND(X13&lt;&gt;"",C13&gt;0),X13-C13,"")</f>
        <v/>
      </c>
      <c r="AB13" s="41">
        <f>IF(AND(X13&lt;&gt;"",D13&gt;0),(X13-D13)/D13,"")</f>
        <v/>
      </c>
      <c r="AC13" s="41">
        <f>IF(AND(Z13&lt;&gt;"",P13&lt;&gt;""),(Z13-P13)/ABS(IF(P13=0,1,P13)),"")</f>
        <v/>
      </c>
      <c r="AD13" s="40">
        <f>IF(AND(AA13&lt;&gt;"",Q13&lt;&gt;""),AA13-Q13,"")</f>
        <v/>
      </c>
      <c r="AE13" s="40">
        <f>IF(G13&lt;&gt;"",G13,"")</f>
        <v/>
      </c>
      <c r="AF13" s="41">
        <f>IF(AND(AE13&lt;&gt;"",C13&gt;0),(AE13-C13)/C13,"")</f>
        <v/>
      </c>
      <c r="AG13" s="41">
        <f>IF(AND(AE13&lt;&gt;"",AE13&gt;0),(AE13-C13)/AE13,"")</f>
        <v/>
      </c>
      <c r="AH13" s="40">
        <f>IF(AND(AE13&lt;&gt;"",C13&gt;0),AE13-C13,"")</f>
        <v/>
      </c>
      <c r="AI13" s="41">
        <f>IF(AND(AE13&lt;&gt;"",D13&gt;0),(AE13-D13)/D13,"")</f>
        <v/>
      </c>
      <c r="AJ13" s="41">
        <f>IF(AND(AG13&lt;&gt;"",P13&lt;&gt;""),(AG13-P13)/ABS(IF(P13=0,1,P13)),"")</f>
        <v/>
      </c>
      <c r="AK13" s="40">
        <f>IF(AND(AH13&lt;&gt;"",Q13&lt;&gt;""),AH13-Q13,"")</f>
        <v/>
      </c>
      <c r="AL13" s="40">
        <f>IF(H13&lt;&gt;"",H13,"")</f>
        <v/>
      </c>
      <c r="AM13" s="41">
        <f>IF(AND(AL13&lt;&gt;"",C13&gt;0),(AL13-C13)/C13,"")</f>
        <v/>
      </c>
      <c r="AN13" s="41">
        <f>IF(AND(AL13&lt;&gt;"",AL13&gt;0),(AL13-C13)/AL13,"")</f>
        <v/>
      </c>
      <c r="AO13" s="40">
        <f>IF(AND(AL13&lt;&gt;"",C13&gt;0),AL13-C13,"")</f>
        <v/>
      </c>
      <c r="AP13" s="41">
        <f>IF(AND(AL13&lt;&gt;"",D13&gt;0),(AL13-D13)/D13,"")</f>
        <v/>
      </c>
      <c r="AQ13" s="41">
        <f>IF(AND(AN13&lt;&gt;"",P13&lt;&gt;""),(AN13-P13)/ABS(IF(P13=0,1,P13)),"")</f>
        <v/>
      </c>
      <c r="AR13" s="40">
        <f>IF(AND(AO13&lt;&gt;"",Q13&lt;&gt;""),AO13-Q13,"")</f>
        <v/>
      </c>
      <c r="AS13" s="44" t="n"/>
      <c r="AT13" s="41">
        <f>IF(AND(AS13&gt;0,C13&gt;0),(AS13-C13)/C13,"")</f>
        <v/>
      </c>
      <c r="AU13" s="41">
        <f>IF(AND(AS13&gt;0,AS13&gt;0),(AS13-C13)/AS13,"")</f>
        <v/>
      </c>
      <c r="AV13" s="40">
        <f>IF(AND(AS13&gt;0,C13&gt;0),AS13-C13,"")</f>
        <v/>
      </c>
      <c r="AW13" s="41">
        <f>IF(AND(AS13&gt;0,D13&gt;0),(AS13-D13)/D13,"")</f>
        <v/>
      </c>
      <c r="AX13" s="41">
        <f>IF(AND(AU13&lt;&gt;"",P13&lt;&gt;""),(AU13-P13)/ABS(IF(P13=0,1,P13)),"")</f>
        <v/>
      </c>
      <c r="AY13" s="40">
        <f>IF(AND(AV13&lt;&gt;"",Q13&lt;&gt;""),AV13-Q13,"")</f>
        <v/>
      </c>
      <c r="AZ13" s="45" t="n"/>
      <c r="BA13" s="40">
        <f>IF(AND(AZ13&gt;0,C13&gt;0),C13/(1-AZ13),"")</f>
        <v/>
      </c>
      <c r="BB13" s="41">
        <f>IF(AND(BA13&lt;&gt;"",C13&gt;0),(BA13-C13)/C13,"")</f>
        <v/>
      </c>
      <c r="BC13" s="41">
        <f>IF(BA13&lt;&gt;"",AZ13,"")</f>
        <v/>
      </c>
      <c r="BD13" s="40">
        <f>IF(AND(BA13&lt;&gt;"",C13&gt;0),BA13-C13,"")</f>
        <v/>
      </c>
      <c r="BE13" s="41">
        <f>IF(AND(BA13&lt;&gt;"",D13&gt;0),(BA13-D13)/D13,"")</f>
        <v/>
      </c>
      <c r="BF13" s="41">
        <f>IF(AND(BC13&lt;&gt;"",P13&lt;&gt;""),(BC13-P13)/ABS(IF(P13=0,1,P13)),"")</f>
        <v/>
      </c>
      <c r="BG13" s="40">
        <f>IF(AND(BD13&lt;&gt;"",Q13&lt;&gt;""),BD13-Q13,"")</f>
        <v/>
      </c>
      <c r="BH13" s="40">
        <f>IF(AND(T13&gt;0,X13&lt;&gt;""),T13*X13,"")</f>
        <v/>
      </c>
      <c r="BI13" s="40">
        <f>IF(AND(T13&gt;0,AA13&lt;&gt;""),T13*AA13,"")</f>
        <v/>
      </c>
      <c r="BJ13" s="40">
        <f>IF(AND(T13&gt;0,AE13&lt;&gt;""),T13*AE13,"")</f>
        <v/>
      </c>
      <c r="BK13" s="40">
        <f>IF(AND(T13&gt;0,AH13&lt;&gt;""),T13*AH13,"")</f>
        <v/>
      </c>
      <c r="BL13" s="40">
        <f>IF(AND(T13&gt;0,AL13&lt;&gt;""),T13*AL13,"")</f>
        <v/>
      </c>
      <c r="BM13" s="40">
        <f>IF(AND(T13&gt;0,AO13&lt;&gt;""),T13*AO13,"")</f>
        <v/>
      </c>
      <c r="BN13" s="40">
        <f>IF(AND(T13&gt;0,AS13&gt;0),T13*AS13,"")</f>
        <v/>
      </c>
      <c r="BO13" s="40">
        <f>IF(AND(T13&gt;0,AV13&lt;&gt;""),T13*AV13,"")</f>
        <v/>
      </c>
      <c r="BP13" s="40">
        <f>IF(AND(T13&gt;0,BA13&lt;&gt;""),T13*BA13,"")</f>
        <v/>
      </c>
      <c r="BQ13" s="40">
        <f>IF(AND(T13&gt;0,BD13&lt;&gt;""),T13*BD13,"")</f>
        <v/>
      </c>
      <c r="BR13" s="46">
        <f>IF(AND(T13&gt;0,V13&gt;0,AA13&lt;&gt;0),V13/AA13-T13,"")</f>
        <v/>
      </c>
      <c r="BS13" s="41">
        <f>IF(AND(BR13&lt;&gt;"",T13&gt;0),BR13/T13,"")</f>
        <v/>
      </c>
      <c r="BT13" s="46">
        <f>IF(AND(T13&gt;0,V13&gt;0,AO13&lt;&gt;0),V13/AO13-T13,"")</f>
        <v/>
      </c>
      <c r="BU13" s="41">
        <f>IF(AND(BT13&lt;&gt;"",T13&gt;0),BT13/T13,"")</f>
        <v/>
      </c>
    </row>
    <row r="14">
      <c r="A14" s="36">
        <f>'📊 Исходные данные'!A13</f>
        <v/>
      </c>
      <c r="B14" s="37">
        <f>'📊 Исходные данные'!B13</f>
        <v/>
      </c>
      <c r="C14" s="38">
        <f>'📊 Исходные данные'!C13</f>
        <v/>
      </c>
      <c r="D14" s="38">
        <f>'📊 Исходные данные'!D13</f>
        <v/>
      </c>
      <c r="E14" s="39">
        <f>IF(OR(D14="",F14=""),"-",IF(D14&gt;F14*1.05,"Выше рынка",IF(D14&lt;F14*0.95,"Ниже рынка","На уровне")))</f>
        <v/>
      </c>
      <c r="F14" s="40">
        <f>IFERROR(AVERAGE('📊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G14" s="40">
        <f>IFERROR(MEDIAN('📊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H14" s="40">
        <f>IFERROR(MIN('📊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I14" s="40">
        <f>IFERROR(MAX('📊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данные'!K13),"")</f>
        <v/>
      </c>
      <c r="J14" s="41">
        <f>IF(AND(D14&lt;&gt;"",F14&lt;&gt;""),(D14-F14)/F14,"")</f>
        <v/>
      </c>
      <c r="K14" s="41">
        <f>IF(AND(D14&lt;&gt;"",G14&lt;&gt;""),(D14-G14)/G14,"")</f>
        <v/>
      </c>
      <c r="L14" s="41">
        <f>IF(AND(D14&lt;&gt;"",H14&lt;&gt;""),(D14-H14)/H14,"")</f>
        <v/>
      </c>
      <c r="M14" s="42">
        <f>IFERROR(RANK(D14,('📊 Исходные данные'!E13,'📊 Исходные данные'!F13,'📊 Исходные данные'!G13,'📊 Исходные данные'!H13,'📊 Исходные данные'!I13,'📊 Исходные данные'!J13,'📊 Исходные данные'!K13)),"")</f>
        <v/>
      </c>
      <c r="N14" s="39">
        <f>IF(M14="","-",IF(M14=1,"Дороже всех",IF(M14=2,"2-й по цене",IF(M14&lt;=4,"Средний","Ниже конкурентов"))))</f>
        <v/>
      </c>
      <c r="O14" s="41">
        <f>IF(AND(C14&gt;0,D14&gt;0),(D14-C14)/C14,"")</f>
        <v/>
      </c>
      <c r="P14" s="41">
        <f>IF(AND(C14&gt;0,D14&gt;0),(D14-C14)/D14,"")</f>
        <v/>
      </c>
      <c r="Q14" s="40">
        <f>IF(AND(C14&gt;0,D14&gt;0),D14-C14,"")</f>
        <v/>
      </c>
      <c r="R14" s="39">
        <f>IF(P14="","-",IF(P14&lt;0.1,"Низкая(&lt;10%)",IF(P14&lt;0.2,"Средняя(10-20%)","Хорошая(&gt;20%)")))</f>
        <v/>
      </c>
      <c r="S14" s="39">
        <f>IF(OR(H14="",C14=""),"-",IF((H14-C14)/H14&lt;0.05,"КРИТИЧНО",IF((H14-C14)/H14&lt;0.15,"УМЕРЕННЫЙ","НИЗКИЙ")))</f>
        <v/>
      </c>
      <c r="T14" s="43" t="n"/>
      <c r="U14" s="40">
        <f>IF(T14&gt;0,T14*D14,"")</f>
        <v/>
      </c>
      <c r="V14" s="40">
        <f>IF(T14&gt;0,T14*Q14,"")</f>
        <v/>
      </c>
      <c r="W14" s="41">
        <f>IF(U14&gt;0,V14/U14,"")</f>
        <v/>
      </c>
      <c r="X14" s="40">
        <f>IF(F14&lt;&gt;"",F14,"")</f>
        <v/>
      </c>
      <c r="Y14" s="41">
        <f>IF(AND(X14&lt;&gt;"",C14&gt;0),(X14-C14)/C14,"")</f>
        <v/>
      </c>
      <c r="Z14" s="41">
        <f>IF(AND(X14&lt;&gt;"",X14&gt;0),(X14-C14)/X14,"")</f>
        <v/>
      </c>
      <c r="AA14" s="40">
        <f>IF(AND(X14&lt;&gt;"",C14&gt;0),X14-C14,"")</f>
        <v/>
      </c>
      <c r="AB14" s="41">
        <f>IF(AND(X14&lt;&gt;"",D14&gt;0),(X14-D14)/D14,"")</f>
        <v/>
      </c>
      <c r="AC14" s="41">
        <f>IF(AND(Z14&lt;&gt;"",P14&lt;&gt;""),(Z14-P14)/ABS(IF(P14=0,1,P14)),"")</f>
        <v/>
      </c>
      <c r="AD14" s="40">
        <f>IF(AND(AA14&lt;&gt;"",Q14&lt;&gt;""),AA14-Q14,"")</f>
        <v/>
      </c>
      <c r="AE14" s="40">
        <f>IF(G14&lt;&gt;"",G14,"")</f>
        <v/>
      </c>
      <c r="AF14" s="41">
        <f>IF(AND(AE14&lt;&gt;"",C14&gt;0),(AE14-C14)/C14,"")</f>
        <v/>
      </c>
      <c r="AG14" s="41">
        <f>IF(AND(AE14&lt;&gt;"",AE14&gt;0),(AE14-C14)/AE14,"")</f>
        <v/>
      </c>
      <c r="AH14" s="40">
        <f>IF(AND(AE14&lt;&gt;"",C14&gt;0),AE14-C14,"")</f>
        <v/>
      </c>
      <c r="AI14" s="41">
        <f>IF(AND(AE14&lt;&gt;"",D14&gt;0),(AE14-D14)/D14,"")</f>
        <v/>
      </c>
      <c r="AJ14" s="41">
        <f>IF(AND(AG14&lt;&gt;"",P14&lt;&gt;""),(AG14-P14)/ABS(IF(P14=0,1,P14)),"")</f>
        <v/>
      </c>
      <c r="AK14" s="40">
        <f>IF(AND(AH14&lt;&gt;"",Q14&lt;&gt;""),AH14-Q14,"")</f>
        <v/>
      </c>
      <c r="AL14" s="40">
        <f>IF(H14&lt;&gt;"",H14,"")</f>
        <v/>
      </c>
      <c r="AM14" s="41">
        <f>IF(AND(AL14&lt;&gt;"",C14&gt;0),(AL14-C14)/C14,"")</f>
        <v/>
      </c>
      <c r="AN14" s="41">
        <f>IF(AND(AL14&lt;&gt;"",AL14&gt;0),(AL14-C14)/AL14,"")</f>
        <v/>
      </c>
      <c r="AO14" s="40">
        <f>IF(AND(AL14&lt;&gt;"",C14&gt;0),AL14-C14,"")</f>
        <v/>
      </c>
      <c r="AP14" s="41">
        <f>IF(AND(AL14&lt;&gt;"",D14&gt;0),(AL14-D14)/D14,"")</f>
        <v/>
      </c>
      <c r="AQ14" s="41">
        <f>IF(AND(AN14&lt;&gt;"",P14&lt;&gt;""),(AN14-P14)/ABS(IF(P14=0,1,P14)),"")</f>
        <v/>
      </c>
      <c r="AR14" s="40">
        <f>IF(AND(AO14&lt;&gt;"",Q14&lt;&gt;""),AO14-Q14,"")</f>
        <v/>
      </c>
      <c r="AS14" s="44" t="n"/>
      <c r="AT14" s="41">
        <f>IF(AND(AS14&gt;0,C14&gt;0),(AS14-C14)/C14,"")</f>
        <v/>
      </c>
      <c r="AU14" s="41">
        <f>IF(AND(AS14&gt;0,AS14&gt;0),(AS14-C14)/AS14,"")</f>
        <v/>
      </c>
      <c r="AV14" s="40">
        <f>IF(AND(AS14&gt;0,C14&gt;0),AS14-C14,"")</f>
        <v/>
      </c>
      <c r="AW14" s="41">
        <f>IF(AND(AS14&gt;0,D14&gt;0),(AS14-D14)/D14,"")</f>
        <v/>
      </c>
      <c r="AX14" s="41">
        <f>IF(AND(AU14&lt;&gt;"",P14&lt;&gt;""),(AU14-P14)/ABS(IF(P14=0,1,P14)),"")</f>
        <v/>
      </c>
      <c r="AY14" s="40">
        <f>IF(AND(AV14&lt;&gt;"",Q14&lt;&gt;""),AV14-Q14,"")</f>
        <v/>
      </c>
      <c r="AZ14" s="45" t="n"/>
      <c r="BA14" s="40">
        <f>IF(AND(AZ14&gt;0,C14&gt;0),C14/(1-AZ14),"")</f>
        <v/>
      </c>
      <c r="BB14" s="41">
        <f>IF(AND(BA14&lt;&gt;"",C14&gt;0),(BA14-C14)/C14,"")</f>
        <v/>
      </c>
      <c r="BC14" s="41">
        <f>IF(BA14&lt;&gt;"",AZ14,"")</f>
        <v/>
      </c>
      <c r="BD14" s="40">
        <f>IF(AND(BA14&lt;&gt;"",C14&gt;0),BA14-C14,"")</f>
        <v/>
      </c>
      <c r="BE14" s="41">
        <f>IF(AND(BA14&lt;&gt;"",D14&gt;0),(BA14-D14)/D14,"")</f>
        <v/>
      </c>
      <c r="BF14" s="41">
        <f>IF(AND(BC14&lt;&gt;"",P14&lt;&gt;""),(BC14-P14)/ABS(IF(P14=0,1,P14)),"")</f>
        <v/>
      </c>
      <c r="BG14" s="40">
        <f>IF(AND(BD14&lt;&gt;"",Q14&lt;&gt;""),BD14-Q14,"")</f>
        <v/>
      </c>
      <c r="BH14" s="40">
        <f>IF(AND(T14&gt;0,X14&lt;&gt;""),T14*X14,"")</f>
        <v/>
      </c>
      <c r="BI14" s="40">
        <f>IF(AND(T14&gt;0,AA14&lt;&gt;""),T14*AA14,"")</f>
        <v/>
      </c>
      <c r="BJ14" s="40">
        <f>IF(AND(T14&gt;0,AE14&lt;&gt;""),T14*AE14,"")</f>
        <v/>
      </c>
      <c r="BK14" s="40">
        <f>IF(AND(T14&gt;0,AH14&lt;&gt;""),T14*AH14,"")</f>
        <v/>
      </c>
      <c r="BL14" s="40">
        <f>IF(AND(T14&gt;0,AL14&lt;&gt;""),T14*AL14,"")</f>
        <v/>
      </c>
      <c r="BM14" s="40">
        <f>IF(AND(T14&gt;0,AO14&lt;&gt;""),T14*AO14,"")</f>
        <v/>
      </c>
      <c r="BN14" s="40">
        <f>IF(AND(T14&gt;0,AS14&gt;0),T14*AS14,"")</f>
        <v/>
      </c>
      <c r="BO14" s="40">
        <f>IF(AND(T14&gt;0,AV14&lt;&gt;""),T14*AV14,"")</f>
        <v/>
      </c>
      <c r="BP14" s="40">
        <f>IF(AND(T14&gt;0,BA14&lt;&gt;""),T14*BA14,"")</f>
        <v/>
      </c>
      <c r="BQ14" s="40">
        <f>IF(AND(T14&gt;0,BD14&lt;&gt;""),T14*BD14,"")</f>
        <v/>
      </c>
      <c r="BR14" s="46">
        <f>IF(AND(T14&gt;0,V14&gt;0,AA14&lt;&gt;0),V14/AA14-T14,"")</f>
        <v/>
      </c>
      <c r="BS14" s="41">
        <f>IF(AND(BR14&lt;&gt;"",T14&gt;0),BR14/T14,"")</f>
        <v/>
      </c>
      <c r="BT14" s="46">
        <f>IF(AND(T14&gt;0,V14&gt;0,AO14&lt;&gt;0),V14/AO14-T14,"")</f>
        <v/>
      </c>
      <c r="BU14" s="41">
        <f>IF(AND(BT14&lt;&gt;"",T14&gt;0),BT14/T14,"")</f>
        <v/>
      </c>
    </row>
    <row r="15">
      <c r="A15" s="36">
        <f>'📊 Исходные данные'!A14</f>
        <v/>
      </c>
      <c r="B15" s="37">
        <f>'📊 Исходные данные'!B14</f>
        <v/>
      </c>
      <c r="C15" s="38">
        <f>'📊 Исходные данные'!C14</f>
        <v/>
      </c>
      <c r="D15" s="38">
        <f>'📊 Исходные данные'!D14</f>
        <v/>
      </c>
      <c r="E15" s="39">
        <f>IF(OR(D15="",F15=""),"-",IF(D15&gt;F15*1.05,"Выше рынка",IF(D15&lt;F15*0.95,"Ниже рынка","На уровне")))</f>
        <v/>
      </c>
      <c r="F15" s="40">
        <f>IFERROR(AVERAGE('📊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G15" s="40">
        <f>IFERROR(MEDIAN('📊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H15" s="40">
        <f>IFERROR(MIN('📊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I15" s="40">
        <f>IFERROR(MAX('📊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данные'!K14),"")</f>
        <v/>
      </c>
      <c r="J15" s="41">
        <f>IF(AND(D15&lt;&gt;"",F15&lt;&gt;""),(D15-F15)/F15,"")</f>
        <v/>
      </c>
      <c r="K15" s="41">
        <f>IF(AND(D15&lt;&gt;"",G15&lt;&gt;""),(D15-G15)/G15,"")</f>
        <v/>
      </c>
      <c r="L15" s="41">
        <f>IF(AND(D15&lt;&gt;"",H15&lt;&gt;""),(D15-H15)/H15,"")</f>
        <v/>
      </c>
      <c r="M15" s="42">
        <f>IFERROR(RANK(D15,('📊 Исходные данные'!E14,'📊 Исходные данные'!F14,'📊 Исходные данные'!G14,'📊 Исходные данные'!H14,'📊 Исходные данные'!I14,'📊 Исходные данные'!J14,'📊 Исходные данные'!K14)),"")</f>
        <v/>
      </c>
      <c r="N15" s="39">
        <f>IF(M15="","-",IF(M15=1,"Дороже всех",IF(M15=2,"2-й по цене",IF(M15&lt;=4,"Средний","Ниже конкурентов"))))</f>
        <v/>
      </c>
      <c r="O15" s="41">
        <f>IF(AND(C15&gt;0,D15&gt;0),(D15-C15)/C15,"")</f>
        <v/>
      </c>
      <c r="P15" s="41">
        <f>IF(AND(C15&gt;0,D15&gt;0),(D15-C15)/D15,"")</f>
        <v/>
      </c>
      <c r="Q15" s="40">
        <f>IF(AND(C15&gt;0,D15&gt;0),D15-C15,"")</f>
        <v/>
      </c>
      <c r="R15" s="39">
        <f>IF(P15="","-",IF(P15&lt;0.1,"Низкая(&lt;10%)",IF(P15&lt;0.2,"Средняя(10-20%)","Хорошая(&gt;20%)")))</f>
        <v/>
      </c>
      <c r="S15" s="39">
        <f>IF(OR(H15="",C15=""),"-",IF((H15-C15)/H15&lt;0.05,"КРИТИЧНО",IF((H15-C15)/H15&lt;0.15,"УМЕРЕННЫЙ","НИЗКИЙ")))</f>
        <v/>
      </c>
      <c r="T15" s="43" t="n"/>
      <c r="U15" s="40">
        <f>IF(T15&gt;0,T15*D15,"")</f>
        <v/>
      </c>
      <c r="V15" s="40">
        <f>IF(T15&gt;0,T15*Q15,"")</f>
        <v/>
      </c>
      <c r="W15" s="41">
        <f>IF(U15&gt;0,V15/U15,"")</f>
        <v/>
      </c>
      <c r="X15" s="40">
        <f>IF(F15&lt;&gt;"",F15,"")</f>
        <v/>
      </c>
      <c r="Y15" s="41">
        <f>IF(AND(X15&lt;&gt;"",C15&gt;0),(X15-C15)/C15,"")</f>
        <v/>
      </c>
      <c r="Z15" s="41">
        <f>IF(AND(X15&lt;&gt;"",X15&gt;0),(X15-C15)/X15,"")</f>
        <v/>
      </c>
      <c r="AA15" s="40">
        <f>IF(AND(X15&lt;&gt;"",C15&gt;0),X15-C15,"")</f>
        <v/>
      </c>
      <c r="AB15" s="41">
        <f>IF(AND(X15&lt;&gt;"",D15&gt;0),(X15-D15)/D15,"")</f>
        <v/>
      </c>
      <c r="AC15" s="41">
        <f>IF(AND(Z15&lt;&gt;"",P15&lt;&gt;""),(Z15-P15)/ABS(IF(P15=0,1,P15)),"")</f>
        <v/>
      </c>
      <c r="AD15" s="40">
        <f>IF(AND(AA15&lt;&gt;"",Q15&lt;&gt;""),AA15-Q15,"")</f>
        <v/>
      </c>
      <c r="AE15" s="40">
        <f>IF(G15&lt;&gt;"",G15,"")</f>
        <v/>
      </c>
      <c r="AF15" s="41">
        <f>IF(AND(AE15&lt;&gt;"",C15&gt;0),(AE15-C15)/C15,"")</f>
        <v/>
      </c>
      <c r="AG15" s="41">
        <f>IF(AND(AE15&lt;&gt;"",AE15&gt;0),(AE15-C15)/AE15,"")</f>
        <v/>
      </c>
      <c r="AH15" s="40">
        <f>IF(AND(AE15&lt;&gt;"",C15&gt;0),AE15-C15,"")</f>
        <v/>
      </c>
      <c r="AI15" s="41">
        <f>IF(AND(AE15&lt;&gt;"",D15&gt;0),(AE15-D15)/D15,"")</f>
        <v/>
      </c>
      <c r="AJ15" s="41">
        <f>IF(AND(AG15&lt;&gt;"",P15&lt;&gt;""),(AG15-P15)/ABS(IF(P15=0,1,P15)),"")</f>
        <v/>
      </c>
      <c r="AK15" s="40">
        <f>IF(AND(AH15&lt;&gt;"",Q15&lt;&gt;""),AH15-Q15,"")</f>
        <v/>
      </c>
      <c r="AL15" s="40">
        <f>IF(H15&lt;&gt;"",H15,"")</f>
        <v/>
      </c>
      <c r="AM15" s="41">
        <f>IF(AND(AL15&lt;&gt;"",C15&gt;0),(AL15-C15)/C15,"")</f>
        <v/>
      </c>
      <c r="AN15" s="41">
        <f>IF(AND(AL15&lt;&gt;"",AL15&gt;0),(AL15-C15)/AL15,"")</f>
        <v/>
      </c>
      <c r="AO15" s="40">
        <f>IF(AND(AL15&lt;&gt;"",C15&gt;0),AL15-C15,"")</f>
        <v/>
      </c>
      <c r="AP15" s="41">
        <f>IF(AND(AL15&lt;&gt;"",D15&gt;0),(AL15-D15)/D15,"")</f>
        <v/>
      </c>
      <c r="AQ15" s="41">
        <f>IF(AND(AN15&lt;&gt;"",P15&lt;&gt;""),(AN15-P15)/ABS(IF(P15=0,1,P15)),"")</f>
        <v/>
      </c>
      <c r="AR15" s="40">
        <f>IF(AND(AO15&lt;&gt;"",Q15&lt;&gt;""),AO15-Q15,"")</f>
        <v/>
      </c>
      <c r="AS15" s="44" t="n"/>
      <c r="AT15" s="41">
        <f>IF(AND(AS15&gt;0,C15&gt;0),(AS15-C15)/C15,"")</f>
        <v/>
      </c>
      <c r="AU15" s="41">
        <f>IF(AND(AS15&gt;0,AS15&gt;0),(AS15-C15)/AS15,"")</f>
        <v/>
      </c>
      <c r="AV15" s="40">
        <f>IF(AND(AS15&gt;0,C15&gt;0),AS15-C15,"")</f>
        <v/>
      </c>
      <c r="AW15" s="41">
        <f>IF(AND(AS15&gt;0,D15&gt;0),(AS15-D15)/D15,"")</f>
        <v/>
      </c>
      <c r="AX15" s="41">
        <f>IF(AND(AU15&lt;&gt;"",P15&lt;&gt;""),(AU15-P15)/ABS(IF(P15=0,1,P15)),"")</f>
        <v/>
      </c>
      <c r="AY15" s="40">
        <f>IF(AND(AV15&lt;&gt;"",Q15&lt;&gt;""),AV15-Q15,"")</f>
        <v/>
      </c>
      <c r="AZ15" s="45" t="n"/>
      <c r="BA15" s="40">
        <f>IF(AND(AZ15&gt;0,C15&gt;0),C15/(1-AZ15),"")</f>
        <v/>
      </c>
      <c r="BB15" s="41">
        <f>IF(AND(BA15&lt;&gt;"",C15&gt;0),(BA15-C15)/C15,"")</f>
        <v/>
      </c>
      <c r="BC15" s="41">
        <f>IF(BA15&lt;&gt;"",AZ15,"")</f>
        <v/>
      </c>
      <c r="BD15" s="40">
        <f>IF(AND(BA15&lt;&gt;"",C15&gt;0),BA15-C15,"")</f>
        <v/>
      </c>
      <c r="BE15" s="41">
        <f>IF(AND(BA15&lt;&gt;"",D15&gt;0),(BA15-D15)/D15,"")</f>
        <v/>
      </c>
      <c r="BF15" s="41">
        <f>IF(AND(BC15&lt;&gt;"",P15&lt;&gt;""),(BC15-P15)/ABS(IF(P15=0,1,P15)),"")</f>
        <v/>
      </c>
      <c r="BG15" s="40">
        <f>IF(AND(BD15&lt;&gt;"",Q15&lt;&gt;""),BD15-Q15,"")</f>
        <v/>
      </c>
      <c r="BH15" s="40">
        <f>IF(AND(T15&gt;0,X15&lt;&gt;""),T15*X15,"")</f>
        <v/>
      </c>
      <c r="BI15" s="40">
        <f>IF(AND(T15&gt;0,AA15&lt;&gt;""),T15*AA15,"")</f>
        <v/>
      </c>
      <c r="BJ15" s="40">
        <f>IF(AND(T15&gt;0,AE15&lt;&gt;""),T15*AE15,"")</f>
        <v/>
      </c>
      <c r="BK15" s="40">
        <f>IF(AND(T15&gt;0,AH15&lt;&gt;""),T15*AH15,"")</f>
        <v/>
      </c>
      <c r="BL15" s="40">
        <f>IF(AND(T15&gt;0,AL15&lt;&gt;""),T15*AL15,"")</f>
        <v/>
      </c>
      <c r="BM15" s="40">
        <f>IF(AND(T15&gt;0,AO15&lt;&gt;""),T15*AO15,"")</f>
        <v/>
      </c>
      <c r="BN15" s="40">
        <f>IF(AND(T15&gt;0,AS15&gt;0),T15*AS15,"")</f>
        <v/>
      </c>
      <c r="BO15" s="40">
        <f>IF(AND(T15&gt;0,AV15&lt;&gt;""),T15*AV15,"")</f>
        <v/>
      </c>
      <c r="BP15" s="40">
        <f>IF(AND(T15&gt;0,BA15&lt;&gt;""),T15*BA15,"")</f>
        <v/>
      </c>
      <c r="BQ15" s="40">
        <f>IF(AND(T15&gt;0,BD15&lt;&gt;""),T15*BD15,"")</f>
        <v/>
      </c>
      <c r="BR15" s="46">
        <f>IF(AND(T15&gt;0,V15&gt;0,AA15&lt;&gt;0),V15/AA15-T15,"")</f>
        <v/>
      </c>
      <c r="BS15" s="41">
        <f>IF(AND(BR15&lt;&gt;"",T15&gt;0),BR15/T15,"")</f>
        <v/>
      </c>
      <c r="BT15" s="46">
        <f>IF(AND(T15&gt;0,V15&gt;0,AO15&lt;&gt;0),V15/AO15-T15,"")</f>
        <v/>
      </c>
      <c r="BU15" s="41">
        <f>IF(AND(BT15&lt;&gt;"",T15&gt;0),BT15/T15,"")</f>
        <v/>
      </c>
    </row>
    <row r="16">
      <c r="A16" s="36">
        <f>'📊 Исходные данные'!A15</f>
        <v/>
      </c>
      <c r="B16" s="37">
        <f>'📊 Исходные данные'!B15</f>
        <v/>
      </c>
      <c r="C16" s="38">
        <f>'📊 Исходные данные'!C15</f>
        <v/>
      </c>
      <c r="D16" s="38">
        <f>'📊 Исходные данные'!D15</f>
        <v/>
      </c>
      <c r="E16" s="39">
        <f>IF(OR(D16="",F16=""),"-",IF(D16&gt;F16*1.05,"Выше рынка",IF(D16&lt;F16*0.95,"Ниже рынка","На уровне")))</f>
        <v/>
      </c>
      <c r="F16" s="40">
        <f>IFERROR(AVERAGE('📊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G16" s="40">
        <f>IFERROR(MEDIAN('📊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H16" s="40">
        <f>IFERROR(MIN('📊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I16" s="40">
        <f>IFERROR(MAX('📊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данные'!K15),"")</f>
        <v/>
      </c>
      <c r="J16" s="41">
        <f>IF(AND(D16&lt;&gt;"",F16&lt;&gt;""),(D16-F16)/F16,"")</f>
        <v/>
      </c>
      <c r="K16" s="41">
        <f>IF(AND(D16&lt;&gt;"",G16&lt;&gt;""),(D16-G16)/G16,"")</f>
        <v/>
      </c>
      <c r="L16" s="41">
        <f>IF(AND(D16&lt;&gt;"",H16&lt;&gt;""),(D16-H16)/H16,"")</f>
        <v/>
      </c>
      <c r="M16" s="42">
        <f>IFERROR(RANK(D16,('📊 Исходные данные'!E15,'📊 Исходные данные'!F15,'📊 Исходные данные'!G15,'📊 Исходные данные'!H15,'📊 Исходные данные'!I15,'📊 Исходные данные'!J15,'📊 Исходные данные'!K15)),"")</f>
        <v/>
      </c>
      <c r="N16" s="39">
        <f>IF(M16="","-",IF(M16=1,"Дороже всех",IF(M16=2,"2-й по цене",IF(M16&lt;=4,"Средний","Ниже конкурентов"))))</f>
        <v/>
      </c>
      <c r="O16" s="41">
        <f>IF(AND(C16&gt;0,D16&gt;0),(D16-C16)/C16,"")</f>
        <v/>
      </c>
      <c r="P16" s="41">
        <f>IF(AND(C16&gt;0,D16&gt;0),(D16-C16)/D16,"")</f>
        <v/>
      </c>
      <c r="Q16" s="40">
        <f>IF(AND(C16&gt;0,D16&gt;0),D16-C16,"")</f>
        <v/>
      </c>
      <c r="R16" s="39">
        <f>IF(P16="","-",IF(P16&lt;0.1,"Низкая(&lt;10%)",IF(P16&lt;0.2,"Средняя(10-20%)","Хорошая(&gt;20%)")))</f>
        <v/>
      </c>
      <c r="S16" s="39">
        <f>IF(OR(H16="",C16=""),"-",IF((H16-C16)/H16&lt;0.05,"КРИТИЧНО",IF((H16-C16)/H16&lt;0.15,"УМЕРЕННЫЙ","НИЗКИЙ")))</f>
        <v/>
      </c>
      <c r="T16" s="43" t="n"/>
      <c r="U16" s="40">
        <f>IF(T16&gt;0,T16*D16,"")</f>
        <v/>
      </c>
      <c r="V16" s="40">
        <f>IF(T16&gt;0,T16*Q16,"")</f>
        <v/>
      </c>
      <c r="W16" s="41">
        <f>IF(U16&gt;0,V16/U16,"")</f>
        <v/>
      </c>
      <c r="X16" s="40">
        <f>IF(F16&lt;&gt;"",F16,"")</f>
        <v/>
      </c>
      <c r="Y16" s="41">
        <f>IF(AND(X16&lt;&gt;"",C16&gt;0),(X16-C16)/C16,"")</f>
        <v/>
      </c>
      <c r="Z16" s="41">
        <f>IF(AND(X16&lt;&gt;"",X16&gt;0),(X16-C16)/X16,"")</f>
        <v/>
      </c>
      <c r="AA16" s="40">
        <f>IF(AND(X16&lt;&gt;"",C16&gt;0),X16-C16,"")</f>
        <v/>
      </c>
      <c r="AB16" s="41">
        <f>IF(AND(X16&lt;&gt;"",D16&gt;0),(X16-D16)/D16,"")</f>
        <v/>
      </c>
      <c r="AC16" s="41">
        <f>IF(AND(Z16&lt;&gt;"",P16&lt;&gt;""),(Z16-P16)/ABS(IF(P16=0,1,P16)),"")</f>
        <v/>
      </c>
      <c r="AD16" s="40">
        <f>IF(AND(AA16&lt;&gt;"",Q16&lt;&gt;""),AA16-Q16,"")</f>
        <v/>
      </c>
      <c r="AE16" s="40">
        <f>IF(G16&lt;&gt;"",G16,"")</f>
        <v/>
      </c>
      <c r="AF16" s="41">
        <f>IF(AND(AE16&lt;&gt;"",C16&gt;0),(AE16-C16)/C16,"")</f>
        <v/>
      </c>
      <c r="AG16" s="41">
        <f>IF(AND(AE16&lt;&gt;"",AE16&gt;0),(AE16-C16)/AE16,"")</f>
        <v/>
      </c>
      <c r="AH16" s="40">
        <f>IF(AND(AE16&lt;&gt;"",C16&gt;0),AE16-C16,"")</f>
        <v/>
      </c>
      <c r="AI16" s="41">
        <f>IF(AND(AE16&lt;&gt;"",D16&gt;0),(AE16-D16)/D16,"")</f>
        <v/>
      </c>
      <c r="AJ16" s="41">
        <f>IF(AND(AG16&lt;&gt;"",P16&lt;&gt;""),(AG16-P16)/ABS(IF(P16=0,1,P16)),"")</f>
        <v/>
      </c>
      <c r="AK16" s="40">
        <f>IF(AND(AH16&lt;&gt;"",Q16&lt;&gt;""),AH16-Q16,"")</f>
        <v/>
      </c>
      <c r="AL16" s="40">
        <f>IF(H16&lt;&gt;"",H16,"")</f>
        <v/>
      </c>
      <c r="AM16" s="41">
        <f>IF(AND(AL16&lt;&gt;"",C16&gt;0),(AL16-C16)/C16,"")</f>
        <v/>
      </c>
      <c r="AN16" s="41">
        <f>IF(AND(AL16&lt;&gt;"",AL16&gt;0),(AL16-C16)/AL16,"")</f>
        <v/>
      </c>
      <c r="AO16" s="40">
        <f>IF(AND(AL16&lt;&gt;"",C16&gt;0),AL16-C16,"")</f>
        <v/>
      </c>
      <c r="AP16" s="41">
        <f>IF(AND(AL16&lt;&gt;"",D16&gt;0),(AL16-D16)/D16,"")</f>
        <v/>
      </c>
      <c r="AQ16" s="41">
        <f>IF(AND(AN16&lt;&gt;"",P16&lt;&gt;""),(AN16-P16)/ABS(IF(P16=0,1,P16)),"")</f>
        <v/>
      </c>
      <c r="AR16" s="40">
        <f>IF(AND(AO16&lt;&gt;"",Q16&lt;&gt;""),AO16-Q16,"")</f>
        <v/>
      </c>
      <c r="AS16" s="44" t="n"/>
      <c r="AT16" s="41">
        <f>IF(AND(AS16&gt;0,C16&gt;0),(AS16-C16)/C16,"")</f>
        <v/>
      </c>
      <c r="AU16" s="41">
        <f>IF(AND(AS16&gt;0,AS16&gt;0),(AS16-C16)/AS16,"")</f>
        <v/>
      </c>
      <c r="AV16" s="40">
        <f>IF(AND(AS16&gt;0,C16&gt;0),AS16-C16,"")</f>
        <v/>
      </c>
      <c r="AW16" s="41">
        <f>IF(AND(AS16&gt;0,D16&gt;0),(AS16-D16)/D16,"")</f>
        <v/>
      </c>
      <c r="AX16" s="41">
        <f>IF(AND(AU16&lt;&gt;"",P16&lt;&gt;""),(AU16-P16)/ABS(IF(P16=0,1,P16)),"")</f>
        <v/>
      </c>
      <c r="AY16" s="40">
        <f>IF(AND(AV16&lt;&gt;"",Q16&lt;&gt;""),AV16-Q16,"")</f>
        <v/>
      </c>
      <c r="AZ16" s="45" t="n"/>
      <c r="BA16" s="40">
        <f>IF(AND(AZ16&gt;0,C16&gt;0),C16/(1-AZ16),"")</f>
        <v/>
      </c>
      <c r="BB16" s="41">
        <f>IF(AND(BA16&lt;&gt;"",C16&gt;0),(BA16-C16)/C16,"")</f>
        <v/>
      </c>
      <c r="BC16" s="41">
        <f>IF(BA16&lt;&gt;"",AZ16,"")</f>
        <v/>
      </c>
      <c r="BD16" s="40">
        <f>IF(AND(BA16&lt;&gt;"",C16&gt;0),BA16-C16,"")</f>
        <v/>
      </c>
      <c r="BE16" s="41">
        <f>IF(AND(BA16&lt;&gt;"",D16&gt;0),(BA16-D16)/D16,"")</f>
        <v/>
      </c>
      <c r="BF16" s="41">
        <f>IF(AND(BC16&lt;&gt;"",P16&lt;&gt;""),(BC16-P16)/ABS(IF(P16=0,1,P16)),"")</f>
        <v/>
      </c>
      <c r="BG16" s="40">
        <f>IF(AND(BD16&lt;&gt;"",Q16&lt;&gt;""),BD16-Q16,"")</f>
        <v/>
      </c>
      <c r="BH16" s="40">
        <f>IF(AND(T16&gt;0,X16&lt;&gt;""),T16*X16,"")</f>
        <v/>
      </c>
      <c r="BI16" s="40">
        <f>IF(AND(T16&gt;0,AA16&lt;&gt;""),T16*AA16,"")</f>
        <v/>
      </c>
      <c r="BJ16" s="40">
        <f>IF(AND(T16&gt;0,AE16&lt;&gt;""),T16*AE16,"")</f>
        <v/>
      </c>
      <c r="BK16" s="40">
        <f>IF(AND(T16&gt;0,AH16&lt;&gt;""),T16*AH16,"")</f>
        <v/>
      </c>
      <c r="BL16" s="40">
        <f>IF(AND(T16&gt;0,AL16&lt;&gt;""),T16*AL16,"")</f>
        <v/>
      </c>
      <c r="BM16" s="40">
        <f>IF(AND(T16&gt;0,AO16&lt;&gt;""),T16*AO16,"")</f>
        <v/>
      </c>
      <c r="BN16" s="40">
        <f>IF(AND(T16&gt;0,AS16&gt;0),T16*AS16,"")</f>
        <v/>
      </c>
      <c r="BO16" s="40">
        <f>IF(AND(T16&gt;0,AV16&lt;&gt;""),T16*AV16,"")</f>
        <v/>
      </c>
      <c r="BP16" s="40">
        <f>IF(AND(T16&gt;0,BA16&lt;&gt;""),T16*BA16,"")</f>
        <v/>
      </c>
      <c r="BQ16" s="40">
        <f>IF(AND(T16&gt;0,BD16&lt;&gt;""),T16*BD16,"")</f>
        <v/>
      </c>
      <c r="BR16" s="46">
        <f>IF(AND(T16&gt;0,V16&gt;0,AA16&lt;&gt;0),V16/AA16-T16,"")</f>
        <v/>
      </c>
      <c r="BS16" s="41">
        <f>IF(AND(BR16&lt;&gt;"",T16&gt;0),BR16/T16,"")</f>
        <v/>
      </c>
      <c r="BT16" s="46">
        <f>IF(AND(T16&gt;0,V16&gt;0,AO16&lt;&gt;0),V16/AO16-T16,"")</f>
        <v/>
      </c>
      <c r="BU16" s="41">
        <f>IF(AND(BT16&lt;&gt;"",T16&gt;0),BT16/T16,"")</f>
        <v/>
      </c>
    </row>
    <row r="17">
      <c r="A17" s="36">
        <f>'📊 Исходные данные'!A16</f>
        <v/>
      </c>
      <c r="B17" s="37">
        <f>'📊 Исходные данные'!B16</f>
        <v/>
      </c>
      <c r="C17" s="38">
        <f>'📊 Исходные данные'!C16</f>
        <v/>
      </c>
      <c r="D17" s="38">
        <f>'📊 Исходные данные'!D16</f>
        <v/>
      </c>
      <c r="E17" s="39">
        <f>IF(OR(D17="",F17=""),"-",IF(D17&gt;F17*1.05,"Выше рынка",IF(D17&lt;F17*0.95,"Ниже рынка","На уровне")))</f>
        <v/>
      </c>
      <c r="F17" s="40">
        <f>IFERROR(AVERAGE('📊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G17" s="40">
        <f>IFERROR(MEDIAN('📊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H17" s="40">
        <f>IFERROR(MIN('📊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I17" s="40">
        <f>IFERROR(MAX('📊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данные'!K16),"")</f>
        <v/>
      </c>
      <c r="J17" s="41">
        <f>IF(AND(D17&lt;&gt;"",F17&lt;&gt;""),(D17-F17)/F17,"")</f>
        <v/>
      </c>
      <c r="K17" s="41">
        <f>IF(AND(D17&lt;&gt;"",G17&lt;&gt;""),(D17-G17)/G17,"")</f>
        <v/>
      </c>
      <c r="L17" s="41">
        <f>IF(AND(D17&lt;&gt;"",H17&lt;&gt;""),(D17-H17)/H17,"")</f>
        <v/>
      </c>
      <c r="M17" s="42">
        <f>IFERROR(RANK(D17,('📊 Исходные данные'!E16,'📊 Исходные данные'!F16,'📊 Исходные данные'!G16,'📊 Исходные данные'!H16,'📊 Исходные данные'!I16,'📊 Исходные данные'!J16,'📊 Исходные данные'!K16)),"")</f>
        <v/>
      </c>
      <c r="N17" s="39">
        <f>IF(M17="","-",IF(M17=1,"Дороже всех",IF(M17=2,"2-й по цене",IF(M17&lt;=4,"Средний","Ниже конкурентов"))))</f>
        <v/>
      </c>
      <c r="O17" s="41">
        <f>IF(AND(C17&gt;0,D17&gt;0),(D17-C17)/C17,"")</f>
        <v/>
      </c>
      <c r="P17" s="41">
        <f>IF(AND(C17&gt;0,D17&gt;0),(D17-C17)/D17,"")</f>
        <v/>
      </c>
      <c r="Q17" s="40">
        <f>IF(AND(C17&gt;0,D17&gt;0),D17-C17,"")</f>
        <v/>
      </c>
      <c r="R17" s="39">
        <f>IF(P17="","-",IF(P17&lt;0.1,"Низкая(&lt;10%)",IF(P17&lt;0.2,"Средняя(10-20%)","Хорошая(&gt;20%)")))</f>
        <v/>
      </c>
      <c r="S17" s="39">
        <f>IF(OR(H17="",C17=""),"-",IF((H17-C17)/H17&lt;0.05,"КРИТИЧНО",IF((H17-C17)/H17&lt;0.15,"УМЕРЕННЫЙ","НИЗКИЙ")))</f>
        <v/>
      </c>
      <c r="T17" s="43" t="n"/>
      <c r="U17" s="40">
        <f>IF(T17&gt;0,T17*D17,"")</f>
        <v/>
      </c>
      <c r="V17" s="40">
        <f>IF(T17&gt;0,T17*Q17,"")</f>
        <v/>
      </c>
      <c r="W17" s="41">
        <f>IF(U17&gt;0,V17/U17,"")</f>
        <v/>
      </c>
      <c r="X17" s="40">
        <f>IF(F17&lt;&gt;"",F17,"")</f>
        <v/>
      </c>
      <c r="Y17" s="41">
        <f>IF(AND(X17&lt;&gt;"",C17&gt;0),(X17-C17)/C17,"")</f>
        <v/>
      </c>
      <c r="Z17" s="41">
        <f>IF(AND(X17&lt;&gt;"",X17&gt;0),(X17-C17)/X17,"")</f>
        <v/>
      </c>
      <c r="AA17" s="40">
        <f>IF(AND(X17&lt;&gt;"",C17&gt;0),X17-C17,"")</f>
        <v/>
      </c>
      <c r="AB17" s="41">
        <f>IF(AND(X17&lt;&gt;"",D17&gt;0),(X17-D17)/D17,"")</f>
        <v/>
      </c>
      <c r="AC17" s="41">
        <f>IF(AND(Z17&lt;&gt;"",P17&lt;&gt;""),(Z17-P17)/ABS(IF(P17=0,1,P17)),"")</f>
        <v/>
      </c>
      <c r="AD17" s="40">
        <f>IF(AND(AA17&lt;&gt;"",Q17&lt;&gt;""),AA17-Q17,"")</f>
        <v/>
      </c>
      <c r="AE17" s="40">
        <f>IF(G17&lt;&gt;"",G17,"")</f>
        <v/>
      </c>
      <c r="AF17" s="41">
        <f>IF(AND(AE17&lt;&gt;"",C17&gt;0),(AE17-C17)/C17,"")</f>
        <v/>
      </c>
      <c r="AG17" s="41">
        <f>IF(AND(AE17&lt;&gt;"",AE17&gt;0),(AE17-C17)/AE17,"")</f>
        <v/>
      </c>
      <c r="AH17" s="40">
        <f>IF(AND(AE17&lt;&gt;"",C17&gt;0),AE17-C17,"")</f>
        <v/>
      </c>
      <c r="AI17" s="41">
        <f>IF(AND(AE17&lt;&gt;"",D17&gt;0),(AE17-D17)/D17,"")</f>
        <v/>
      </c>
      <c r="AJ17" s="41">
        <f>IF(AND(AG17&lt;&gt;"",P17&lt;&gt;""),(AG17-P17)/ABS(IF(P17=0,1,P17)),"")</f>
        <v/>
      </c>
      <c r="AK17" s="40">
        <f>IF(AND(AH17&lt;&gt;"",Q17&lt;&gt;""),AH17-Q17,"")</f>
        <v/>
      </c>
      <c r="AL17" s="40">
        <f>IF(H17&lt;&gt;"",H17,"")</f>
        <v/>
      </c>
      <c r="AM17" s="41">
        <f>IF(AND(AL17&lt;&gt;"",C17&gt;0),(AL17-C17)/C17,"")</f>
        <v/>
      </c>
      <c r="AN17" s="41">
        <f>IF(AND(AL17&lt;&gt;"",AL17&gt;0),(AL17-C17)/AL17,"")</f>
        <v/>
      </c>
      <c r="AO17" s="40">
        <f>IF(AND(AL17&lt;&gt;"",C17&gt;0),AL17-C17,"")</f>
        <v/>
      </c>
      <c r="AP17" s="41">
        <f>IF(AND(AL17&lt;&gt;"",D17&gt;0),(AL17-D17)/D17,"")</f>
        <v/>
      </c>
      <c r="AQ17" s="41">
        <f>IF(AND(AN17&lt;&gt;"",P17&lt;&gt;""),(AN17-P17)/ABS(IF(P17=0,1,P17)),"")</f>
        <v/>
      </c>
      <c r="AR17" s="40">
        <f>IF(AND(AO17&lt;&gt;"",Q17&lt;&gt;""),AO17-Q17,"")</f>
        <v/>
      </c>
      <c r="AS17" s="44" t="n"/>
      <c r="AT17" s="41">
        <f>IF(AND(AS17&gt;0,C17&gt;0),(AS17-C17)/C17,"")</f>
        <v/>
      </c>
      <c r="AU17" s="41">
        <f>IF(AND(AS17&gt;0,AS17&gt;0),(AS17-C17)/AS17,"")</f>
        <v/>
      </c>
      <c r="AV17" s="40">
        <f>IF(AND(AS17&gt;0,C17&gt;0),AS17-C17,"")</f>
        <v/>
      </c>
      <c r="AW17" s="41">
        <f>IF(AND(AS17&gt;0,D17&gt;0),(AS17-D17)/D17,"")</f>
        <v/>
      </c>
      <c r="AX17" s="41">
        <f>IF(AND(AU17&lt;&gt;"",P17&lt;&gt;""),(AU17-P17)/ABS(IF(P17=0,1,P17)),"")</f>
        <v/>
      </c>
      <c r="AY17" s="40">
        <f>IF(AND(AV17&lt;&gt;"",Q17&lt;&gt;""),AV17-Q17,"")</f>
        <v/>
      </c>
      <c r="AZ17" s="45" t="n"/>
      <c r="BA17" s="40">
        <f>IF(AND(AZ17&gt;0,C17&gt;0),C17/(1-AZ17),"")</f>
        <v/>
      </c>
      <c r="BB17" s="41">
        <f>IF(AND(BA17&lt;&gt;"",C17&gt;0),(BA17-C17)/C17,"")</f>
        <v/>
      </c>
      <c r="BC17" s="41">
        <f>IF(BA17&lt;&gt;"",AZ17,"")</f>
        <v/>
      </c>
      <c r="BD17" s="40">
        <f>IF(AND(BA17&lt;&gt;"",C17&gt;0),BA17-C17,"")</f>
        <v/>
      </c>
      <c r="BE17" s="41">
        <f>IF(AND(BA17&lt;&gt;"",D17&gt;0),(BA17-D17)/D17,"")</f>
        <v/>
      </c>
      <c r="BF17" s="41">
        <f>IF(AND(BC17&lt;&gt;"",P17&lt;&gt;""),(BC17-P17)/ABS(IF(P17=0,1,P17)),"")</f>
        <v/>
      </c>
      <c r="BG17" s="40">
        <f>IF(AND(BD17&lt;&gt;"",Q17&lt;&gt;""),BD17-Q17,"")</f>
        <v/>
      </c>
      <c r="BH17" s="40">
        <f>IF(AND(T17&gt;0,X17&lt;&gt;""),T17*X17,"")</f>
        <v/>
      </c>
      <c r="BI17" s="40">
        <f>IF(AND(T17&gt;0,AA17&lt;&gt;""),T17*AA17,"")</f>
        <v/>
      </c>
      <c r="BJ17" s="40">
        <f>IF(AND(T17&gt;0,AE17&lt;&gt;""),T17*AE17,"")</f>
        <v/>
      </c>
      <c r="BK17" s="40">
        <f>IF(AND(T17&gt;0,AH17&lt;&gt;""),T17*AH17,"")</f>
        <v/>
      </c>
      <c r="BL17" s="40">
        <f>IF(AND(T17&gt;0,AL17&lt;&gt;""),T17*AL17,"")</f>
        <v/>
      </c>
      <c r="BM17" s="40">
        <f>IF(AND(T17&gt;0,AO17&lt;&gt;""),T17*AO17,"")</f>
        <v/>
      </c>
      <c r="BN17" s="40">
        <f>IF(AND(T17&gt;0,AS17&gt;0),T17*AS17,"")</f>
        <v/>
      </c>
      <c r="BO17" s="40">
        <f>IF(AND(T17&gt;0,AV17&lt;&gt;""),T17*AV17,"")</f>
        <v/>
      </c>
      <c r="BP17" s="40">
        <f>IF(AND(T17&gt;0,BA17&lt;&gt;""),T17*BA17,"")</f>
        <v/>
      </c>
      <c r="BQ17" s="40">
        <f>IF(AND(T17&gt;0,BD17&lt;&gt;""),T17*BD17,"")</f>
        <v/>
      </c>
      <c r="BR17" s="46">
        <f>IF(AND(T17&gt;0,V17&gt;0,AA17&lt;&gt;0),V17/AA17-T17,"")</f>
        <v/>
      </c>
      <c r="BS17" s="41">
        <f>IF(AND(BR17&lt;&gt;"",T17&gt;0),BR17/T17,"")</f>
        <v/>
      </c>
      <c r="BT17" s="46">
        <f>IF(AND(T17&gt;0,V17&gt;0,AO17&lt;&gt;0),V17/AO17-T17,"")</f>
        <v/>
      </c>
      <c r="BU17" s="41">
        <f>IF(AND(BT17&lt;&gt;"",T17&gt;0),BT17/T17,"")</f>
        <v/>
      </c>
    </row>
    <row r="18">
      <c r="A18" s="36">
        <f>'📊 Исходные данные'!A17</f>
        <v/>
      </c>
      <c r="B18" s="37">
        <f>'📊 Исходные данные'!B17</f>
        <v/>
      </c>
      <c r="C18" s="38">
        <f>'📊 Исходные данные'!C17</f>
        <v/>
      </c>
      <c r="D18" s="38">
        <f>'📊 Исходные данные'!D17</f>
        <v/>
      </c>
      <c r="E18" s="39">
        <f>IF(OR(D18="",F18=""),"-",IF(D18&gt;F18*1.05,"Выше рынка",IF(D18&lt;F18*0.95,"Ниже рынка","На уровне")))</f>
        <v/>
      </c>
      <c r="F18" s="40">
        <f>IFERROR(AVERAGE('📊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G18" s="40">
        <f>IFERROR(MEDIAN('📊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H18" s="40">
        <f>IFERROR(MIN('📊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I18" s="40">
        <f>IFERROR(MAX('📊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данные'!K17),"")</f>
        <v/>
      </c>
      <c r="J18" s="41">
        <f>IF(AND(D18&lt;&gt;"",F18&lt;&gt;""),(D18-F18)/F18,"")</f>
        <v/>
      </c>
      <c r="K18" s="41">
        <f>IF(AND(D18&lt;&gt;"",G18&lt;&gt;""),(D18-G18)/G18,"")</f>
        <v/>
      </c>
      <c r="L18" s="41">
        <f>IF(AND(D18&lt;&gt;"",H18&lt;&gt;""),(D18-H18)/H18,"")</f>
        <v/>
      </c>
      <c r="M18" s="42">
        <f>IFERROR(RANK(D18,('📊 Исходные данные'!E17,'📊 Исходные данные'!F17,'📊 Исходные данные'!G17,'📊 Исходные данные'!H17,'📊 Исходные данные'!I17,'📊 Исходные данные'!J17,'📊 Исходные данные'!K17)),"")</f>
        <v/>
      </c>
      <c r="N18" s="39">
        <f>IF(M18="","-",IF(M18=1,"Дороже всех",IF(M18=2,"2-й по цене",IF(M18&lt;=4,"Средний","Ниже конкурентов"))))</f>
        <v/>
      </c>
      <c r="O18" s="41">
        <f>IF(AND(C18&gt;0,D18&gt;0),(D18-C18)/C18,"")</f>
        <v/>
      </c>
      <c r="P18" s="41">
        <f>IF(AND(C18&gt;0,D18&gt;0),(D18-C18)/D18,"")</f>
        <v/>
      </c>
      <c r="Q18" s="40">
        <f>IF(AND(C18&gt;0,D18&gt;0),D18-C18,"")</f>
        <v/>
      </c>
      <c r="R18" s="39">
        <f>IF(P18="","-",IF(P18&lt;0.1,"Низкая(&lt;10%)",IF(P18&lt;0.2,"Средняя(10-20%)","Хорошая(&gt;20%)")))</f>
        <v/>
      </c>
      <c r="S18" s="39">
        <f>IF(OR(H18="",C18=""),"-",IF((H18-C18)/H18&lt;0.05,"КРИТИЧНО",IF((H18-C18)/H18&lt;0.15,"УМЕРЕННЫЙ","НИЗКИЙ")))</f>
        <v/>
      </c>
      <c r="T18" s="43" t="n"/>
      <c r="U18" s="40">
        <f>IF(T18&gt;0,T18*D18,"")</f>
        <v/>
      </c>
      <c r="V18" s="40">
        <f>IF(T18&gt;0,T18*Q18,"")</f>
        <v/>
      </c>
      <c r="W18" s="41">
        <f>IF(U18&gt;0,V18/U18,"")</f>
        <v/>
      </c>
      <c r="X18" s="40">
        <f>IF(F18&lt;&gt;"",F18,"")</f>
        <v/>
      </c>
      <c r="Y18" s="41">
        <f>IF(AND(X18&lt;&gt;"",C18&gt;0),(X18-C18)/C18,"")</f>
        <v/>
      </c>
      <c r="Z18" s="41">
        <f>IF(AND(X18&lt;&gt;"",X18&gt;0),(X18-C18)/X18,"")</f>
        <v/>
      </c>
      <c r="AA18" s="40">
        <f>IF(AND(X18&lt;&gt;"",C18&gt;0),X18-C18,"")</f>
        <v/>
      </c>
      <c r="AB18" s="41">
        <f>IF(AND(X18&lt;&gt;"",D18&gt;0),(X18-D18)/D18,"")</f>
        <v/>
      </c>
      <c r="AC18" s="41">
        <f>IF(AND(Z18&lt;&gt;"",P18&lt;&gt;""),(Z18-P18)/ABS(IF(P18=0,1,P18)),"")</f>
        <v/>
      </c>
      <c r="AD18" s="40">
        <f>IF(AND(AA18&lt;&gt;"",Q18&lt;&gt;""),AA18-Q18,"")</f>
        <v/>
      </c>
      <c r="AE18" s="40">
        <f>IF(G18&lt;&gt;"",G18,"")</f>
        <v/>
      </c>
      <c r="AF18" s="41">
        <f>IF(AND(AE18&lt;&gt;"",C18&gt;0),(AE18-C18)/C18,"")</f>
        <v/>
      </c>
      <c r="AG18" s="41">
        <f>IF(AND(AE18&lt;&gt;"",AE18&gt;0),(AE18-C18)/AE18,"")</f>
        <v/>
      </c>
      <c r="AH18" s="40">
        <f>IF(AND(AE18&lt;&gt;"",C18&gt;0),AE18-C18,"")</f>
        <v/>
      </c>
      <c r="AI18" s="41">
        <f>IF(AND(AE18&lt;&gt;"",D18&gt;0),(AE18-D18)/D18,"")</f>
        <v/>
      </c>
      <c r="AJ18" s="41">
        <f>IF(AND(AG18&lt;&gt;"",P18&lt;&gt;""),(AG18-P18)/ABS(IF(P18=0,1,P18)),"")</f>
        <v/>
      </c>
      <c r="AK18" s="40">
        <f>IF(AND(AH18&lt;&gt;"",Q18&lt;&gt;""),AH18-Q18,"")</f>
        <v/>
      </c>
      <c r="AL18" s="40">
        <f>IF(H18&lt;&gt;"",H18,"")</f>
        <v/>
      </c>
      <c r="AM18" s="41">
        <f>IF(AND(AL18&lt;&gt;"",C18&gt;0),(AL18-C18)/C18,"")</f>
        <v/>
      </c>
      <c r="AN18" s="41">
        <f>IF(AND(AL18&lt;&gt;"",AL18&gt;0),(AL18-C18)/AL18,"")</f>
        <v/>
      </c>
      <c r="AO18" s="40">
        <f>IF(AND(AL18&lt;&gt;"",C18&gt;0),AL18-C18,"")</f>
        <v/>
      </c>
      <c r="AP18" s="41">
        <f>IF(AND(AL18&lt;&gt;"",D18&gt;0),(AL18-D18)/D18,"")</f>
        <v/>
      </c>
      <c r="AQ18" s="41">
        <f>IF(AND(AN18&lt;&gt;"",P18&lt;&gt;""),(AN18-P18)/ABS(IF(P18=0,1,P18)),"")</f>
        <v/>
      </c>
      <c r="AR18" s="40">
        <f>IF(AND(AO18&lt;&gt;"",Q18&lt;&gt;""),AO18-Q18,"")</f>
        <v/>
      </c>
      <c r="AS18" s="44" t="n"/>
      <c r="AT18" s="41">
        <f>IF(AND(AS18&gt;0,C18&gt;0),(AS18-C18)/C18,"")</f>
        <v/>
      </c>
      <c r="AU18" s="41">
        <f>IF(AND(AS18&gt;0,AS18&gt;0),(AS18-C18)/AS18,"")</f>
        <v/>
      </c>
      <c r="AV18" s="40">
        <f>IF(AND(AS18&gt;0,C18&gt;0),AS18-C18,"")</f>
        <v/>
      </c>
      <c r="AW18" s="41">
        <f>IF(AND(AS18&gt;0,D18&gt;0),(AS18-D18)/D18,"")</f>
        <v/>
      </c>
      <c r="AX18" s="41">
        <f>IF(AND(AU18&lt;&gt;"",P18&lt;&gt;""),(AU18-P18)/ABS(IF(P18=0,1,P18)),"")</f>
        <v/>
      </c>
      <c r="AY18" s="40">
        <f>IF(AND(AV18&lt;&gt;"",Q18&lt;&gt;""),AV18-Q18,"")</f>
        <v/>
      </c>
      <c r="AZ18" s="45" t="n"/>
      <c r="BA18" s="40">
        <f>IF(AND(AZ18&gt;0,C18&gt;0),C18/(1-AZ18),"")</f>
        <v/>
      </c>
      <c r="BB18" s="41">
        <f>IF(AND(BA18&lt;&gt;"",C18&gt;0),(BA18-C18)/C18,"")</f>
        <v/>
      </c>
      <c r="BC18" s="41">
        <f>IF(BA18&lt;&gt;"",AZ18,"")</f>
        <v/>
      </c>
      <c r="BD18" s="40">
        <f>IF(AND(BA18&lt;&gt;"",C18&gt;0),BA18-C18,"")</f>
        <v/>
      </c>
      <c r="BE18" s="41">
        <f>IF(AND(BA18&lt;&gt;"",D18&gt;0),(BA18-D18)/D18,"")</f>
        <v/>
      </c>
      <c r="BF18" s="41">
        <f>IF(AND(BC18&lt;&gt;"",P18&lt;&gt;""),(BC18-P18)/ABS(IF(P18=0,1,P18)),"")</f>
        <v/>
      </c>
      <c r="BG18" s="40">
        <f>IF(AND(BD18&lt;&gt;"",Q18&lt;&gt;""),BD18-Q18,"")</f>
        <v/>
      </c>
      <c r="BH18" s="40">
        <f>IF(AND(T18&gt;0,X18&lt;&gt;""),T18*X18,"")</f>
        <v/>
      </c>
      <c r="BI18" s="40">
        <f>IF(AND(T18&gt;0,AA18&lt;&gt;""),T18*AA18,"")</f>
        <v/>
      </c>
      <c r="BJ18" s="40">
        <f>IF(AND(T18&gt;0,AE18&lt;&gt;""),T18*AE18,"")</f>
        <v/>
      </c>
      <c r="BK18" s="40">
        <f>IF(AND(T18&gt;0,AH18&lt;&gt;""),T18*AH18,"")</f>
        <v/>
      </c>
      <c r="BL18" s="40">
        <f>IF(AND(T18&gt;0,AL18&lt;&gt;""),T18*AL18,"")</f>
        <v/>
      </c>
      <c r="BM18" s="40">
        <f>IF(AND(T18&gt;0,AO18&lt;&gt;""),T18*AO18,"")</f>
        <v/>
      </c>
      <c r="BN18" s="40">
        <f>IF(AND(T18&gt;0,AS18&gt;0),T18*AS18,"")</f>
        <v/>
      </c>
      <c r="BO18" s="40">
        <f>IF(AND(T18&gt;0,AV18&lt;&gt;""),T18*AV18,"")</f>
        <v/>
      </c>
      <c r="BP18" s="40">
        <f>IF(AND(T18&gt;0,BA18&lt;&gt;""),T18*BA18,"")</f>
        <v/>
      </c>
      <c r="BQ18" s="40">
        <f>IF(AND(T18&gt;0,BD18&lt;&gt;""),T18*BD18,"")</f>
        <v/>
      </c>
      <c r="BR18" s="46">
        <f>IF(AND(T18&gt;0,V18&gt;0,AA18&lt;&gt;0),V18/AA18-T18,"")</f>
        <v/>
      </c>
      <c r="BS18" s="41">
        <f>IF(AND(BR18&lt;&gt;"",T18&gt;0),BR18/T18,"")</f>
        <v/>
      </c>
      <c r="BT18" s="46">
        <f>IF(AND(T18&gt;0,V18&gt;0,AO18&lt;&gt;0),V18/AO18-T18,"")</f>
        <v/>
      </c>
      <c r="BU18" s="41">
        <f>IF(AND(BT18&lt;&gt;"",T18&gt;0),BT18/T18,"")</f>
        <v/>
      </c>
    </row>
    <row r="19">
      <c r="A19" s="36">
        <f>'📊 Исходные данные'!A18</f>
        <v/>
      </c>
      <c r="B19" s="37">
        <f>'📊 Исходные данные'!B18</f>
        <v/>
      </c>
      <c r="C19" s="38">
        <f>'📊 Исходные данные'!C18</f>
        <v/>
      </c>
      <c r="D19" s="38">
        <f>'📊 Исходные данные'!D18</f>
        <v/>
      </c>
      <c r="E19" s="39">
        <f>IF(OR(D19="",F19=""),"-",IF(D19&gt;F19*1.05,"Выше рынка",IF(D19&lt;F19*0.95,"Ниже рынка","На уровне")))</f>
        <v/>
      </c>
      <c r="F19" s="40">
        <f>IFERROR(AVERAGE('📊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G19" s="40">
        <f>IFERROR(MEDIAN('📊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H19" s="40">
        <f>IFERROR(MIN('📊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I19" s="40">
        <f>IFERROR(MAX('📊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данные'!K18),"")</f>
        <v/>
      </c>
      <c r="J19" s="41">
        <f>IF(AND(D19&lt;&gt;"",F19&lt;&gt;""),(D19-F19)/F19,"")</f>
        <v/>
      </c>
      <c r="K19" s="41">
        <f>IF(AND(D19&lt;&gt;"",G19&lt;&gt;""),(D19-G19)/G19,"")</f>
        <v/>
      </c>
      <c r="L19" s="41">
        <f>IF(AND(D19&lt;&gt;"",H19&lt;&gt;""),(D19-H19)/H19,"")</f>
        <v/>
      </c>
      <c r="M19" s="42">
        <f>IFERROR(RANK(D19,('📊 Исходные данные'!E18,'📊 Исходные данные'!F18,'📊 Исходные данные'!G18,'📊 Исходные данные'!H18,'📊 Исходные данные'!I18,'📊 Исходные данные'!J18,'📊 Исходные данные'!K18)),"")</f>
        <v/>
      </c>
      <c r="N19" s="39">
        <f>IF(M19="","-",IF(M19=1,"Дороже всех",IF(M19=2,"2-й по цене",IF(M19&lt;=4,"Средний","Ниже конкурентов"))))</f>
        <v/>
      </c>
      <c r="O19" s="41">
        <f>IF(AND(C19&gt;0,D19&gt;0),(D19-C19)/C19,"")</f>
        <v/>
      </c>
      <c r="P19" s="41">
        <f>IF(AND(C19&gt;0,D19&gt;0),(D19-C19)/D19,"")</f>
        <v/>
      </c>
      <c r="Q19" s="40">
        <f>IF(AND(C19&gt;0,D19&gt;0),D19-C19,"")</f>
        <v/>
      </c>
      <c r="R19" s="39">
        <f>IF(P19="","-",IF(P19&lt;0.1,"Низкая(&lt;10%)",IF(P19&lt;0.2,"Средняя(10-20%)","Хорошая(&gt;20%)")))</f>
        <v/>
      </c>
      <c r="S19" s="39">
        <f>IF(OR(H19="",C19=""),"-",IF((H19-C19)/H19&lt;0.05,"КРИТИЧНО",IF((H19-C19)/H19&lt;0.15,"УМЕРЕННЫЙ","НИЗКИЙ")))</f>
        <v/>
      </c>
      <c r="T19" s="43" t="n"/>
      <c r="U19" s="40">
        <f>IF(T19&gt;0,T19*D19,"")</f>
        <v/>
      </c>
      <c r="V19" s="40">
        <f>IF(T19&gt;0,T19*Q19,"")</f>
        <v/>
      </c>
      <c r="W19" s="41">
        <f>IF(U19&gt;0,V19/U19,"")</f>
        <v/>
      </c>
      <c r="X19" s="40">
        <f>IF(F19&lt;&gt;"",F19,"")</f>
        <v/>
      </c>
      <c r="Y19" s="41">
        <f>IF(AND(X19&lt;&gt;"",C19&gt;0),(X19-C19)/C19,"")</f>
        <v/>
      </c>
      <c r="Z19" s="41">
        <f>IF(AND(X19&lt;&gt;"",X19&gt;0),(X19-C19)/X19,"")</f>
        <v/>
      </c>
      <c r="AA19" s="40">
        <f>IF(AND(X19&lt;&gt;"",C19&gt;0),X19-C19,"")</f>
        <v/>
      </c>
      <c r="AB19" s="41">
        <f>IF(AND(X19&lt;&gt;"",D19&gt;0),(X19-D19)/D19,"")</f>
        <v/>
      </c>
      <c r="AC19" s="41">
        <f>IF(AND(Z19&lt;&gt;"",P19&lt;&gt;""),(Z19-P19)/ABS(IF(P19=0,1,P19)),"")</f>
        <v/>
      </c>
      <c r="AD19" s="40">
        <f>IF(AND(AA19&lt;&gt;"",Q19&lt;&gt;""),AA19-Q19,"")</f>
        <v/>
      </c>
      <c r="AE19" s="40">
        <f>IF(G19&lt;&gt;"",G19,"")</f>
        <v/>
      </c>
      <c r="AF19" s="41">
        <f>IF(AND(AE19&lt;&gt;"",C19&gt;0),(AE19-C19)/C19,"")</f>
        <v/>
      </c>
      <c r="AG19" s="41">
        <f>IF(AND(AE19&lt;&gt;"",AE19&gt;0),(AE19-C19)/AE19,"")</f>
        <v/>
      </c>
      <c r="AH19" s="40">
        <f>IF(AND(AE19&lt;&gt;"",C19&gt;0),AE19-C19,"")</f>
        <v/>
      </c>
      <c r="AI19" s="41">
        <f>IF(AND(AE19&lt;&gt;"",D19&gt;0),(AE19-D19)/D19,"")</f>
        <v/>
      </c>
      <c r="AJ19" s="41">
        <f>IF(AND(AG19&lt;&gt;"",P19&lt;&gt;""),(AG19-P19)/ABS(IF(P19=0,1,P19)),"")</f>
        <v/>
      </c>
      <c r="AK19" s="40">
        <f>IF(AND(AH19&lt;&gt;"",Q19&lt;&gt;""),AH19-Q19,"")</f>
        <v/>
      </c>
      <c r="AL19" s="40">
        <f>IF(H19&lt;&gt;"",H19,"")</f>
        <v/>
      </c>
      <c r="AM19" s="41">
        <f>IF(AND(AL19&lt;&gt;"",C19&gt;0),(AL19-C19)/C19,"")</f>
        <v/>
      </c>
      <c r="AN19" s="41">
        <f>IF(AND(AL19&lt;&gt;"",AL19&gt;0),(AL19-C19)/AL19,"")</f>
        <v/>
      </c>
      <c r="AO19" s="40">
        <f>IF(AND(AL19&lt;&gt;"",C19&gt;0),AL19-C19,"")</f>
        <v/>
      </c>
      <c r="AP19" s="41">
        <f>IF(AND(AL19&lt;&gt;"",D19&gt;0),(AL19-D19)/D19,"")</f>
        <v/>
      </c>
      <c r="AQ19" s="41">
        <f>IF(AND(AN19&lt;&gt;"",P19&lt;&gt;""),(AN19-P19)/ABS(IF(P19=0,1,P19)),"")</f>
        <v/>
      </c>
      <c r="AR19" s="40">
        <f>IF(AND(AO19&lt;&gt;"",Q19&lt;&gt;""),AO19-Q19,"")</f>
        <v/>
      </c>
      <c r="AS19" s="44" t="n"/>
      <c r="AT19" s="41">
        <f>IF(AND(AS19&gt;0,C19&gt;0),(AS19-C19)/C19,"")</f>
        <v/>
      </c>
      <c r="AU19" s="41">
        <f>IF(AND(AS19&gt;0,AS19&gt;0),(AS19-C19)/AS19,"")</f>
        <v/>
      </c>
      <c r="AV19" s="40">
        <f>IF(AND(AS19&gt;0,C19&gt;0),AS19-C19,"")</f>
        <v/>
      </c>
      <c r="AW19" s="41">
        <f>IF(AND(AS19&gt;0,D19&gt;0),(AS19-D19)/D19,"")</f>
        <v/>
      </c>
      <c r="AX19" s="41">
        <f>IF(AND(AU19&lt;&gt;"",P19&lt;&gt;""),(AU19-P19)/ABS(IF(P19=0,1,P19)),"")</f>
        <v/>
      </c>
      <c r="AY19" s="40">
        <f>IF(AND(AV19&lt;&gt;"",Q19&lt;&gt;""),AV19-Q19,"")</f>
        <v/>
      </c>
      <c r="AZ19" s="45" t="n"/>
      <c r="BA19" s="40">
        <f>IF(AND(AZ19&gt;0,C19&gt;0),C19/(1-AZ19),"")</f>
        <v/>
      </c>
      <c r="BB19" s="41">
        <f>IF(AND(BA19&lt;&gt;"",C19&gt;0),(BA19-C19)/C19,"")</f>
        <v/>
      </c>
      <c r="BC19" s="41">
        <f>IF(BA19&lt;&gt;"",AZ19,"")</f>
        <v/>
      </c>
      <c r="BD19" s="40">
        <f>IF(AND(BA19&lt;&gt;"",C19&gt;0),BA19-C19,"")</f>
        <v/>
      </c>
      <c r="BE19" s="41">
        <f>IF(AND(BA19&lt;&gt;"",D19&gt;0),(BA19-D19)/D19,"")</f>
        <v/>
      </c>
      <c r="BF19" s="41">
        <f>IF(AND(BC19&lt;&gt;"",P19&lt;&gt;""),(BC19-P19)/ABS(IF(P19=0,1,P19)),"")</f>
        <v/>
      </c>
      <c r="BG19" s="40">
        <f>IF(AND(BD19&lt;&gt;"",Q19&lt;&gt;""),BD19-Q19,"")</f>
        <v/>
      </c>
      <c r="BH19" s="40">
        <f>IF(AND(T19&gt;0,X19&lt;&gt;""),T19*X19,"")</f>
        <v/>
      </c>
      <c r="BI19" s="40">
        <f>IF(AND(T19&gt;0,AA19&lt;&gt;""),T19*AA19,"")</f>
        <v/>
      </c>
      <c r="BJ19" s="40">
        <f>IF(AND(T19&gt;0,AE19&lt;&gt;""),T19*AE19,"")</f>
        <v/>
      </c>
      <c r="BK19" s="40">
        <f>IF(AND(T19&gt;0,AH19&lt;&gt;""),T19*AH19,"")</f>
        <v/>
      </c>
      <c r="BL19" s="40">
        <f>IF(AND(T19&gt;0,AL19&lt;&gt;""),T19*AL19,"")</f>
        <v/>
      </c>
      <c r="BM19" s="40">
        <f>IF(AND(T19&gt;0,AO19&lt;&gt;""),T19*AO19,"")</f>
        <v/>
      </c>
      <c r="BN19" s="40">
        <f>IF(AND(T19&gt;0,AS19&gt;0),T19*AS19,"")</f>
        <v/>
      </c>
      <c r="BO19" s="40">
        <f>IF(AND(T19&gt;0,AV19&lt;&gt;""),T19*AV19,"")</f>
        <v/>
      </c>
      <c r="BP19" s="40">
        <f>IF(AND(T19&gt;0,BA19&lt;&gt;""),T19*BA19,"")</f>
        <v/>
      </c>
      <c r="BQ19" s="40">
        <f>IF(AND(T19&gt;0,BD19&lt;&gt;""),T19*BD19,"")</f>
        <v/>
      </c>
      <c r="BR19" s="46">
        <f>IF(AND(T19&gt;0,V19&gt;0,AA19&lt;&gt;0),V19/AA19-T19,"")</f>
        <v/>
      </c>
      <c r="BS19" s="41">
        <f>IF(AND(BR19&lt;&gt;"",T19&gt;0),BR19/T19,"")</f>
        <v/>
      </c>
      <c r="BT19" s="46">
        <f>IF(AND(T19&gt;0,V19&gt;0,AO19&lt;&gt;0),V19/AO19-T19,"")</f>
        <v/>
      </c>
      <c r="BU19" s="41">
        <f>IF(AND(BT19&lt;&gt;"",T19&gt;0),BT19/T19,"")</f>
        <v/>
      </c>
    </row>
    <row r="20">
      <c r="A20" s="36">
        <f>'📊 Исходные данные'!A19</f>
        <v/>
      </c>
      <c r="B20" s="37">
        <f>'📊 Исходные данные'!B19</f>
        <v/>
      </c>
      <c r="C20" s="38">
        <f>'📊 Исходные данные'!C19</f>
        <v/>
      </c>
      <c r="D20" s="38">
        <f>'📊 Исходные данные'!D19</f>
        <v/>
      </c>
      <c r="E20" s="39">
        <f>IF(OR(D20="",F20=""),"-",IF(D20&gt;F20*1.05,"Выше рынка",IF(D20&lt;F20*0.95,"Ниже рынка","На уровне")))</f>
        <v/>
      </c>
      <c r="F20" s="40">
        <f>IFERROR(AVERAGE('📊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G20" s="40">
        <f>IFERROR(MEDIAN('📊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H20" s="40">
        <f>IFERROR(MIN('📊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I20" s="40">
        <f>IFERROR(MAX('📊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данные'!K19),"")</f>
        <v/>
      </c>
      <c r="J20" s="41">
        <f>IF(AND(D20&lt;&gt;"",F20&lt;&gt;""),(D20-F20)/F20,"")</f>
        <v/>
      </c>
      <c r="K20" s="41">
        <f>IF(AND(D20&lt;&gt;"",G20&lt;&gt;""),(D20-G20)/G20,"")</f>
        <v/>
      </c>
      <c r="L20" s="41">
        <f>IF(AND(D20&lt;&gt;"",H20&lt;&gt;""),(D20-H20)/H20,"")</f>
        <v/>
      </c>
      <c r="M20" s="42">
        <f>IFERROR(RANK(D20,('📊 Исходные данные'!E19,'📊 Исходные данные'!F19,'📊 Исходные данные'!G19,'📊 Исходные данные'!H19,'📊 Исходные данные'!I19,'📊 Исходные данные'!J19,'📊 Исходные данные'!K19)),"")</f>
        <v/>
      </c>
      <c r="N20" s="39">
        <f>IF(M20="","-",IF(M20=1,"Дороже всех",IF(M20=2,"2-й по цене",IF(M20&lt;=4,"Средний","Ниже конкурентов"))))</f>
        <v/>
      </c>
      <c r="O20" s="41">
        <f>IF(AND(C20&gt;0,D20&gt;0),(D20-C20)/C20,"")</f>
        <v/>
      </c>
      <c r="P20" s="41">
        <f>IF(AND(C20&gt;0,D20&gt;0),(D20-C20)/D20,"")</f>
        <v/>
      </c>
      <c r="Q20" s="40">
        <f>IF(AND(C20&gt;0,D20&gt;0),D20-C20,"")</f>
        <v/>
      </c>
      <c r="R20" s="39">
        <f>IF(P20="","-",IF(P20&lt;0.1,"Низкая(&lt;10%)",IF(P20&lt;0.2,"Средняя(10-20%)","Хорошая(&gt;20%)")))</f>
        <v/>
      </c>
      <c r="S20" s="39">
        <f>IF(OR(H20="",C20=""),"-",IF((H20-C20)/H20&lt;0.05,"КРИТИЧНО",IF((H20-C20)/H20&lt;0.15,"УМЕРЕННЫЙ","НИЗКИЙ")))</f>
        <v/>
      </c>
      <c r="T20" s="43" t="n"/>
      <c r="U20" s="40">
        <f>IF(T20&gt;0,T20*D20,"")</f>
        <v/>
      </c>
      <c r="V20" s="40">
        <f>IF(T20&gt;0,T20*Q20,"")</f>
        <v/>
      </c>
      <c r="W20" s="41">
        <f>IF(U20&gt;0,V20/U20,"")</f>
        <v/>
      </c>
      <c r="X20" s="40">
        <f>IF(F20&lt;&gt;"",F20,"")</f>
        <v/>
      </c>
      <c r="Y20" s="41">
        <f>IF(AND(X20&lt;&gt;"",C20&gt;0),(X20-C20)/C20,"")</f>
        <v/>
      </c>
      <c r="Z20" s="41">
        <f>IF(AND(X20&lt;&gt;"",X20&gt;0),(X20-C20)/X20,"")</f>
        <v/>
      </c>
      <c r="AA20" s="40">
        <f>IF(AND(X20&lt;&gt;"",C20&gt;0),X20-C20,"")</f>
        <v/>
      </c>
      <c r="AB20" s="41">
        <f>IF(AND(X20&lt;&gt;"",D20&gt;0),(X20-D20)/D20,"")</f>
        <v/>
      </c>
      <c r="AC20" s="41">
        <f>IF(AND(Z20&lt;&gt;"",P20&lt;&gt;""),(Z20-P20)/ABS(IF(P20=0,1,P20)),"")</f>
        <v/>
      </c>
      <c r="AD20" s="40">
        <f>IF(AND(AA20&lt;&gt;"",Q20&lt;&gt;""),AA20-Q20,"")</f>
        <v/>
      </c>
      <c r="AE20" s="40">
        <f>IF(G20&lt;&gt;"",G20,"")</f>
        <v/>
      </c>
      <c r="AF20" s="41">
        <f>IF(AND(AE20&lt;&gt;"",C20&gt;0),(AE20-C20)/C20,"")</f>
        <v/>
      </c>
      <c r="AG20" s="41">
        <f>IF(AND(AE20&lt;&gt;"",AE20&gt;0),(AE20-C20)/AE20,"")</f>
        <v/>
      </c>
      <c r="AH20" s="40">
        <f>IF(AND(AE20&lt;&gt;"",C20&gt;0),AE20-C20,"")</f>
        <v/>
      </c>
      <c r="AI20" s="41">
        <f>IF(AND(AE20&lt;&gt;"",D20&gt;0),(AE20-D20)/D20,"")</f>
        <v/>
      </c>
      <c r="AJ20" s="41">
        <f>IF(AND(AG20&lt;&gt;"",P20&lt;&gt;""),(AG20-P20)/ABS(IF(P20=0,1,P20)),"")</f>
        <v/>
      </c>
      <c r="AK20" s="40">
        <f>IF(AND(AH20&lt;&gt;"",Q20&lt;&gt;""),AH20-Q20,"")</f>
        <v/>
      </c>
      <c r="AL20" s="40">
        <f>IF(H20&lt;&gt;"",H20,"")</f>
        <v/>
      </c>
      <c r="AM20" s="41">
        <f>IF(AND(AL20&lt;&gt;"",C20&gt;0),(AL20-C20)/C20,"")</f>
        <v/>
      </c>
      <c r="AN20" s="41">
        <f>IF(AND(AL20&lt;&gt;"",AL20&gt;0),(AL20-C20)/AL20,"")</f>
        <v/>
      </c>
      <c r="AO20" s="40">
        <f>IF(AND(AL20&lt;&gt;"",C20&gt;0),AL20-C20,"")</f>
        <v/>
      </c>
      <c r="AP20" s="41">
        <f>IF(AND(AL20&lt;&gt;"",D20&gt;0),(AL20-D20)/D20,"")</f>
        <v/>
      </c>
      <c r="AQ20" s="41">
        <f>IF(AND(AN20&lt;&gt;"",P20&lt;&gt;""),(AN20-P20)/ABS(IF(P20=0,1,P20)),"")</f>
        <v/>
      </c>
      <c r="AR20" s="40">
        <f>IF(AND(AO20&lt;&gt;"",Q20&lt;&gt;""),AO20-Q20,"")</f>
        <v/>
      </c>
      <c r="AS20" s="44" t="n"/>
      <c r="AT20" s="41">
        <f>IF(AND(AS20&gt;0,C20&gt;0),(AS20-C20)/C20,"")</f>
        <v/>
      </c>
      <c r="AU20" s="41">
        <f>IF(AND(AS20&gt;0,AS20&gt;0),(AS20-C20)/AS20,"")</f>
        <v/>
      </c>
      <c r="AV20" s="40">
        <f>IF(AND(AS20&gt;0,C20&gt;0),AS20-C20,"")</f>
        <v/>
      </c>
      <c r="AW20" s="41">
        <f>IF(AND(AS20&gt;0,D20&gt;0),(AS20-D20)/D20,"")</f>
        <v/>
      </c>
      <c r="AX20" s="41">
        <f>IF(AND(AU20&lt;&gt;"",P20&lt;&gt;""),(AU20-P20)/ABS(IF(P20=0,1,P20)),"")</f>
        <v/>
      </c>
      <c r="AY20" s="40">
        <f>IF(AND(AV20&lt;&gt;"",Q20&lt;&gt;""),AV20-Q20,"")</f>
        <v/>
      </c>
      <c r="AZ20" s="45" t="n"/>
      <c r="BA20" s="40">
        <f>IF(AND(AZ20&gt;0,C20&gt;0),C20/(1-AZ20),"")</f>
        <v/>
      </c>
      <c r="BB20" s="41">
        <f>IF(AND(BA20&lt;&gt;"",C20&gt;0),(BA20-C20)/C20,"")</f>
        <v/>
      </c>
      <c r="BC20" s="41">
        <f>IF(BA20&lt;&gt;"",AZ20,"")</f>
        <v/>
      </c>
      <c r="BD20" s="40">
        <f>IF(AND(BA20&lt;&gt;"",C20&gt;0),BA20-C20,"")</f>
        <v/>
      </c>
      <c r="BE20" s="41">
        <f>IF(AND(BA20&lt;&gt;"",D20&gt;0),(BA20-D20)/D20,"")</f>
        <v/>
      </c>
      <c r="BF20" s="41">
        <f>IF(AND(BC20&lt;&gt;"",P20&lt;&gt;""),(BC20-P20)/ABS(IF(P20=0,1,P20)),"")</f>
        <v/>
      </c>
      <c r="BG20" s="40">
        <f>IF(AND(BD20&lt;&gt;"",Q20&lt;&gt;""),BD20-Q20,"")</f>
        <v/>
      </c>
      <c r="BH20" s="40">
        <f>IF(AND(T20&gt;0,X20&lt;&gt;""),T20*X20,"")</f>
        <v/>
      </c>
      <c r="BI20" s="40">
        <f>IF(AND(T20&gt;0,AA20&lt;&gt;""),T20*AA20,"")</f>
        <v/>
      </c>
      <c r="BJ20" s="40">
        <f>IF(AND(T20&gt;0,AE20&lt;&gt;""),T20*AE20,"")</f>
        <v/>
      </c>
      <c r="BK20" s="40">
        <f>IF(AND(T20&gt;0,AH20&lt;&gt;""),T20*AH20,"")</f>
        <v/>
      </c>
      <c r="BL20" s="40">
        <f>IF(AND(T20&gt;0,AL20&lt;&gt;""),T20*AL20,"")</f>
        <v/>
      </c>
      <c r="BM20" s="40">
        <f>IF(AND(T20&gt;0,AO20&lt;&gt;""),T20*AO20,"")</f>
        <v/>
      </c>
      <c r="BN20" s="40">
        <f>IF(AND(T20&gt;0,AS20&gt;0),T20*AS20,"")</f>
        <v/>
      </c>
      <c r="BO20" s="40">
        <f>IF(AND(T20&gt;0,AV20&lt;&gt;""),T20*AV20,"")</f>
        <v/>
      </c>
      <c r="BP20" s="40">
        <f>IF(AND(T20&gt;0,BA20&lt;&gt;""),T20*BA20,"")</f>
        <v/>
      </c>
      <c r="BQ20" s="40">
        <f>IF(AND(T20&gt;0,BD20&lt;&gt;""),T20*BD20,"")</f>
        <v/>
      </c>
      <c r="BR20" s="46">
        <f>IF(AND(T20&gt;0,V20&gt;0,AA20&lt;&gt;0),V20/AA20-T20,"")</f>
        <v/>
      </c>
      <c r="BS20" s="41">
        <f>IF(AND(BR20&lt;&gt;"",T20&gt;0),BR20/T20,"")</f>
        <v/>
      </c>
      <c r="BT20" s="46">
        <f>IF(AND(T20&gt;0,V20&gt;0,AO20&lt;&gt;0),V20/AO20-T20,"")</f>
        <v/>
      </c>
      <c r="BU20" s="41">
        <f>IF(AND(BT20&lt;&gt;"",T20&gt;0),BT20/T20,"")</f>
        <v/>
      </c>
    </row>
    <row r="21">
      <c r="A21" s="36">
        <f>'📊 Исходные данные'!A20</f>
        <v/>
      </c>
      <c r="B21" s="37">
        <f>'📊 Исходные данные'!B20</f>
        <v/>
      </c>
      <c r="C21" s="38">
        <f>'📊 Исходные данные'!C20</f>
        <v/>
      </c>
      <c r="D21" s="38">
        <f>'📊 Исходные данные'!D20</f>
        <v/>
      </c>
      <c r="E21" s="39">
        <f>IF(OR(D21="",F21=""),"-",IF(D21&gt;F21*1.05,"Выше рынка",IF(D21&lt;F21*0.95,"Ниже рынка","На уровне")))</f>
        <v/>
      </c>
      <c r="F21" s="40">
        <f>IFERROR(AVERAGE('📊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G21" s="40">
        <f>IFERROR(MEDIAN('📊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H21" s="40">
        <f>IFERROR(MIN('📊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I21" s="40">
        <f>IFERROR(MAX('📊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данные'!K20),"")</f>
        <v/>
      </c>
      <c r="J21" s="41">
        <f>IF(AND(D21&lt;&gt;"",F21&lt;&gt;""),(D21-F21)/F21,"")</f>
        <v/>
      </c>
      <c r="K21" s="41">
        <f>IF(AND(D21&lt;&gt;"",G21&lt;&gt;""),(D21-G21)/G21,"")</f>
        <v/>
      </c>
      <c r="L21" s="41">
        <f>IF(AND(D21&lt;&gt;"",H21&lt;&gt;""),(D21-H21)/H21,"")</f>
        <v/>
      </c>
      <c r="M21" s="42">
        <f>IFERROR(RANK(D21,('📊 Исходные данные'!E20,'📊 Исходные данные'!F20,'📊 Исходные данные'!G20,'📊 Исходные данные'!H20,'📊 Исходные данные'!I20,'📊 Исходные данные'!J20,'📊 Исходные данные'!K20)),"")</f>
        <v/>
      </c>
      <c r="N21" s="39">
        <f>IF(M21="","-",IF(M21=1,"Дороже всех",IF(M21=2,"2-й по цене",IF(M21&lt;=4,"Средний","Ниже конкурентов"))))</f>
        <v/>
      </c>
      <c r="O21" s="41">
        <f>IF(AND(C21&gt;0,D21&gt;0),(D21-C21)/C21,"")</f>
        <v/>
      </c>
      <c r="P21" s="41">
        <f>IF(AND(C21&gt;0,D21&gt;0),(D21-C21)/D21,"")</f>
        <v/>
      </c>
      <c r="Q21" s="40">
        <f>IF(AND(C21&gt;0,D21&gt;0),D21-C21,"")</f>
        <v/>
      </c>
      <c r="R21" s="39">
        <f>IF(P21="","-",IF(P21&lt;0.1,"Низкая(&lt;10%)",IF(P21&lt;0.2,"Средняя(10-20%)","Хорошая(&gt;20%)")))</f>
        <v/>
      </c>
      <c r="S21" s="39">
        <f>IF(OR(H21="",C21=""),"-",IF((H21-C21)/H21&lt;0.05,"КРИТИЧНО",IF((H21-C21)/H21&lt;0.15,"УМЕРЕННЫЙ","НИЗКИЙ")))</f>
        <v/>
      </c>
      <c r="T21" s="43" t="n"/>
      <c r="U21" s="40">
        <f>IF(T21&gt;0,T21*D21,"")</f>
        <v/>
      </c>
      <c r="V21" s="40">
        <f>IF(T21&gt;0,T21*Q21,"")</f>
        <v/>
      </c>
      <c r="W21" s="41">
        <f>IF(U21&gt;0,V21/U21,"")</f>
        <v/>
      </c>
      <c r="X21" s="40">
        <f>IF(F21&lt;&gt;"",F21,"")</f>
        <v/>
      </c>
      <c r="Y21" s="41">
        <f>IF(AND(X21&lt;&gt;"",C21&gt;0),(X21-C21)/C21,"")</f>
        <v/>
      </c>
      <c r="Z21" s="41">
        <f>IF(AND(X21&lt;&gt;"",X21&gt;0),(X21-C21)/X21,"")</f>
        <v/>
      </c>
      <c r="AA21" s="40">
        <f>IF(AND(X21&lt;&gt;"",C21&gt;0),X21-C21,"")</f>
        <v/>
      </c>
      <c r="AB21" s="41">
        <f>IF(AND(X21&lt;&gt;"",D21&gt;0),(X21-D21)/D21,"")</f>
        <v/>
      </c>
      <c r="AC21" s="41">
        <f>IF(AND(Z21&lt;&gt;"",P21&lt;&gt;""),(Z21-P21)/ABS(IF(P21=0,1,P21)),"")</f>
        <v/>
      </c>
      <c r="AD21" s="40">
        <f>IF(AND(AA21&lt;&gt;"",Q21&lt;&gt;""),AA21-Q21,"")</f>
        <v/>
      </c>
      <c r="AE21" s="40">
        <f>IF(G21&lt;&gt;"",G21,"")</f>
        <v/>
      </c>
      <c r="AF21" s="41">
        <f>IF(AND(AE21&lt;&gt;"",C21&gt;0),(AE21-C21)/C21,"")</f>
        <v/>
      </c>
      <c r="AG21" s="41">
        <f>IF(AND(AE21&lt;&gt;"",AE21&gt;0),(AE21-C21)/AE21,"")</f>
        <v/>
      </c>
      <c r="AH21" s="40">
        <f>IF(AND(AE21&lt;&gt;"",C21&gt;0),AE21-C21,"")</f>
        <v/>
      </c>
      <c r="AI21" s="41">
        <f>IF(AND(AE21&lt;&gt;"",D21&gt;0),(AE21-D21)/D21,"")</f>
        <v/>
      </c>
      <c r="AJ21" s="41">
        <f>IF(AND(AG21&lt;&gt;"",P21&lt;&gt;""),(AG21-P21)/ABS(IF(P21=0,1,P21)),"")</f>
        <v/>
      </c>
      <c r="AK21" s="40">
        <f>IF(AND(AH21&lt;&gt;"",Q21&lt;&gt;""),AH21-Q21,"")</f>
        <v/>
      </c>
      <c r="AL21" s="40">
        <f>IF(H21&lt;&gt;"",H21,"")</f>
        <v/>
      </c>
      <c r="AM21" s="41">
        <f>IF(AND(AL21&lt;&gt;"",C21&gt;0),(AL21-C21)/C21,"")</f>
        <v/>
      </c>
      <c r="AN21" s="41">
        <f>IF(AND(AL21&lt;&gt;"",AL21&gt;0),(AL21-C21)/AL21,"")</f>
        <v/>
      </c>
      <c r="AO21" s="40">
        <f>IF(AND(AL21&lt;&gt;"",C21&gt;0),AL21-C21,"")</f>
        <v/>
      </c>
      <c r="AP21" s="41">
        <f>IF(AND(AL21&lt;&gt;"",D21&gt;0),(AL21-D21)/D21,"")</f>
        <v/>
      </c>
      <c r="AQ21" s="41">
        <f>IF(AND(AN21&lt;&gt;"",P21&lt;&gt;""),(AN21-P21)/ABS(IF(P21=0,1,P21)),"")</f>
        <v/>
      </c>
      <c r="AR21" s="40">
        <f>IF(AND(AO21&lt;&gt;"",Q21&lt;&gt;""),AO21-Q21,"")</f>
        <v/>
      </c>
      <c r="AS21" s="44" t="n"/>
      <c r="AT21" s="41">
        <f>IF(AND(AS21&gt;0,C21&gt;0),(AS21-C21)/C21,"")</f>
        <v/>
      </c>
      <c r="AU21" s="41">
        <f>IF(AND(AS21&gt;0,AS21&gt;0),(AS21-C21)/AS21,"")</f>
        <v/>
      </c>
      <c r="AV21" s="40">
        <f>IF(AND(AS21&gt;0,C21&gt;0),AS21-C21,"")</f>
        <v/>
      </c>
      <c r="AW21" s="41">
        <f>IF(AND(AS21&gt;0,D21&gt;0),(AS21-D21)/D21,"")</f>
        <v/>
      </c>
      <c r="AX21" s="41">
        <f>IF(AND(AU21&lt;&gt;"",P21&lt;&gt;""),(AU21-P21)/ABS(IF(P21=0,1,P21)),"")</f>
        <v/>
      </c>
      <c r="AY21" s="40">
        <f>IF(AND(AV21&lt;&gt;"",Q21&lt;&gt;""),AV21-Q21,"")</f>
        <v/>
      </c>
      <c r="AZ21" s="45" t="n"/>
      <c r="BA21" s="40">
        <f>IF(AND(AZ21&gt;0,C21&gt;0),C21/(1-AZ21),"")</f>
        <v/>
      </c>
      <c r="BB21" s="41">
        <f>IF(AND(BA21&lt;&gt;"",C21&gt;0),(BA21-C21)/C21,"")</f>
        <v/>
      </c>
      <c r="BC21" s="41">
        <f>IF(BA21&lt;&gt;"",AZ21,"")</f>
        <v/>
      </c>
      <c r="BD21" s="40">
        <f>IF(AND(BA21&lt;&gt;"",C21&gt;0),BA21-C21,"")</f>
        <v/>
      </c>
      <c r="BE21" s="41">
        <f>IF(AND(BA21&lt;&gt;"",D21&gt;0),(BA21-D21)/D21,"")</f>
        <v/>
      </c>
      <c r="BF21" s="41">
        <f>IF(AND(BC21&lt;&gt;"",P21&lt;&gt;""),(BC21-P21)/ABS(IF(P21=0,1,P21)),"")</f>
        <v/>
      </c>
      <c r="BG21" s="40">
        <f>IF(AND(BD21&lt;&gt;"",Q21&lt;&gt;""),BD21-Q21,"")</f>
        <v/>
      </c>
      <c r="BH21" s="40">
        <f>IF(AND(T21&gt;0,X21&lt;&gt;""),T21*X21,"")</f>
        <v/>
      </c>
      <c r="BI21" s="40">
        <f>IF(AND(T21&gt;0,AA21&lt;&gt;""),T21*AA21,"")</f>
        <v/>
      </c>
      <c r="BJ21" s="40">
        <f>IF(AND(T21&gt;0,AE21&lt;&gt;""),T21*AE21,"")</f>
        <v/>
      </c>
      <c r="BK21" s="40">
        <f>IF(AND(T21&gt;0,AH21&lt;&gt;""),T21*AH21,"")</f>
        <v/>
      </c>
      <c r="BL21" s="40">
        <f>IF(AND(T21&gt;0,AL21&lt;&gt;""),T21*AL21,"")</f>
        <v/>
      </c>
      <c r="BM21" s="40">
        <f>IF(AND(T21&gt;0,AO21&lt;&gt;""),T21*AO21,"")</f>
        <v/>
      </c>
      <c r="BN21" s="40">
        <f>IF(AND(T21&gt;0,AS21&gt;0),T21*AS21,"")</f>
        <v/>
      </c>
      <c r="BO21" s="40">
        <f>IF(AND(T21&gt;0,AV21&lt;&gt;""),T21*AV21,"")</f>
        <v/>
      </c>
      <c r="BP21" s="40">
        <f>IF(AND(T21&gt;0,BA21&lt;&gt;""),T21*BA21,"")</f>
        <v/>
      </c>
      <c r="BQ21" s="40">
        <f>IF(AND(T21&gt;0,BD21&lt;&gt;""),T21*BD21,"")</f>
        <v/>
      </c>
      <c r="BR21" s="46">
        <f>IF(AND(T21&gt;0,V21&gt;0,AA21&lt;&gt;0),V21/AA21-T21,"")</f>
        <v/>
      </c>
      <c r="BS21" s="41">
        <f>IF(AND(BR21&lt;&gt;"",T21&gt;0),BR21/T21,"")</f>
        <v/>
      </c>
      <c r="BT21" s="46">
        <f>IF(AND(T21&gt;0,V21&gt;0,AO21&lt;&gt;0),V21/AO21-T21,"")</f>
        <v/>
      </c>
      <c r="BU21" s="41">
        <f>IF(AND(BT21&lt;&gt;"",T21&gt;0),BT21/T21,"")</f>
        <v/>
      </c>
    </row>
    <row r="22">
      <c r="A22" s="36">
        <f>'📊 Исходные данные'!A21</f>
        <v/>
      </c>
      <c r="B22" s="37">
        <f>'📊 Исходные данные'!B21</f>
        <v/>
      </c>
      <c r="C22" s="38">
        <f>'📊 Исходные данные'!C21</f>
        <v/>
      </c>
      <c r="D22" s="38">
        <f>'📊 Исходные данные'!D21</f>
        <v/>
      </c>
      <c r="E22" s="39">
        <f>IF(OR(D22="",F22=""),"-",IF(D22&gt;F22*1.05,"Выше рынка",IF(D22&lt;F22*0.95,"Ниже рынка","На уровне")))</f>
        <v/>
      </c>
      <c r="F22" s="40">
        <f>IFERROR(AVERAGE('📊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G22" s="40">
        <f>IFERROR(MEDIAN('📊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H22" s="40">
        <f>IFERROR(MIN('📊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I22" s="40">
        <f>IFERROR(MAX('📊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данные'!K21),"")</f>
        <v/>
      </c>
      <c r="J22" s="41">
        <f>IF(AND(D22&lt;&gt;"",F22&lt;&gt;""),(D22-F22)/F22,"")</f>
        <v/>
      </c>
      <c r="K22" s="41">
        <f>IF(AND(D22&lt;&gt;"",G22&lt;&gt;""),(D22-G22)/G22,"")</f>
        <v/>
      </c>
      <c r="L22" s="41">
        <f>IF(AND(D22&lt;&gt;"",H22&lt;&gt;""),(D22-H22)/H22,"")</f>
        <v/>
      </c>
      <c r="M22" s="42">
        <f>IFERROR(RANK(D22,('📊 Исходные данные'!E21,'📊 Исходные данные'!F21,'📊 Исходные данные'!G21,'📊 Исходные данные'!H21,'📊 Исходные данные'!I21,'📊 Исходные данные'!J21,'📊 Исходные данные'!K21)),"")</f>
        <v/>
      </c>
      <c r="N22" s="39">
        <f>IF(M22="","-",IF(M22=1,"Дороже всех",IF(M22=2,"2-й по цене",IF(M22&lt;=4,"Средний","Ниже конкурентов"))))</f>
        <v/>
      </c>
      <c r="O22" s="41">
        <f>IF(AND(C22&gt;0,D22&gt;0),(D22-C22)/C22,"")</f>
        <v/>
      </c>
      <c r="P22" s="41">
        <f>IF(AND(C22&gt;0,D22&gt;0),(D22-C22)/D22,"")</f>
        <v/>
      </c>
      <c r="Q22" s="40">
        <f>IF(AND(C22&gt;0,D22&gt;0),D22-C22,"")</f>
        <v/>
      </c>
      <c r="R22" s="39">
        <f>IF(P22="","-",IF(P22&lt;0.1,"Низкая(&lt;10%)",IF(P22&lt;0.2,"Средняя(10-20%)","Хорошая(&gt;20%)")))</f>
        <v/>
      </c>
      <c r="S22" s="39">
        <f>IF(OR(H22="",C22=""),"-",IF((H22-C22)/H22&lt;0.05,"КРИТИЧНО",IF((H22-C22)/H22&lt;0.15,"УМЕРЕННЫЙ","НИЗКИЙ")))</f>
        <v/>
      </c>
      <c r="T22" s="43" t="n"/>
      <c r="U22" s="40">
        <f>IF(T22&gt;0,T22*D22,"")</f>
        <v/>
      </c>
      <c r="V22" s="40">
        <f>IF(T22&gt;0,T22*Q22,"")</f>
        <v/>
      </c>
      <c r="W22" s="41">
        <f>IF(U22&gt;0,V22/U22,"")</f>
        <v/>
      </c>
      <c r="X22" s="40">
        <f>IF(F22&lt;&gt;"",F22,"")</f>
        <v/>
      </c>
      <c r="Y22" s="41">
        <f>IF(AND(X22&lt;&gt;"",C22&gt;0),(X22-C22)/C22,"")</f>
        <v/>
      </c>
      <c r="Z22" s="41">
        <f>IF(AND(X22&lt;&gt;"",X22&gt;0),(X22-C22)/X22,"")</f>
        <v/>
      </c>
      <c r="AA22" s="40">
        <f>IF(AND(X22&lt;&gt;"",C22&gt;0),X22-C22,"")</f>
        <v/>
      </c>
      <c r="AB22" s="41">
        <f>IF(AND(X22&lt;&gt;"",D22&gt;0),(X22-D22)/D22,"")</f>
        <v/>
      </c>
      <c r="AC22" s="41">
        <f>IF(AND(Z22&lt;&gt;"",P22&lt;&gt;""),(Z22-P22)/ABS(IF(P22=0,1,P22)),"")</f>
        <v/>
      </c>
      <c r="AD22" s="40">
        <f>IF(AND(AA22&lt;&gt;"",Q22&lt;&gt;""),AA22-Q22,"")</f>
        <v/>
      </c>
      <c r="AE22" s="40">
        <f>IF(G22&lt;&gt;"",G22,"")</f>
        <v/>
      </c>
      <c r="AF22" s="41">
        <f>IF(AND(AE22&lt;&gt;"",C22&gt;0),(AE22-C22)/C22,"")</f>
        <v/>
      </c>
      <c r="AG22" s="41">
        <f>IF(AND(AE22&lt;&gt;"",AE22&gt;0),(AE22-C22)/AE22,"")</f>
        <v/>
      </c>
      <c r="AH22" s="40">
        <f>IF(AND(AE22&lt;&gt;"",C22&gt;0),AE22-C22,"")</f>
        <v/>
      </c>
      <c r="AI22" s="41">
        <f>IF(AND(AE22&lt;&gt;"",D22&gt;0),(AE22-D22)/D22,"")</f>
        <v/>
      </c>
      <c r="AJ22" s="41">
        <f>IF(AND(AG22&lt;&gt;"",P22&lt;&gt;""),(AG22-P22)/ABS(IF(P22=0,1,P22)),"")</f>
        <v/>
      </c>
      <c r="AK22" s="40">
        <f>IF(AND(AH22&lt;&gt;"",Q22&lt;&gt;""),AH22-Q22,"")</f>
        <v/>
      </c>
      <c r="AL22" s="40">
        <f>IF(H22&lt;&gt;"",H22,"")</f>
        <v/>
      </c>
      <c r="AM22" s="41">
        <f>IF(AND(AL22&lt;&gt;"",C22&gt;0),(AL22-C22)/C22,"")</f>
        <v/>
      </c>
      <c r="AN22" s="41">
        <f>IF(AND(AL22&lt;&gt;"",AL22&gt;0),(AL22-C22)/AL22,"")</f>
        <v/>
      </c>
      <c r="AO22" s="40">
        <f>IF(AND(AL22&lt;&gt;"",C22&gt;0),AL22-C22,"")</f>
        <v/>
      </c>
      <c r="AP22" s="41">
        <f>IF(AND(AL22&lt;&gt;"",D22&gt;0),(AL22-D22)/D22,"")</f>
        <v/>
      </c>
      <c r="AQ22" s="41">
        <f>IF(AND(AN22&lt;&gt;"",P22&lt;&gt;""),(AN22-P22)/ABS(IF(P22=0,1,P22)),"")</f>
        <v/>
      </c>
      <c r="AR22" s="40">
        <f>IF(AND(AO22&lt;&gt;"",Q22&lt;&gt;""),AO22-Q22,"")</f>
        <v/>
      </c>
      <c r="AS22" s="44" t="n"/>
      <c r="AT22" s="41">
        <f>IF(AND(AS22&gt;0,C22&gt;0),(AS22-C22)/C22,"")</f>
        <v/>
      </c>
      <c r="AU22" s="41">
        <f>IF(AND(AS22&gt;0,AS22&gt;0),(AS22-C22)/AS22,"")</f>
        <v/>
      </c>
      <c r="AV22" s="40">
        <f>IF(AND(AS22&gt;0,C22&gt;0),AS22-C22,"")</f>
        <v/>
      </c>
      <c r="AW22" s="41">
        <f>IF(AND(AS22&gt;0,D22&gt;0),(AS22-D22)/D22,"")</f>
        <v/>
      </c>
      <c r="AX22" s="41">
        <f>IF(AND(AU22&lt;&gt;"",P22&lt;&gt;""),(AU22-P22)/ABS(IF(P22=0,1,P22)),"")</f>
        <v/>
      </c>
      <c r="AY22" s="40">
        <f>IF(AND(AV22&lt;&gt;"",Q22&lt;&gt;""),AV22-Q22,"")</f>
        <v/>
      </c>
      <c r="AZ22" s="45" t="n"/>
      <c r="BA22" s="40">
        <f>IF(AND(AZ22&gt;0,C22&gt;0),C22/(1-AZ22),"")</f>
        <v/>
      </c>
      <c r="BB22" s="41">
        <f>IF(AND(BA22&lt;&gt;"",C22&gt;0),(BA22-C22)/C22,"")</f>
        <v/>
      </c>
      <c r="BC22" s="41">
        <f>IF(BA22&lt;&gt;"",AZ22,"")</f>
        <v/>
      </c>
      <c r="BD22" s="40">
        <f>IF(AND(BA22&lt;&gt;"",C22&gt;0),BA22-C22,"")</f>
        <v/>
      </c>
      <c r="BE22" s="41">
        <f>IF(AND(BA22&lt;&gt;"",D22&gt;0),(BA22-D22)/D22,"")</f>
        <v/>
      </c>
      <c r="BF22" s="41">
        <f>IF(AND(BC22&lt;&gt;"",P22&lt;&gt;""),(BC22-P22)/ABS(IF(P22=0,1,P22)),"")</f>
        <v/>
      </c>
      <c r="BG22" s="40">
        <f>IF(AND(BD22&lt;&gt;"",Q22&lt;&gt;""),BD22-Q22,"")</f>
        <v/>
      </c>
      <c r="BH22" s="40">
        <f>IF(AND(T22&gt;0,X22&lt;&gt;""),T22*X22,"")</f>
        <v/>
      </c>
      <c r="BI22" s="40">
        <f>IF(AND(T22&gt;0,AA22&lt;&gt;""),T22*AA22,"")</f>
        <v/>
      </c>
      <c r="BJ22" s="40">
        <f>IF(AND(T22&gt;0,AE22&lt;&gt;""),T22*AE22,"")</f>
        <v/>
      </c>
      <c r="BK22" s="40">
        <f>IF(AND(T22&gt;0,AH22&lt;&gt;""),T22*AH22,"")</f>
        <v/>
      </c>
      <c r="BL22" s="40">
        <f>IF(AND(T22&gt;0,AL22&lt;&gt;""),T22*AL22,"")</f>
        <v/>
      </c>
      <c r="BM22" s="40">
        <f>IF(AND(T22&gt;0,AO22&lt;&gt;""),T22*AO22,"")</f>
        <v/>
      </c>
      <c r="BN22" s="40">
        <f>IF(AND(T22&gt;0,AS22&gt;0),T22*AS22,"")</f>
        <v/>
      </c>
      <c r="BO22" s="40">
        <f>IF(AND(T22&gt;0,AV22&lt;&gt;""),T22*AV22,"")</f>
        <v/>
      </c>
      <c r="BP22" s="40">
        <f>IF(AND(T22&gt;0,BA22&lt;&gt;""),T22*BA22,"")</f>
        <v/>
      </c>
      <c r="BQ22" s="40">
        <f>IF(AND(T22&gt;0,BD22&lt;&gt;""),T22*BD22,"")</f>
        <v/>
      </c>
      <c r="BR22" s="46">
        <f>IF(AND(T22&gt;0,V22&gt;0,AA22&lt;&gt;0),V22/AA22-T22,"")</f>
        <v/>
      </c>
      <c r="BS22" s="41">
        <f>IF(AND(BR22&lt;&gt;"",T22&gt;0),BR22/T22,"")</f>
        <v/>
      </c>
      <c r="BT22" s="46">
        <f>IF(AND(T22&gt;0,V22&gt;0,AO22&lt;&gt;0),V22/AO22-T22,"")</f>
        <v/>
      </c>
      <c r="BU22" s="41">
        <f>IF(AND(BT22&lt;&gt;"",T22&gt;0),BT22/T22,"")</f>
        <v/>
      </c>
    </row>
    <row r="23">
      <c r="A23" s="36">
        <f>'📊 Исходные данные'!A22</f>
        <v/>
      </c>
      <c r="B23" s="37">
        <f>'📊 Исходные данные'!B22</f>
        <v/>
      </c>
      <c r="C23" s="38">
        <f>'📊 Исходные данные'!C22</f>
        <v/>
      </c>
      <c r="D23" s="38">
        <f>'📊 Исходные данные'!D22</f>
        <v/>
      </c>
      <c r="E23" s="39">
        <f>IF(OR(D23="",F23=""),"-",IF(D23&gt;F23*1.05,"Выше рынка",IF(D23&lt;F23*0.95,"Ниже рынка","На уровне")))</f>
        <v/>
      </c>
      <c r="F23" s="40">
        <f>IFERROR(AVERAGE('📊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G23" s="40">
        <f>IFERROR(MEDIAN('📊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H23" s="40">
        <f>IFERROR(MIN('📊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I23" s="40">
        <f>IFERROR(MAX('📊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данные'!K22),"")</f>
        <v/>
      </c>
      <c r="J23" s="41">
        <f>IF(AND(D23&lt;&gt;"",F23&lt;&gt;""),(D23-F23)/F23,"")</f>
        <v/>
      </c>
      <c r="K23" s="41">
        <f>IF(AND(D23&lt;&gt;"",G23&lt;&gt;""),(D23-G23)/G23,"")</f>
        <v/>
      </c>
      <c r="L23" s="41">
        <f>IF(AND(D23&lt;&gt;"",H23&lt;&gt;""),(D23-H23)/H23,"")</f>
        <v/>
      </c>
      <c r="M23" s="42">
        <f>IFERROR(RANK(D23,('📊 Исходные данные'!E22,'📊 Исходные данные'!F22,'📊 Исходные данные'!G22,'📊 Исходные данные'!H22,'📊 Исходные данные'!I22,'📊 Исходные данные'!J22,'📊 Исходные данные'!K22)),"")</f>
        <v/>
      </c>
      <c r="N23" s="39">
        <f>IF(M23="","-",IF(M23=1,"Дороже всех",IF(M23=2,"2-й по цене",IF(M23&lt;=4,"Средний","Ниже конкурентов"))))</f>
        <v/>
      </c>
      <c r="O23" s="41">
        <f>IF(AND(C23&gt;0,D23&gt;0),(D23-C23)/C23,"")</f>
        <v/>
      </c>
      <c r="P23" s="41">
        <f>IF(AND(C23&gt;0,D23&gt;0),(D23-C23)/D23,"")</f>
        <v/>
      </c>
      <c r="Q23" s="40">
        <f>IF(AND(C23&gt;0,D23&gt;0),D23-C23,"")</f>
        <v/>
      </c>
      <c r="R23" s="39">
        <f>IF(P23="","-",IF(P23&lt;0.1,"Низкая(&lt;10%)",IF(P23&lt;0.2,"Средняя(10-20%)","Хорошая(&gt;20%)")))</f>
        <v/>
      </c>
      <c r="S23" s="39">
        <f>IF(OR(H23="",C23=""),"-",IF((H23-C23)/H23&lt;0.05,"КРИТИЧНО",IF((H23-C23)/H23&lt;0.15,"УМЕРЕННЫЙ","НИЗКИЙ")))</f>
        <v/>
      </c>
      <c r="T23" s="43" t="n"/>
      <c r="U23" s="40">
        <f>IF(T23&gt;0,T23*D23,"")</f>
        <v/>
      </c>
      <c r="V23" s="40">
        <f>IF(T23&gt;0,T23*Q23,"")</f>
        <v/>
      </c>
      <c r="W23" s="41">
        <f>IF(U23&gt;0,V23/U23,"")</f>
        <v/>
      </c>
      <c r="X23" s="40">
        <f>IF(F23&lt;&gt;"",F23,"")</f>
        <v/>
      </c>
      <c r="Y23" s="41">
        <f>IF(AND(X23&lt;&gt;"",C23&gt;0),(X23-C23)/C23,"")</f>
        <v/>
      </c>
      <c r="Z23" s="41">
        <f>IF(AND(X23&lt;&gt;"",X23&gt;0),(X23-C23)/X23,"")</f>
        <v/>
      </c>
      <c r="AA23" s="40">
        <f>IF(AND(X23&lt;&gt;"",C23&gt;0),X23-C23,"")</f>
        <v/>
      </c>
      <c r="AB23" s="41">
        <f>IF(AND(X23&lt;&gt;"",D23&gt;0),(X23-D23)/D23,"")</f>
        <v/>
      </c>
      <c r="AC23" s="41">
        <f>IF(AND(Z23&lt;&gt;"",P23&lt;&gt;""),(Z23-P23)/ABS(IF(P23=0,1,P23)),"")</f>
        <v/>
      </c>
      <c r="AD23" s="40">
        <f>IF(AND(AA23&lt;&gt;"",Q23&lt;&gt;""),AA23-Q23,"")</f>
        <v/>
      </c>
      <c r="AE23" s="40">
        <f>IF(G23&lt;&gt;"",G23,"")</f>
        <v/>
      </c>
      <c r="AF23" s="41">
        <f>IF(AND(AE23&lt;&gt;"",C23&gt;0),(AE23-C23)/C23,"")</f>
        <v/>
      </c>
      <c r="AG23" s="41">
        <f>IF(AND(AE23&lt;&gt;"",AE23&gt;0),(AE23-C23)/AE23,"")</f>
        <v/>
      </c>
      <c r="AH23" s="40">
        <f>IF(AND(AE23&lt;&gt;"",C23&gt;0),AE23-C23,"")</f>
        <v/>
      </c>
      <c r="AI23" s="41">
        <f>IF(AND(AE23&lt;&gt;"",D23&gt;0),(AE23-D23)/D23,"")</f>
        <v/>
      </c>
      <c r="AJ23" s="41">
        <f>IF(AND(AG23&lt;&gt;"",P23&lt;&gt;""),(AG23-P23)/ABS(IF(P23=0,1,P23)),"")</f>
        <v/>
      </c>
      <c r="AK23" s="40">
        <f>IF(AND(AH23&lt;&gt;"",Q23&lt;&gt;""),AH23-Q23,"")</f>
        <v/>
      </c>
      <c r="AL23" s="40">
        <f>IF(H23&lt;&gt;"",H23,"")</f>
        <v/>
      </c>
      <c r="AM23" s="41">
        <f>IF(AND(AL23&lt;&gt;"",C23&gt;0),(AL23-C23)/C23,"")</f>
        <v/>
      </c>
      <c r="AN23" s="41">
        <f>IF(AND(AL23&lt;&gt;"",AL23&gt;0),(AL23-C23)/AL23,"")</f>
        <v/>
      </c>
      <c r="AO23" s="40">
        <f>IF(AND(AL23&lt;&gt;"",C23&gt;0),AL23-C23,"")</f>
        <v/>
      </c>
      <c r="AP23" s="41">
        <f>IF(AND(AL23&lt;&gt;"",D23&gt;0),(AL23-D23)/D23,"")</f>
        <v/>
      </c>
      <c r="AQ23" s="41">
        <f>IF(AND(AN23&lt;&gt;"",P23&lt;&gt;""),(AN23-P23)/ABS(IF(P23=0,1,P23)),"")</f>
        <v/>
      </c>
      <c r="AR23" s="40">
        <f>IF(AND(AO23&lt;&gt;"",Q23&lt;&gt;""),AO23-Q23,"")</f>
        <v/>
      </c>
      <c r="AS23" s="44" t="n"/>
      <c r="AT23" s="41">
        <f>IF(AND(AS23&gt;0,C23&gt;0),(AS23-C23)/C23,"")</f>
        <v/>
      </c>
      <c r="AU23" s="41">
        <f>IF(AND(AS23&gt;0,AS23&gt;0),(AS23-C23)/AS23,"")</f>
        <v/>
      </c>
      <c r="AV23" s="40">
        <f>IF(AND(AS23&gt;0,C23&gt;0),AS23-C23,"")</f>
        <v/>
      </c>
      <c r="AW23" s="41">
        <f>IF(AND(AS23&gt;0,D23&gt;0),(AS23-D23)/D23,"")</f>
        <v/>
      </c>
      <c r="AX23" s="41">
        <f>IF(AND(AU23&lt;&gt;"",P23&lt;&gt;""),(AU23-P23)/ABS(IF(P23=0,1,P23)),"")</f>
        <v/>
      </c>
      <c r="AY23" s="40">
        <f>IF(AND(AV23&lt;&gt;"",Q23&lt;&gt;""),AV23-Q23,"")</f>
        <v/>
      </c>
      <c r="AZ23" s="45" t="n"/>
      <c r="BA23" s="40">
        <f>IF(AND(AZ23&gt;0,C23&gt;0),C23/(1-AZ23),"")</f>
        <v/>
      </c>
      <c r="BB23" s="41">
        <f>IF(AND(BA23&lt;&gt;"",C23&gt;0),(BA23-C23)/C23,"")</f>
        <v/>
      </c>
      <c r="BC23" s="41">
        <f>IF(BA23&lt;&gt;"",AZ23,"")</f>
        <v/>
      </c>
      <c r="BD23" s="40">
        <f>IF(AND(BA23&lt;&gt;"",C23&gt;0),BA23-C23,"")</f>
        <v/>
      </c>
      <c r="BE23" s="41">
        <f>IF(AND(BA23&lt;&gt;"",D23&gt;0),(BA23-D23)/D23,"")</f>
        <v/>
      </c>
      <c r="BF23" s="41">
        <f>IF(AND(BC23&lt;&gt;"",P23&lt;&gt;""),(BC23-P23)/ABS(IF(P23=0,1,P23)),"")</f>
        <v/>
      </c>
      <c r="BG23" s="40">
        <f>IF(AND(BD23&lt;&gt;"",Q23&lt;&gt;""),BD23-Q23,"")</f>
        <v/>
      </c>
      <c r="BH23" s="40">
        <f>IF(AND(T23&gt;0,X23&lt;&gt;""),T23*X23,"")</f>
        <v/>
      </c>
      <c r="BI23" s="40">
        <f>IF(AND(T23&gt;0,AA23&lt;&gt;""),T23*AA23,"")</f>
        <v/>
      </c>
      <c r="BJ23" s="40">
        <f>IF(AND(T23&gt;0,AE23&lt;&gt;""),T23*AE23,"")</f>
        <v/>
      </c>
      <c r="BK23" s="40">
        <f>IF(AND(T23&gt;0,AH23&lt;&gt;""),T23*AH23,"")</f>
        <v/>
      </c>
      <c r="BL23" s="40">
        <f>IF(AND(T23&gt;0,AL23&lt;&gt;""),T23*AL23,"")</f>
        <v/>
      </c>
      <c r="BM23" s="40">
        <f>IF(AND(T23&gt;0,AO23&lt;&gt;""),T23*AO23,"")</f>
        <v/>
      </c>
      <c r="BN23" s="40">
        <f>IF(AND(T23&gt;0,AS23&gt;0),T23*AS23,"")</f>
        <v/>
      </c>
      <c r="BO23" s="40">
        <f>IF(AND(T23&gt;0,AV23&lt;&gt;""),T23*AV23,"")</f>
        <v/>
      </c>
      <c r="BP23" s="40">
        <f>IF(AND(T23&gt;0,BA23&lt;&gt;""),T23*BA23,"")</f>
        <v/>
      </c>
      <c r="BQ23" s="40">
        <f>IF(AND(T23&gt;0,BD23&lt;&gt;""),T23*BD23,"")</f>
        <v/>
      </c>
      <c r="BR23" s="46">
        <f>IF(AND(T23&gt;0,V23&gt;0,AA23&lt;&gt;0),V23/AA23-T23,"")</f>
        <v/>
      </c>
      <c r="BS23" s="41">
        <f>IF(AND(BR23&lt;&gt;"",T23&gt;0),BR23/T23,"")</f>
        <v/>
      </c>
      <c r="BT23" s="46">
        <f>IF(AND(T23&gt;0,V23&gt;0,AO23&lt;&gt;0),V23/AO23-T23,"")</f>
        <v/>
      </c>
      <c r="BU23" s="41">
        <f>IF(AND(BT23&lt;&gt;"",T23&gt;0),BT23/T23,"")</f>
        <v/>
      </c>
    </row>
    <row r="24">
      <c r="A24" s="36">
        <f>'📊 Исходные данные'!A23</f>
        <v/>
      </c>
      <c r="B24" s="37">
        <f>'📊 Исходные данные'!B23</f>
        <v/>
      </c>
      <c r="C24" s="38">
        <f>'📊 Исходные данные'!C23</f>
        <v/>
      </c>
      <c r="D24" s="38">
        <f>'📊 Исходные данные'!D23</f>
        <v/>
      </c>
      <c r="E24" s="39">
        <f>IF(OR(D24="",F24=""),"-",IF(D24&gt;F24*1.05,"Выше рынка",IF(D24&lt;F24*0.95,"Ниже рынка","На уровне")))</f>
        <v/>
      </c>
      <c r="F24" s="40">
        <f>IFERROR(AVERAGE('📊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G24" s="40">
        <f>IFERROR(MEDIAN('📊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H24" s="40">
        <f>IFERROR(MIN('📊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I24" s="40">
        <f>IFERROR(MAX('📊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данные'!K23),"")</f>
        <v/>
      </c>
      <c r="J24" s="41">
        <f>IF(AND(D24&lt;&gt;"",F24&lt;&gt;""),(D24-F24)/F24,"")</f>
        <v/>
      </c>
      <c r="K24" s="41">
        <f>IF(AND(D24&lt;&gt;"",G24&lt;&gt;""),(D24-G24)/G24,"")</f>
        <v/>
      </c>
      <c r="L24" s="41">
        <f>IF(AND(D24&lt;&gt;"",H24&lt;&gt;""),(D24-H24)/H24,"")</f>
        <v/>
      </c>
      <c r="M24" s="42">
        <f>IFERROR(RANK(D24,('📊 Исходные данные'!E23,'📊 Исходные данные'!F23,'📊 Исходные данные'!G23,'📊 Исходные данные'!H23,'📊 Исходные данные'!I23,'📊 Исходные данные'!J23,'📊 Исходные данные'!K23)),"")</f>
        <v/>
      </c>
      <c r="N24" s="39">
        <f>IF(M24="","-",IF(M24=1,"Дороже всех",IF(M24=2,"2-й по цене",IF(M24&lt;=4,"Средний","Ниже конкурентов"))))</f>
        <v/>
      </c>
      <c r="O24" s="41">
        <f>IF(AND(C24&gt;0,D24&gt;0),(D24-C24)/C24,"")</f>
        <v/>
      </c>
      <c r="P24" s="41">
        <f>IF(AND(C24&gt;0,D24&gt;0),(D24-C24)/D24,"")</f>
        <v/>
      </c>
      <c r="Q24" s="40">
        <f>IF(AND(C24&gt;0,D24&gt;0),D24-C24,"")</f>
        <v/>
      </c>
      <c r="R24" s="39">
        <f>IF(P24="","-",IF(P24&lt;0.1,"Низкая(&lt;10%)",IF(P24&lt;0.2,"Средняя(10-20%)","Хорошая(&gt;20%)")))</f>
        <v/>
      </c>
      <c r="S24" s="39">
        <f>IF(OR(H24="",C24=""),"-",IF((H24-C24)/H24&lt;0.05,"КРИТИЧНО",IF((H24-C24)/H24&lt;0.15,"УМЕРЕННЫЙ","НИЗКИЙ")))</f>
        <v/>
      </c>
      <c r="T24" s="43" t="n"/>
      <c r="U24" s="40">
        <f>IF(T24&gt;0,T24*D24,"")</f>
        <v/>
      </c>
      <c r="V24" s="40">
        <f>IF(T24&gt;0,T24*Q24,"")</f>
        <v/>
      </c>
      <c r="W24" s="41">
        <f>IF(U24&gt;0,V24/U24,"")</f>
        <v/>
      </c>
      <c r="X24" s="40">
        <f>IF(F24&lt;&gt;"",F24,"")</f>
        <v/>
      </c>
      <c r="Y24" s="41">
        <f>IF(AND(X24&lt;&gt;"",C24&gt;0),(X24-C24)/C24,"")</f>
        <v/>
      </c>
      <c r="Z24" s="41">
        <f>IF(AND(X24&lt;&gt;"",X24&gt;0),(X24-C24)/X24,"")</f>
        <v/>
      </c>
      <c r="AA24" s="40">
        <f>IF(AND(X24&lt;&gt;"",C24&gt;0),X24-C24,"")</f>
        <v/>
      </c>
      <c r="AB24" s="41">
        <f>IF(AND(X24&lt;&gt;"",D24&gt;0),(X24-D24)/D24,"")</f>
        <v/>
      </c>
      <c r="AC24" s="41">
        <f>IF(AND(Z24&lt;&gt;"",P24&lt;&gt;""),(Z24-P24)/ABS(IF(P24=0,1,P24)),"")</f>
        <v/>
      </c>
      <c r="AD24" s="40">
        <f>IF(AND(AA24&lt;&gt;"",Q24&lt;&gt;""),AA24-Q24,"")</f>
        <v/>
      </c>
      <c r="AE24" s="40">
        <f>IF(G24&lt;&gt;"",G24,"")</f>
        <v/>
      </c>
      <c r="AF24" s="41">
        <f>IF(AND(AE24&lt;&gt;"",C24&gt;0),(AE24-C24)/C24,"")</f>
        <v/>
      </c>
      <c r="AG24" s="41">
        <f>IF(AND(AE24&lt;&gt;"",AE24&gt;0),(AE24-C24)/AE24,"")</f>
        <v/>
      </c>
      <c r="AH24" s="40">
        <f>IF(AND(AE24&lt;&gt;"",C24&gt;0),AE24-C24,"")</f>
        <v/>
      </c>
      <c r="AI24" s="41">
        <f>IF(AND(AE24&lt;&gt;"",D24&gt;0),(AE24-D24)/D24,"")</f>
        <v/>
      </c>
      <c r="AJ24" s="41">
        <f>IF(AND(AG24&lt;&gt;"",P24&lt;&gt;""),(AG24-P24)/ABS(IF(P24=0,1,P24)),"")</f>
        <v/>
      </c>
      <c r="AK24" s="40">
        <f>IF(AND(AH24&lt;&gt;"",Q24&lt;&gt;""),AH24-Q24,"")</f>
        <v/>
      </c>
      <c r="AL24" s="40">
        <f>IF(H24&lt;&gt;"",H24,"")</f>
        <v/>
      </c>
      <c r="AM24" s="41">
        <f>IF(AND(AL24&lt;&gt;"",C24&gt;0),(AL24-C24)/C24,"")</f>
        <v/>
      </c>
      <c r="AN24" s="41">
        <f>IF(AND(AL24&lt;&gt;"",AL24&gt;0),(AL24-C24)/AL24,"")</f>
        <v/>
      </c>
      <c r="AO24" s="40">
        <f>IF(AND(AL24&lt;&gt;"",C24&gt;0),AL24-C24,"")</f>
        <v/>
      </c>
      <c r="AP24" s="41">
        <f>IF(AND(AL24&lt;&gt;"",D24&gt;0),(AL24-D24)/D24,"")</f>
        <v/>
      </c>
      <c r="AQ24" s="41">
        <f>IF(AND(AN24&lt;&gt;"",P24&lt;&gt;""),(AN24-P24)/ABS(IF(P24=0,1,P24)),"")</f>
        <v/>
      </c>
      <c r="AR24" s="40">
        <f>IF(AND(AO24&lt;&gt;"",Q24&lt;&gt;""),AO24-Q24,"")</f>
        <v/>
      </c>
      <c r="AS24" s="44" t="n"/>
      <c r="AT24" s="41">
        <f>IF(AND(AS24&gt;0,C24&gt;0),(AS24-C24)/C24,"")</f>
        <v/>
      </c>
      <c r="AU24" s="41">
        <f>IF(AND(AS24&gt;0,AS24&gt;0),(AS24-C24)/AS24,"")</f>
        <v/>
      </c>
      <c r="AV24" s="40">
        <f>IF(AND(AS24&gt;0,C24&gt;0),AS24-C24,"")</f>
        <v/>
      </c>
      <c r="AW24" s="41">
        <f>IF(AND(AS24&gt;0,D24&gt;0),(AS24-D24)/D24,"")</f>
        <v/>
      </c>
      <c r="AX24" s="41">
        <f>IF(AND(AU24&lt;&gt;"",P24&lt;&gt;""),(AU24-P24)/ABS(IF(P24=0,1,P24)),"")</f>
        <v/>
      </c>
      <c r="AY24" s="40">
        <f>IF(AND(AV24&lt;&gt;"",Q24&lt;&gt;""),AV24-Q24,"")</f>
        <v/>
      </c>
      <c r="AZ24" s="45" t="n"/>
      <c r="BA24" s="40">
        <f>IF(AND(AZ24&gt;0,C24&gt;0),C24/(1-AZ24),"")</f>
        <v/>
      </c>
      <c r="BB24" s="41">
        <f>IF(AND(BA24&lt;&gt;"",C24&gt;0),(BA24-C24)/C24,"")</f>
        <v/>
      </c>
      <c r="BC24" s="41">
        <f>IF(BA24&lt;&gt;"",AZ24,"")</f>
        <v/>
      </c>
      <c r="BD24" s="40">
        <f>IF(AND(BA24&lt;&gt;"",C24&gt;0),BA24-C24,"")</f>
        <v/>
      </c>
      <c r="BE24" s="41">
        <f>IF(AND(BA24&lt;&gt;"",D24&gt;0),(BA24-D24)/D24,"")</f>
        <v/>
      </c>
      <c r="BF24" s="41">
        <f>IF(AND(BC24&lt;&gt;"",P24&lt;&gt;""),(BC24-P24)/ABS(IF(P24=0,1,P24)),"")</f>
        <v/>
      </c>
      <c r="BG24" s="40">
        <f>IF(AND(BD24&lt;&gt;"",Q24&lt;&gt;""),BD24-Q24,"")</f>
        <v/>
      </c>
      <c r="BH24" s="40">
        <f>IF(AND(T24&gt;0,X24&lt;&gt;""),T24*X24,"")</f>
        <v/>
      </c>
      <c r="BI24" s="40">
        <f>IF(AND(T24&gt;0,AA24&lt;&gt;""),T24*AA24,"")</f>
        <v/>
      </c>
      <c r="BJ24" s="40">
        <f>IF(AND(T24&gt;0,AE24&lt;&gt;""),T24*AE24,"")</f>
        <v/>
      </c>
      <c r="BK24" s="40">
        <f>IF(AND(T24&gt;0,AH24&lt;&gt;""),T24*AH24,"")</f>
        <v/>
      </c>
      <c r="BL24" s="40">
        <f>IF(AND(T24&gt;0,AL24&lt;&gt;""),T24*AL24,"")</f>
        <v/>
      </c>
      <c r="BM24" s="40">
        <f>IF(AND(T24&gt;0,AO24&lt;&gt;""),T24*AO24,"")</f>
        <v/>
      </c>
      <c r="BN24" s="40">
        <f>IF(AND(T24&gt;0,AS24&gt;0),T24*AS24,"")</f>
        <v/>
      </c>
      <c r="BO24" s="40">
        <f>IF(AND(T24&gt;0,AV24&lt;&gt;""),T24*AV24,"")</f>
        <v/>
      </c>
      <c r="BP24" s="40">
        <f>IF(AND(T24&gt;0,BA24&lt;&gt;""),T24*BA24,"")</f>
        <v/>
      </c>
      <c r="BQ24" s="40">
        <f>IF(AND(T24&gt;0,BD24&lt;&gt;""),T24*BD24,"")</f>
        <v/>
      </c>
      <c r="BR24" s="46">
        <f>IF(AND(T24&gt;0,V24&gt;0,AA24&lt;&gt;0),V24/AA24-T24,"")</f>
        <v/>
      </c>
      <c r="BS24" s="41">
        <f>IF(AND(BR24&lt;&gt;"",T24&gt;0),BR24/T24,"")</f>
        <v/>
      </c>
      <c r="BT24" s="46">
        <f>IF(AND(T24&gt;0,V24&gt;0,AO24&lt;&gt;0),V24/AO24-T24,"")</f>
        <v/>
      </c>
      <c r="BU24" s="41">
        <f>IF(AND(BT24&lt;&gt;"",T24&gt;0),BT24/T24,"")</f>
        <v/>
      </c>
    </row>
    <row r="25">
      <c r="A25" s="36">
        <f>'📊 Исходные данные'!A24</f>
        <v/>
      </c>
      <c r="B25" s="37">
        <f>'📊 Исходные данные'!B24</f>
        <v/>
      </c>
      <c r="C25" s="38">
        <f>'📊 Исходные данные'!C24</f>
        <v/>
      </c>
      <c r="D25" s="38">
        <f>'📊 Исходные данные'!D24</f>
        <v/>
      </c>
      <c r="E25" s="39">
        <f>IF(OR(D25="",F25=""),"-",IF(D25&gt;F25*1.05,"Выше рынка",IF(D25&lt;F25*0.95,"Ниже рынка","На уровне")))</f>
        <v/>
      </c>
      <c r="F25" s="40">
        <f>IFERROR(AVERAGE('📊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G25" s="40">
        <f>IFERROR(MEDIAN('📊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H25" s="40">
        <f>IFERROR(MIN('📊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I25" s="40">
        <f>IFERROR(MAX('📊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данные'!K24),"")</f>
        <v/>
      </c>
      <c r="J25" s="41">
        <f>IF(AND(D25&lt;&gt;"",F25&lt;&gt;""),(D25-F25)/F25,"")</f>
        <v/>
      </c>
      <c r="K25" s="41">
        <f>IF(AND(D25&lt;&gt;"",G25&lt;&gt;""),(D25-G25)/G25,"")</f>
        <v/>
      </c>
      <c r="L25" s="41">
        <f>IF(AND(D25&lt;&gt;"",H25&lt;&gt;""),(D25-H25)/H25,"")</f>
        <v/>
      </c>
      <c r="M25" s="42">
        <f>IFERROR(RANK(D25,('📊 Исходные данные'!E24,'📊 Исходные данные'!F24,'📊 Исходные данные'!G24,'📊 Исходные данные'!H24,'📊 Исходные данные'!I24,'📊 Исходные данные'!J24,'📊 Исходные данные'!K24)),"")</f>
        <v/>
      </c>
      <c r="N25" s="39">
        <f>IF(M25="","-",IF(M25=1,"Дороже всех",IF(M25=2,"2-й по цене",IF(M25&lt;=4,"Средний","Ниже конкурентов"))))</f>
        <v/>
      </c>
      <c r="O25" s="41">
        <f>IF(AND(C25&gt;0,D25&gt;0),(D25-C25)/C25,"")</f>
        <v/>
      </c>
      <c r="P25" s="41">
        <f>IF(AND(C25&gt;0,D25&gt;0),(D25-C25)/D25,"")</f>
        <v/>
      </c>
      <c r="Q25" s="40">
        <f>IF(AND(C25&gt;0,D25&gt;0),D25-C25,"")</f>
        <v/>
      </c>
      <c r="R25" s="39">
        <f>IF(P25="","-",IF(P25&lt;0.1,"Низкая(&lt;10%)",IF(P25&lt;0.2,"Средняя(10-20%)","Хорошая(&gt;20%)")))</f>
        <v/>
      </c>
      <c r="S25" s="39">
        <f>IF(OR(H25="",C25=""),"-",IF((H25-C25)/H25&lt;0.05,"КРИТИЧНО",IF((H25-C25)/H25&lt;0.15,"УМЕРЕННЫЙ","НИЗКИЙ")))</f>
        <v/>
      </c>
      <c r="T25" s="43" t="n"/>
      <c r="U25" s="40">
        <f>IF(T25&gt;0,T25*D25,"")</f>
        <v/>
      </c>
      <c r="V25" s="40">
        <f>IF(T25&gt;0,T25*Q25,"")</f>
        <v/>
      </c>
      <c r="W25" s="41">
        <f>IF(U25&gt;0,V25/U25,"")</f>
        <v/>
      </c>
      <c r="X25" s="40">
        <f>IF(F25&lt;&gt;"",F25,"")</f>
        <v/>
      </c>
      <c r="Y25" s="41">
        <f>IF(AND(X25&lt;&gt;"",C25&gt;0),(X25-C25)/C25,"")</f>
        <v/>
      </c>
      <c r="Z25" s="41">
        <f>IF(AND(X25&lt;&gt;"",X25&gt;0),(X25-C25)/X25,"")</f>
        <v/>
      </c>
      <c r="AA25" s="40">
        <f>IF(AND(X25&lt;&gt;"",C25&gt;0),X25-C25,"")</f>
        <v/>
      </c>
      <c r="AB25" s="41">
        <f>IF(AND(X25&lt;&gt;"",D25&gt;0),(X25-D25)/D25,"")</f>
        <v/>
      </c>
      <c r="AC25" s="41">
        <f>IF(AND(Z25&lt;&gt;"",P25&lt;&gt;""),(Z25-P25)/ABS(IF(P25=0,1,P25)),"")</f>
        <v/>
      </c>
      <c r="AD25" s="40">
        <f>IF(AND(AA25&lt;&gt;"",Q25&lt;&gt;""),AA25-Q25,"")</f>
        <v/>
      </c>
      <c r="AE25" s="40">
        <f>IF(G25&lt;&gt;"",G25,"")</f>
        <v/>
      </c>
      <c r="AF25" s="41">
        <f>IF(AND(AE25&lt;&gt;"",C25&gt;0),(AE25-C25)/C25,"")</f>
        <v/>
      </c>
      <c r="AG25" s="41">
        <f>IF(AND(AE25&lt;&gt;"",AE25&gt;0),(AE25-C25)/AE25,"")</f>
        <v/>
      </c>
      <c r="AH25" s="40">
        <f>IF(AND(AE25&lt;&gt;"",C25&gt;0),AE25-C25,"")</f>
        <v/>
      </c>
      <c r="AI25" s="41">
        <f>IF(AND(AE25&lt;&gt;"",D25&gt;0),(AE25-D25)/D25,"")</f>
        <v/>
      </c>
      <c r="AJ25" s="41">
        <f>IF(AND(AG25&lt;&gt;"",P25&lt;&gt;""),(AG25-P25)/ABS(IF(P25=0,1,P25)),"")</f>
        <v/>
      </c>
      <c r="AK25" s="40">
        <f>IF(AND(AH25&lt;&gt;"",Q25&lt;&gt;""),AH25-Q25,"")</f>
        <v/>
      </c>
      <c r="AL25" s="40">
        <f>IF(H25&lt;&gt;"",H25,"")</f>
        <v/>
      </c>
      <c r="AM25" s="41">
        <f>IF(AND(AL25&lt;&gt;"",C25&gt;0),(AL25-C25)/C25,"")</f>
        <v/>
      </c>
      <c r="AN25" s="41">
        <f>IF(AND(AL25&lt;&gt;"",AL25&gt;0),(AL25-C25)/AL25,"")</f>
        <v/>
      </c>
      <c r="AO25" s="40">
        <f>IF(AND(AL25&lt;&gt;"",C25&gt;0),AL25-C25,"")</f>
        <v/>
      </c>
      <c r="AP25" s="41">
        <f>IF(AND(AL25&lt;&gt;"",D25&gt;0),(AL25-D25)/D25,"")</f>
        <v/>
      </c>
      <c r="AQ25" s="41">
        <f>IF(AND(AN25&lt;&gt;"",P25&lt;&gt;""),(AN25-P25)/ABS(IF(P25=0,1,P25)),"")</f>
        <v/>
      </c>
      <c r="AR25" s="40">
        <f>IF(AND(AO25&lt;&gt;"",Q25&lt;&gt;""),AO25-Q25,"")</f>
        <v/>
      </c>
      <c r="AS25" s="44" t="n"/>
      <c r="AT25" s="41">
        <f>IF(AND(AS25&gt;0,C25&gt;0),(AS25-C25)/C25,"")</f>
        <v/>
      </c>
      <c r="AU25" s="41">
        <f>IF(AND(AS25&gt;0,AS25&gt;0),(AS25-C25)/AS25,"")</f>
        <v/>
      </c>
      <c r="AV25" s="40">
        <f>IF(AND(AS25&gt;0,C25&gt;0),AS25-C25,"")</f>
        <v/>
      </c>
      <c r="AW25" s="41">
        <f>IF(AND(AS25&gt;0,D25&gt;0),(AS25-D25)/D25,"")</f>
        <v/>
      </c>
      <c r="AX25" s="41">
        <f>IF(AND(AU25&lt;&gt;"",P25&lt;&gt;""),(AU25-P25)/ABS(IF(P25=0,1,P25)),"")</f>
        <v/>
      </c>
      <c r="AY25" s="40">
        <f>IF(AND(AV25&lt;&gt;"",Q25&lt;&gt;""),AV25-Q25,"")</f>
        <v/>
      </c>
      <c r="AZ25" s="45" t="n"/>
      <c r="BA25" s="40">
        <f>IF(AND(AZ25&gt;0,C25&gt;0),C25/(1-AZ25),"")</f>
        <v/>
      </c>
      <c r="BB25" s="41">
        <f>IF(AND(BA25&lt;&gt;"",C25&gt;0),(BA25-C25)/C25,"")</f>
        <v/>
      </c>
      <c r="BC25" s="41">
        <f>IF(BA25&lt;&gt;"",AZ25,"")</f>
        <v/>
      </c>
      <c r="BD25" s="40">
        <f>IF(AND(BA25&lt;&gt;"",C25&gt;0),BA25-C25,"")</f>
        <v/>
      </c>
      <c r="BE25" s="41">
        <f>IF(AND(BA25&lt;&gt;"",D25&gt;0),(BA25-D25)/D25,"")</f>
        <v/>
      </c>
      <c r="BF25" s="41">
        <f>IF(AND(BC25&lt;&gt;"",P25&lt;&gt;""),(BC25-P25)/ABS(IF(P25=0,1,P25)),"")</f>
        <v/>
      </c>
      <c r="BG25" s="40">
        <f>IF(AND(BD25&lt;&gt;"",Q25&lt;&gt;""),BD25-Q25,"")</f>
        <v/>
      </c>
      <c r="BH25" s="40">
        <f>IF(AND(T25&gt;0,X25&lt;&gt;""),T25*X25,"")</f>
        <v/>
      </c>
      <c r="BI25" s="40">
        <f>IF(AND(T25&gt;0,AA25&lt;&gt;""),T25*AA25,"")</f>
        <v/>
      </c>
      <c r="BJ25" s="40">
        <f>IF(AND(T25&gt;0,AE25&lt;&gt;""),T25*AE25,"")</f>
        <v/>
      </c>
      <c r="BK25" s="40">
        <f>IF(AND(T25&gt;0,AH25&lt;&gt;""),T25*AH25,"")</f>
        <v/>
      </c>
      <c r="BL25" s="40">
        <f>IF(AND(T25&gt;0,AL25&lt;&gt;""),T25*AL25,"")</f>
        <v/>
      </c>
      <c r="BM25" s="40">
        <f>IF(AND(T25&gt;0,AO25&lt;&gt;""),T25*AO25,"")</f>
        <v/>
      </c>
      <c r="BN25" s="40">
        <f>IF(AND(T25&gt;0,AS25&gt;0),T25*AS25,"")</f>
        <v/>
      </c>
      <c r="BO25" s="40">
        <f>IF(AND(T25&gt;0,AV25&lt;&gt;""),T25*AV25,"")</f>
        <v/>
      </c>
      <c r="BP25" s="40">
        <f>IF(AND(T25&gt;0,BA25&lt;&gt;""),T25*BA25,"")</f>
        <v/>
      </c>
      <c r="BQ25" s="40">
        <f>IF(AND(T25&gt;0,BD25&lt;&gt;""),T25*BD25,"")</f>
        <v/>
      </c>
      <c r="BR25" s="46">
        <f>IF(AND(T25&gt;0,V25&gt;0,AA25&lt;&gt;0),V25/AA25-T25,"")</f>
        <v/>
      </c>
      <c r="BS25" s="41">
        <f>IF(AND(BR25&lt;&gt;"",T25&gt;0),BR25/T25,"")</f>
        <v/>
      </c>
      <c r="BT25" s="46">
        <f>IF(AND(T25&gt;0,V25&gt;0,AO25&lt;&gt;0),V25/AO25-T25,"")</f>
        <v/>
      </c>
      <c r="BU25" s="41">
        <f>IF(AND(BT25&lt;&gt;"",T25&gt;0),BT25/T25,"")</f>
        <v/>
      </c>
    </row>
    <row r="26">
      <c r="A26" s="36">
        <f>'📊 Исходные данные'!A25</f>
        <v/>
      </c>
      <c r="B26" s="37">
        <f>'📊 Исходные данные'!B25</f>
        <v/>
      </c>
      <c r="C26" s="38">
        <f>'📊 Исходные данные'!C25</f>
        <v/>
      </c>
      <c r="D26" s="38">
        <f>'📊 Исходные данные'!D25</f>
        <v/>
      </c>
      <c r="E26" s="39">
        <f>IF(OR(D26="",F26=""),"-",IF(D26&gt;F26*1.05,"Выше рынка",IF(D26&lt;F26*0.95,"Ниже рынка","На уровне")))</f>
        <v/>
      </c>
      <c r="F26" s="40">
        <f>IFERROR(AVERAGE('📊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G26" s="40">
        <f>IFERROR(MEDIAN('📊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H26" s="40">
        <f>IFERROR(MIN('📊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I26" s="40">
        <f>IFERROR(MAX('📊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данные'!K25),"")</f>
        <v/>
      </c>
      <c r="J26" s="41">
        <f>IF(AND(D26&lt;&gt;"",F26&lt;&gt;""),(D26-F26)/F26,"")</f>
        <v/>
      </c>
      <c r="K26" s="41">
        <f>IF(AND(D26&lt;&gt;"",G26&lt;&gt;""),(D26-G26)/G26,"")</f>
        <v/>
      </c>
      <c r="L26" s="41">
        <f>IF(AND(D26&lt;&gt;"",H26&lt;&gt;""),(D26-H26)/H26,"")</f>
        <v/>
      </c>
      <c r="M26" s="42">
        <f>IFERROR(RANK(D26,('📊 Исходные данные'!E25,'📊 Исходные данные'!F25,'📊 Исходные данные'!G25,'📊 Исходные данные'!H25,'📊 Исходные данные'!I25,'📊 Исходные данные'!J25,'📊 Исходные данные'!K25)),"")</f>
        <v/>
      </c>
      <c r="N26" s="39">
        <f>IF(M26="","-",IF(M26=1,"Дороже всех",IF(M26=2,"2-й по цене",IF(M26&lt;=4,"Средний","Ниже конкурентов"))))</f>
        <v/>
      </c>
      <c r="O26" s="41">
        <f>IF(AND(C26&gt;0,D26&gt;0),(D26-C26)/C26,"")</f>
        <v/>
      </c>
      <c r="P26" s="41">
        <f>IF(AND(C26&gt;0,D26&gt;0),(D26-C26)/D26,"")</f>
        <v/>
      </c>
      <c r="Q26" s="40">
        <f>IF(AND(C26&gt;0,D26&gt;0),D26-C26,"")</f>
        <v/>
      </c>
      <c r="R26" s="39">
        <f>IF(P26="","-",IF(P26&lt;0.1,"Низкая(&lt;10%)",IF(P26&lt;0.2,"Средняя(10-20%)","Хорошая(&gt;20%)")))</f>
        <v/>
      </c>
      <c r="S26" s="39">
        <f>IF(OR(H26="",C26=""),"-",IF((H26-C26)/H26&lt;0.05,"КРИТИЧНО",IF((H26-C26)/H26&lt;0.15,"УМЕРЕННЫЙ","НИЗКИЙ")))</f>
        <v/>
      </c>
      <c r="T26" s="43" t="n"/>
      <c r="U26" s="40">
        <f>IF(T26&gt;0,T26*D26,"")</f>
        <v/>
      </c>
      <c r="V26" s="40">
        <f>IF(T26&gt;0,T26*Q26,"")</f>
        <v/>
      </c>
      <c r="W26" s="41">
        <f>IF(U26&gt;0,V26/U26,"")</f>
        <v/>
      </c>
      <c r="X26" s="40">
        <f>IF(F26&lt;&gt;"",F26,"")</f>
        <v/>
      </c>
      <c r="Y26" s="41">
        <f>IF(AND(X26&lt;&gt;"",C26&gt;0),(X26-C26)/C26,"")</f>
        <v/>
      </c>
      <c r="Z26" s="41">
        <f>IF(AND(X26&lt;&gt;"",X26&gt;0),(X26-C26)/X26,"")</f>
        <v/>
      </c>
      <c r="AA26" s="40">
        <f>IF(AND(X26&lt;&gt;"",C26&gt;0),X26-C26,"")</f>
        <v/>
      </c>
      <c r="AB26" s="41">
        <f>IF(AND(X26&lt;&gt;"",D26&gt;0),(X26-D26)/D26,"")</f>
        <v/>
      </c>
      <c r="AC26" s="41">
        <f>IF(AND(Z26&lt;&gt;"",P26&lt;&gt;""),(Z26-P26)/ABS(IF(P26=0,1,P26)),"")</f>
        <v/>
      </c>
      <c r="AD26" s="40">
        <f>IF(AND(AA26&lt;&gt;"",Q26&lt;&gt;""),AA26-Q26,"")</f>
        <v/>
      </c>
      <c r="AE26" s="40">
        <f>IF(G26&lt;&gt;"",G26,"")</f>
        <v/>
      </c>
      <c r="AF26" s="41">
        <f>IF(AND(AE26&lt;&gt;"",C26&gt;0),(AE26-C26)/C26,"")</f>
        <v/>
      </c>
      <c r="AG26" s="41">
        <f>IF(AND(AE26&lt;&gt;"",AE26&gt;0),(AE26-C26)/AE26,"")</f>
        <v/>
      </c>
      <c r="AH26" s="40">
        <f>IF(AND(AE26&lt;&gt;"",C26&gt;0),AE26-C26,"")</f>
        <v/>
      </c>
      <c r="AI26" s="41">
        <f>IF(AND(AE26&lt;&gt;"",D26&gt;0),(AE26-D26)/D26,"")</f>
        <v/>
      </c>
      <c r="AJ26" s="41">
        <f>IF(AND(AG26&lt;&gt;"",P26&lt;&gt;""),(AG26-P26)/ABS(IF(P26=0,1,P26)),"")</f>
        <v/>
      </c>
      <c r="AK26" s="40">
        <f>IF(AND(AH26&lt;&gt;"",Q26&lt;&gt;""),AH26-Q26,"")</f>
        <v/>
      </c>
      <c r="AL26" s="40">
        <f>IF(H26&lt;&gt;"",H26,"")</f>
        <v/>
      </c>
      <c r="AM26" s="41">
        <f>IF(AND(AL26&lt;&gt;"",C26&gt;0),(AL26-C26)/C26,"")</f>
        <v/>
      </c>
      <c r="AN26" s="41">
        <f>IF(AND(AL26&lt;&gt;"",AL26&gt;0),(AL26-C26)/AL26,"")</f>
        <v/>
      </c>
      <c r="AO26" s="40">
        <f>IF(AND(AL26&lt;&gt;"",C26&gt;0),AL26-C26,"")</f>
        <v/>
      </c>
      <c r="AP26" s="41">
        <f>IF(AND(AL26&lt;&gt;"",D26&gt;0),(AL26-D26)/D26,"")</f>
        <v/>
      </c>
      <c r="AQ26" s="41">
        <f>IF(AND(AN26&lt;&gt;"",P26&lt;&gt;""),(AN26-P26)/ABS(IF(P26=0,1,P26)),"")</f>
        <v/>
      </c>
      <c r="AR26" s="40">
        <f>IF(AND(AO26&lt;&gt;"",Q26&lt;&gt;""),AO26-Q26,"")</f>
        <v/>
      </c>
      <c r="AS26" s="44" t="n"/>
      <c r="AT26" s="41">
        <f>IF(AND(AS26&gt;0,C26&gt;0),(AS26-C26)/C26,"")</f>
        <v/>
      </c>
      <c r="AU26" s="41">
        <f>IF(AND(AS26&gt;0,AS26&gt;0),(AS26-C26)/AS26,"")</f>
        <v/>
      </c>
      <c r="AV26" s="40">
        <f>IF(AND(AS26&gt;0,C26&gt;0),AS26-C26,"")</f>
        <v/>
      </c>
      <c r="AW26" s="41">
        <f>IF(AND(AS26&gt;0,D26&gt;0),(AS26-D26)/D26,"")</f>
        <v/>
      </c>
      <c r="AX26" s="41">
        <f>IF(AND(AU26&lt;&gt;"",P26&lt;&gt;""),(AU26-P26)/ABS(IF(P26=0,1,P26)),"")</f>
        <v/>
      </c>
      <c r="AY26" s="40">
        <f>IF(AND(AV26&lt;&gt;"",Q26&lt;&gt;""),AV26-Q26,"")</f>
        <v/>
      </c>
      <c r="AZ26" s="45" t="n"/>
      <c r="BA26" s="40">
        <f>IF(AND(AZ26&gt;0,C26&gt;0),C26/(1-AZ26),"")</f>
        <v/>
      </c>
      <c r="BB26" s="41">
        <f>IF(AND(BA26&lt;&gt;"",C26&gt;0),(BA26-C26)/C26,"")</f>
        <v/>
      </c>
      <c r="BC26" s="41">
        <f>IF(BA26&lt;&gt;"",AZ26,"")</f>
        <v/>
      </c>
      <c r="BD26" s="40">
        <f>IF(AND(BA26&lt;&gt;"",C26&gt;0),BA26-C26,"")</f>
        <v/>
      </c>
      <c r="BE26" s="41">
        <f>IF(AND(BA26&lt;&gt;"",D26&gt;0),(BA26-D26)/D26,"")</f>
        <v/>
      </c>
      <c r="BF26" s="41">
        <f>IF(AND(BC26&lt;&gt;"",P26&lt;&gt;""),(BC26-P26)/ABS(IF(P26=0,1,P26)),"")</f>
        <v/>
      </c>
      <c r="BG26" s="40">
        <f>IF(AND(BD26&lt;&gt;"",Q26&lt;&gt;""),BD26-Q26,"")</f>
        <v/>
      </c>
      <c r="BH26" s="40">
        <f>IF(AND(T26&gt;0,X26&lt;&gt;""),T26*X26,"")</f>
        <v/>
      </c>
      <c r="BI26" s="40">
        <f>IF(AND(T26&gt;0,AA26&lt;&gt;""),T26*AA26,"")</f>
        <v/>
      </c>
      <c r="BJ26" s="40">
        <f>IF(AND(T26&gt;0,AE26&lt;&gt;""),T26*AE26,"")</f>
        <v/>
      </c>
      <c r="BK26" s="40">
        <f>IF(AND(T26&gt;0,AH26&lt;&gt;""),T26*AH26,"")</f>
        <v/>
      </c>
      <c r="BL26" s="40">
        <f>IF(AND(T26&gt;0,AL26&lt;&gt;""),T26*AL26,"")</f>
        <v/>
      </c>
      <c r="BM26" s="40">
        <f>IF(AND(T26&gt;0,AO26&lt;&gt;""),T26*AO26,"")</f>
        <v/>
      </c>
      <c r="BN26" s="40">
        <f>IF(AND(T26&gt;0,AS26&gt;0),T26*AS26,"")</f>
        <v/>
      </c>
      <c r="BO26" s="40">
        <f>IF(AND(T26&gt;0,AV26&lt;&gt;""),T26*AV26,"")</f>
        <v/>
      </c>
      <c r="BP26" s="40">
        <f>IF(AND(T26&gt;0,BA26&lt;&gt;""),T26*BA26,"")</f>
        <v/>
      </c>
      <c r="BQ26" s="40">
        <f>IF(AND(T26&gt;0,BD26&lt;&gt;""),T26*BD26,"")</f>
        <v/>
      </c>
      <c r="BR26" s="46">
        <f>IF(AND(T26&gt;0,V26&gt;0,AA26&lt;&gt;0),V26/AA26-T26,"")</f>
        <v/>
      </c>
      <c r="BS26" s="41">
        <f>IF(AND(BR26&lt;&gt;"",T26&gt;0),BR26/T26,"")</f>
        <v/>
      </c>
      <c r="BT26" s="46">
        <f>IF(AND(T26&gt;0,V26&gt;0,AO26&lt;&gt;0),V26/AO26-T26,"")</f>
        <v/>
      </c>
      <c r="BU26" s="41">
        <f>IF(AND(BT26&lt;&gt;"",T26&gt;0),BT26/T26,"")</f>
        <v/>
      </c>
    </row>
    <row r="27">
      <c r="A27" s="36">
        <f>'📊 Исходные данные'!A26</f>
        <v/>
      </c>
      <c r="B27" s="37">
        <f>'📊 Исходные данные'!B26</f>
        <v/>
      </c>
      <c r="C27" s="38">
        <f>'📊 Исходные данные'!C26</f>
        <v/>
      </c>
      <c r="D27" s="38">
        <f>'📊 Исходные данные'!D26</f>
        <v/>
      </c>
      <c r="E27" s="39">
        <f>IF(OR(D27="",F27=""),"-",IF(D27&gt;F27*1.05,"Выше рынка",IF(D27&lt;F27*0.95,"Ниже рынка","На уровне")))</f>
        <v/>
      </c>
      <c r="F27" s="40">
        <f>IFERROR(AVERAGE('📊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G27" s="40">
        <f>IFERROR(MEDIAN('📊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H27" s="40">
        <f>IFERROR(MIN('📊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I27" s="40">
        <f>IFERROR(MAX('📊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данные'!K26),"")</f>
        <v/>
      </c>
      <c r="J27" s="41">
        <f>IF(AND(D27&lt;&gt;"",F27&lt;&gt;""),(D27-F27)/F27,"")</f>
        <v/>
      </c>
      <c r="K27" s="41">
        <f>IF(AND(D27&lt;&gt;"",G27&lt;&gt;""),(D27-G27)/G27,"")</f>
        <v/>
      </c>
      <c r="L27" s="41">
        <f>IF(AND(D27&lt;&gt;"",H27&lt;&gt;""),(D27-H27)/H27,"")</f>
        <v/>
      </c>
      <c r="M27" s="42">
        <f>IFERROR(RANK(D27,('📊 Исходные данные'!E26,'📊 Исходные данные'!F26,'📊 Исходные данные'!G26,'📊 Исходные данные'!H26,'📊 Исходные данные'!I26,'📊 Исходные данные'!J26,'📊 Исходные данные'!K26)),"")</f>
        <v/>
      </c>
      <c r="N27" s="39">
        <f>IF(M27="","-",IF(M27=1,"Дороже всех",IF(M27=2,"2-й по цене",IF(M27&lt;=4,"Средний","Ниже конкурентов"))))</f>
        <v/>
      </c>
      <c r="O27" s="41">
        <f>IF(AND(C27&gt;0,D27&gt;0),(D27-C27)/C27,"")</f>
        <v/>
      </c>
      <c r="P27" s="41">
        <f>IF(AND(C27&gt;0,D27&gt;0),(D27-C27)/D27,"")</f>
        <v/>
      </c>
      <c r="Q27" s="40">
        <f>IF(AND(C27&gt;0,D27&gt;0),D27-C27,"")</f>
        <v/>
      </c>
      <c r="R27" s="39">
        <f>IF(P27="","-",IF(P27&lt;0.1,"Низкая(&lt;10%)",IF(P27&lt;0.2,"Средняя(10-20%)","Хорошая(&gt;20%)")))</f>
        <v/>
      </c>
      <c r="S27" s="39">
        <f>IF(OR(H27="",C27=""),"-",IF((H27-C27)/H27&lt;0.05,"КРИТИЧНО",IF((H27-C27)/H27&lt;0.15,"УМЕРЕННЫЙ","НИЗКИЙ")))</f>
        <v/>
      </c>
      <c r="T27" s="43" t="n"/>
      <c r="U27" s="40">
        <f>IF(T27&gt;0,T27*D27,"")</f>
        <v/>
      </c>
      <c r="V27" s="40">
        <f>IF(T27&gt;0,T27*Q27,"")</f>
        <v/>
      </c>
      <c r="W27" s="41">
        <f>IF(U27&gt;0,V27/U27,"")</f>
        <v/>
      </c>
      <c r="X27" s="40">
        <f>IF(F27&lt;&gt;"",F27,"")</f>
        <v/>
      </c>
      <c r="Y27" s="41">
        <f>IF(AND(X27&lt;&gt;"",C27&gt;0),(X27-C27)/C27,"")</f>
        <v/>
      </c>
      <c r="Z27" s="41">
        <f>IF(AND(X27&lt;&gt;"",X27&gt;0),(X27-C27)/X27,"")</f>
        <v/>
      </c>
      <c r="AA27" s="40">
        <f>IF(AND(X27&lt;&gt;"",C27&gt;0),X27-C27,"")</f>
        <v/>
      </c>
      <c r="AB27" s="41">
        <f>IF(AND(X27&lt;&gt;"",D27&gt;0),(X27-D27)/D27,"")</f>
        <v/>
      </c>
      <c r="AC27" s="41">
        <f>IF(AND(Z27&lt;&gt;"",P27&lt;&gt;""),(Z27-P27)/ABS(IF(P27=0,1,P27)),"")</f>
        <v/>
      </c>
      <c r="AD27" s="40">
        <f>IF(AND(AA27&lt;&gt;"",Q27&lt;&gt;""),AA27-Q27,"")</f>
        <v/>
      </c>
      <c r="AE27" s="40">
        <f>IF(G27&lt;&gt;"",G27,"")</f>
        <v/>
      </c>
      <c r="AF27" s="41">
        <f>IF(AND(AE27&lt;&gt;"",C27&gt;0),(AE27-C27)/C27,"")</f>
        <v/>
      </c>
      <c r="AG27" s="41">
        <f>IF(AND(AE27&lt;&gt;"",AE27&gt;0),(AE27-C27)/AE27,"")</f>
        <v/>
      </c>
      <c r="AH27" s="40">
        <f>IF(AND(AE27&lt;&gt;"",C27&gt;0),AE27-C27,"")</f>
        <v/>
      </c>
      <c r="AI27" s="41">
        <f>IF(AND(AE27&lt;&gt;"",D27&gt;0),(AE27-D27)/D27,"")</f>
        <v/>
      </c>
      <c r="AJ27" s="41">
        <f>IF(AND(AG27&lt;&gt;"",P27&lt;&gt;""),(AG27-P27)/ABS(IF(P27=0,1,P27)),"")</f>
        <v/>
      </c>
      <c r="AK27" s="40">
        <f>IF(AND(AH27&lt;&gt;"",Q27&lt;&gt;""),AH27-Q27,"")</f>
        <v/>
      </c>
      <c r="AL27" s="40">
        <f>IF(H27&lt;&gt;"",H27,"")</f>
        <v/>
      </c>
      <c r="AM27" s="41">
        <f>IF(AND(AL27&lt;&gt;"",C27&gt;0),(AL27-C27)/C27,"")</f>
        <v/>
      </c>
      <c r="AN27" s="41">
        <f>IF(AND(AL27&lt;&gt;"",AL27&gt;0),(AL27-C27)/AL27,"")</f>
        <v/>
      </c>
      <c r="AO27" s="40">
        <f>IF(AND(AL27&lt;&gt;"",C27&gt;0),AL27-C27,"")</f>
        <v/>
      </c>
      <c r="AP27" s="41">
        <f>IF(AND(AL27&lt;&gt;"",D27&gt;0),(AL27-D27)/D27,"")</f>
        <v/>
      </c>
      <c r="AQ27" s="41">
        <f>IF(AND(AN27&lt;&gt;"",P27&lt;&gt;""),(AN27-P27)/ABS(IF(P27=0,1,P27)),"")</f>
        <v/>
      </c>
      <c r="AR27" s="40">
        <f>IF(AND(AO27&lt;&gt;"",Q27&lt;&gt;""),AO27-Q27,"")</f>
        <v/>
      </c>
      <c r="AS27" s="44" t="n"/>
      <c r="AT27" s="41">
        <f>IF(AND(AS27&gt;0,C27&gt;0),(AS27-C27)/C27,"")</f>
        <v/>
      </c>
      <c r="AU27" s="41">
        <f>IF(AND(AS27&gt;0,AS27&gt;0),(AS27-C27)/AS27,"")</f>
        <v/>
      </c>
      <c r="AV27" s="40">
        <f>IF(AND(AS27&gt;0,C27&gt;0),AS27-C27,"")</f>
        <v/>
      </c>
      <c r="AW27" s="41">
        <f>IF(AND(AS27&gt;0,D27&gt;0),(AS27-D27)/D27,"")</f>
        <v/>
      </c>
      <c r="AX27" s="41">
        <f>IF(AND(AU27&lt;&gt;"",P27&lt;&gt;""),(AU27-P27)/ABS(IF(P27=0,1,P27)),"")</f>
        <v/>
      </c>
      <c r="AY27" s="40">
        <f>IF(AND(AV27&lt;&gt;"",Q27&lt;&gt;""),AV27-Q27,"")</f>
        <v/>
      </c>
      <c r="AZ27" s="45" t="n"/>
      <c r="BA27" s="40">
        <f>IF(AND(AZ27&gt;0,C27&gt;0),C27/(1-AZ27),"")</f>
        <v/>
      </c>
      <c r="BB27" s="41">
        <f>IF(AND(BA27&lt;&gt;"",C27&gt;0),(BA27-C27)/C27,"")</f>
        <v/>
      </c>
      <c r="BC27" s="41">
        <f>IF(BA27&lt;&gt;"",AZ27,"")</f>
        <v/>
      </c>
      <c r="BD27" s="40">
        <f>IF(AND(BA27&lt;&gt;"",C27&gt;0),BA27-C27,"")</f>
        <v/>
      </c>
      <c r="BE27" s="41">
        <f>IF(AND(BA27&lt;&gt;"",D27&gt;0),(BA27-D27)/D27,"")</f>
        <v/>
      </c>
      <c r="BF27" s="41">
        <f>IF(AND(BC27&lt;&gt;"",P27&lt;&gt;""),(BC27-P27)/ABS(IF(P27=0,1,P27)),"")</f>
        <v/>
      </c>
      <c r="BG27" s="40">
        <f>IF(AND(BD27&lt;&gt;"",Q27&lt;&gt;""),BD27-Q27,"")</f>
        <v/>
      </c>
      <c r="BH27" s="40">
        <f>IF(AND(T27&gt;0,X27&lt;&gt;""),T27*X27,"")</f>
        <v/>
      </c>
      <c r="BI27" s="40">
        <f>IF(AND(T27&gt;0,AA27&lt;&gt;""),T27*AA27,"")</f>
        <v/>
      </c>
      <c r="BJ27" s="40">
        <f>IF(AND(T27&gt;0,AE27&lt;&gt;""),T27*AE27,"")</f>
        <v/>
      </c>
      <c r="BK27" s="40">
        <f>IF(AND(T27&gt;0,AH27&lt;&gt;""),T27*AH27,"")</f>
        <v/>
      </c>
      <c r="BL27" s="40">
        <f>IF(AND(T27&gt;0,AL27&lt;&gt;""),T27*AL27,"")</f>
        <v/>
      </c>
      <c r="BM27" s="40">
        <f>IF(AND(T27&gt;0,AO27&lt;&gt;""),T27*AO27,"")</f>
        <v/>
      </c>
      <c r="BN27" s="40">
        <f>IF(AND(T27&gt;0,AS27&gt;0),T27*AS27,"")</f>
        <v/>
      </c>
      <c r="BO27" s="40">
        <f>IF(AND(T27&gt;0,AV27&lt;&gt;""),T27*AV27,"")</f>
        <v/>
      </c>
      <c r="BP27" s="40">
        <f>IF(AND(T27&gt;0,BA27&lt;&gt;""),T27*BA27,"")</f>
        <v/>
      </c>
      <c r="BQ27" s="40">
        <f>IF(AND(T27&gt;0,BD27&lt;&gt;""),T27*BD27,"")</f>
        <v/>
      </c>
      <c r="BR27" s="46">
        <f>IF(AND(T27&gt;0,V27&gt;0,AA27&lt;&gt;0),V27/AA27-T27,"")</f>
        <v/>
      </c>
      <c r="BS27" s="41">
        <f>IF(AND(BR27&lt;&gt;"",T27&gt;0),BR27/T27,"")</f>
        <v/>
      </c>
      <c r="BT27" s="46">
        <f>IF(AND(T27&gt;0,V27&gt;0,AO27&lt;&gt;0),V27/AO27-T27,"")</f>
        <v/>
      </c>
      <c r="BU27" s="41">
        <f>IF(AND(BT27&lt;&gt;"",T27&gt;0),BT27/T27,"")</f>
        <v/>
      </c>
    </row>
    <row r="28">
      <c r="A28" s="36">
        <f>'📊 Исходные данные'!A27</f>
        <v/>
      </c>
      <c r="B28" s="37">
        <f>'📊 Исходные данные'!B27</f>
        <v/>
      </c>
      <c r="C28" s="38">
        <f>'📊 Исходные данные'!C27</f>
        <v/>
      </c>
      <c r="D28" s="38">
        <f>'📊 Исходные данные'!D27</f>
        <v/>
      </c>
      <c r="E28" s="39">
        <f>IF(OR(D28="",F28=""),"-",IF(D28&gt;F28*1.05,"Выше рынка",IF(D28&lt;F28*0.95,"Ниже рынка","На уровне")))</f>
        <v/>
      </c>
      <c r="F28" s="40">
        <f>IFERROR(AVERAGE('📊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G28" s="40">
        <f>IFERROR(MEDIAN('📊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H28" s="40">
        <f>IFERROR(MIN('📊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I28" s="40">
        <f>IFERROR(MAX('📊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данные'!K27),"")</f>
        <v/>
      </c>
      <c r="J28" s="41">
        <f>IF(AND(D28&lt;&gt;"",F28&lt;&gt;""),(D28-F28)/F28,"")</f>
        <v/>
      </c>
      <c r="K28" s="41">
        <f>IF(AND(D28&lt;&gt;"",G28&lt;&gt;""),(D28-G28)/G28,"")</f>
        <v/>
      </c>
      <c r="L28" s="41">
        <f>IF(AND(D28&lt;&gt;"",H28&lt;&gt;""),(D28-H28)/H28,"")</f>
        <v/>
      </c>
      <c r="M28" s="42">
        <f>IFERROR(RANK(D28,('📊 Исходные данные'!E27,'📊 Исходные данные'!F27,'📊 Исходные данные'!G27,'📊 Исходные данные'!H27,'📊 Исходные данные'!I27,'📊 Исходные данные'!J27,'📊 Исходные данные'!K27)),"")</f>
        <v/>
      </c>
      <c r="N28" s="39">
        <f>IF(M28="","-",IF(M28=1,"Дороже всех",IF(M28=2,"2-й по цене",IF(M28&lt;=4,"Средний","Ниже конкурентов"))))</f>
        <v/>
      </c>
      <c r="O28" s="41">
        <f>IF(AND(C28&gt;0,D28&gt;0),(D28-C28)/C28,"")</f>
        <v/>
      </c>
      <c r="P28" s="41">
        <f>IF(AND(C28&gt;0,D28&gt;0),(D28-C28)/D28,"")</f>
        <v/>
      </c>
      <c r="Q28" s="40">
        <f>IF(AND(C28&gt;0,D28&gt;0),D28-C28,"")</f>
        <v/>
      </c>
      <c r="R28" s="39">
        <f>IF(P28="","-",IF(P28&lt;0.1,"Низкая(&lt;10%)",IF(P28&lt;0.2,"Средняя(10-20%)","Хорошая(&gt;20%)")))</f>
        <v/>
      </c>
      <c r="S28" s="39">
        <f>IF(OR(H28="",C28=""),"-",IF((H28-C28)/H28&lt;0.05,"КРИТИЧНО",IF((H28-C28)/H28&lt;0.15,"УМЕРЕННЫЙ","НИЗКИЙ")))</f>
        <v/>
      </c>
      <c r="T28" s="43" t="n"/>
      <c r="U28" s="40">
        <f>IF(T28&gt;0,T28*D28,"")</f>
        <v/>
      </c>
      <c r="V28" s="40">
        <f>IF(T28&gt;0,T28*Q28,"")</f>
        <v/>
      </c>
      <c r="W28" s="41">
        <f>IF(U28&gt;0,V28/U28,"")</f>
        <v/>
      </c>
      <c r="X28" s="40">
        <f>IF(F28&lt;&gt;"",F28,"")</f>
        <v/>
      </c>
      <c r="Y28" s="41">
        <f>IF(AND(X28&lt;&gt;"",C28&gt;0),(X28-C28)/C28,"")</f>
        <v/>
      </c>
      <c r="Z28" s="41">
        <f>IF(AND(X28&lt;&gt;"",X28&gt;0),(X28-C28)/X28,"")</f>
        <v/>
      </c>
      <c r="AA28" s="40">
        <f>IF(AND(X28&lt;&gt;"",C28&gt;0),X28-C28,"")</f>
        <v/>
      </c>
      <c r="AB28" s="41">
        <f>IF(AND(X28&lt;&gt;"",D28&gt;0),(X28-D28)/D28,"")</f>
        <v/>
      </c>
      <c r="AC28" s="41">
        <f>IF(AND(Z28&lt;&gt;"",P28&lt;&gt;""),(Z28-P28)/ABS(IF(P28=0,1,P28)),"")</f>
        <v/>
      </c>
      <c r="AD28" s="40">
        <f>IF(AND(AA28&lt;&gt;"",Q28&lt;&gt;""),AA28-Q28,"")</f>
        <v/>
      </c>
      <c r="AE28" s="40">
        <f>IF(G28&lt;&gt;"",G28,"")</f>
        <v/>
      </c>
      <c r="AF28" s="41">
        <f>IF(AND(AE28&lt;&gt;"",C28&gt;0),(AE28-C28)/C28,"")</f>
        <v/>
      </c>
      <c r="AG28" s="41">
        <f>IF(AND(AE28&lt;&gt;"",AE28&gt;0),(AE28-C28)/AE28,"")</f>
        <v/>
      </c>
      <c r="AH28" s="40">
        <f>IF(AND(AE28&lt;&gt;"",C28&gt;0),AE28-C28,"")</f>
        <v/>
      </c>
      <c r="AI28" s="41">
        <f>IF(AND(AE28&lt;&gt;"",D28&gt;0),(AE28-D28)/D28,"")</f>
        <v/>
      </c>
      <c r="AJ28" s="41">
        <f>IF(AND(AG28&lt;&gt;"",P28&lt;&gt;""),(AG28-P28)/ABS(IF(P28=0,1,P28)),"")</f>
        <v/>
      </c>
      <c r="AK28" s="40">
        <f>IF(AND(AH28&lt;&gt;"",Q28&lt;&gt;""),AH28-Q28,"")</f>
        <v/>
      </c>
      <c r="AL28" s="40">
        <f>IF(H28&lt;&gt;"",H28,"")</f>
        <v/>
      </c>
      <c r="AM28" s="41">
        <f>IF(AND(AL28&lt;&gt;"",C28&gt;0),(AL28-C28)/C28,"")</f>
        <v/>
      </c>
      <c r="AN28" s="41">
        <f>IF(AND(AL28&lt;&gt;"",AL28&gt;0),(AL28-C28)/AL28,"")</f>
        <v/>
      </c>
      <c r="AO28" s="40">
        <f>IF(AND(AL28&lt;&gt;"",C28&gt;0),AL28-C28,"")</f>
        <v/>
      </c>
      <c r="AP28" s="41">
        <f>IF(AND(AL28&lt;&gt;"",D28&gt;0),(AL28-D28)/D28,"")</f>
        <v/>
      </c>
      <c r="AQ28" s="41">
        <f>IF(AND(AN28&lt;&gt;"",P28&lt;&gt;""),(AN28-P28)/ABS(IF(P28=0,1,P28)),"")</f>
        <v/>
      </c>
      <c r="AR28" s="40">
        <f>IF(AND(AO28&lt;&gt;"",Q28&lt;&gt;""),AO28-Q28,"")</f>
        <v/>
      </c>
      <c r="AS28" s="44" t="n"/>
      <c r="AT28" s="41">
        <f>IF(AND(AS28&gt;0,C28&gt;0),(AS28-C28)/C28,"")</f>
        <v/>
      </c>
      <c r="AU28" s="41">
        <f>IF(AND(AS28&gt;0,AS28&gt;0),(AS28-C28)/AS28,"")</f>
        <v/>
      </c>
      <c r="AV28" s="40">
        <f>IF(AND(AS28&gt;0,C28&gt;0),AS28-C28,"")</f>
        <v/>
      </c>
      <c r="AW28" s="41">
        <f>IF(AND(AS28&gt;0,D28&gt;0),(AS28-D28)/D28,"")</f>
        <v/>
      </c>
      <c r="AX28" s="41">
        <f>IF(AND(AU28&lt;&gt;"",P28&lt;&gt;""),(AU28-P28)/ABS(IF(P28=0,1,P28)),"")</f>
        <v/>
      </c>
      <c r="AY28" s="40">
        <f>IF(AND(AV28&lt;&gt;"",Q28&lt;&gt;""),AV28-Q28,"")</f>
        <v/>
      </c>
      <c r="AZ28" s="45" t="n"/>
      <c r="BA28" s="40">
        <f>IF(AND(AZ28&gt;0,C28&gt;0),C28/(1-AZ28),"")</f>
        <v/>
      </c>
      <c r="BB28" s="41">
        <f>IF(AND(BA28&lt;&gt;"",C28&gt;0),(BA28-C28)/C28,"")</f>
        <v/>
      </c>
      <c r="BC28" s="41">
        <f>IF(BA28&lt;&gt;"",AZ28,"")</f>
        <v/>
      </c>
      <c r="BD28" s="40">
        <f>IF(AND(BA28&lt;&gt;"",C28&gt;0),BA28-C28,"")</f>
        <v/>
      </c>
      <c r="BE28" s="41">
        <f>IF(AND(BA28&lt;&gt;"",D28&gt;0),(BA28-D28)/D28,"")</f>
        <v/>
      </c>
      <c r="BF28" s="41">
        <f>IF(AND(BC28&lt;&gt;"",P28&lt;&gt;""),(BC28-P28)/ABS(IF(P28=0,1,P28)),"")</f>
        <v/>
      </c>
      <c r="BG28" s="40">
        <f>IF(AND(BD28&lt;&gt;"",Q28&lt;&gt;""),BD28-Q28,"")</f>
        <v/>
      </c>
      <c r="BH28" s="40">
        <f>IF(AND(T28&gt;0,X28&lt;&gt;""),T28*X28,"")</f>
        <v/>
      </c>
      <c r="BI28" s="40">
        <f>IF(AND(T28&gt;0,AA28&lt;&gt;""),T28*AA28,"")</f>
        <v/>
      </c>
      <c r="BJ28" s="40">
        <f>IF(AND(T28&gt;0,AE28&lt;&gt;""),T28*AE28,"")</f>
        <v/>
      </c>
      <c r="BK28" s="40">
        <f>IF(AND(T28&gt;0,AH28&lt;&gt;""),T28*AH28,"")</f>
        <v/>
      </c>
      <c r="BL28" s="40">
        <f>IF(AND(T28&gt;0,AL28&lt;&gt;""),T28*AL28,"")</f>
        <v/>
      </c>
      <c r="BM28" s="40">
        <f>IF(AND(T28&gt;0,AO28&lt;&gt;""),T28*AO28,"")</f>
        <v/>
      </c>
      <c r="BN28" s="40">
        <f>IF(AND(T28&gt;0,AS28&gt;0),T28*AS28,"")</f>
        <v/>
      </c>
      <c r="BO28" s="40">
        <f>IF(AND(T28&gt;0,AV28&lt;&gt;""),T28*AV28,"")</f>
        <v/>
      </c>
      <c r="BP28" s="40">
        <f>IF(AND(T28&gt;0,BA28&lt;&gt;""),T28*BA28,"")</f>
        <v/>
      </c>
      <c r="BQ28" s="40">
        <f>IF(AND(T28&gt;0,BD28&lt;&gt;""),T28*BD28,"")</f>
        <v/>
      </c>
      <c r="BR28" s="46">
        <f>IF(AND(T28&gt;0,V28&gt;0,AA28&lt;&gt;0),V28/AA28-T28,"")</f>
        <v/>
      </c>
      <c r="BS28" s="41">
        <f>IF(AND(BR28&lt;&gt;"",T28&gt;0),BR28/T28,"")</f>
        <v/>
      </c>
      <c r="BT28" s="46">
        <f>IF(AND(T28&gt;0,V28&gt;0,AO28&lt;&gt;0),V28/AO28-T28,"")</f>
        <v/>
      </c>
      <c r="BU28" s="41">
        <f>IF(AND(BT28&lt;&gt;"",T28&gt;0),BT28/T28,"")</f>
        <v/>
      </c>
    </row>
    <row r="29">
      <c r="A29" s="36">
        <f>'📊 Исходные данные'!A28</f>
        <v/>
      </c>
      <c r="B29" s="37">
        <f>'📊 Исходные данные'!B28</f>
        <v/>
      </c>
      <c r="C29" s="38">
        <f>'📊 Исходные данные'!C28</f>
        <v/>
      </c>
      <c r="D29" s="38">
        <f>'📊 Исходные данные'!D28</f>
        <v/>
      </c>
      <c r="E29" s="39">
        <f>IF(OR(D29="",F29=""),"-",IF(D29&gt;F29*1.05,"Выше рынка",IF(D29&lt;F29*0.95,"Ниже рынка","На уровне")))</f>
        <v/>
      </c>
      <c r="F29" s="40">
        <f>IFERROR(AVERAGE('📊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G29" s="40">
        <f>IFERROR(MEDIAN('📊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H29" s="40">
        <f>IFERROR(MIN('📊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I29" s="40">
        <f>IFERROR(MAX('📊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данные'!K28),"")</f>
        <v/>
      </c>
      <c r="J29" s="41">
        <f>IF(AND(D29&lt;&gt;"",F29&lt;&gt;""),(D29-F29)/F29,"")</f>
        <v/>
      </c>
      <c r="K29" s="41">
        <f>IF(AND(D29&lt;&gt;"",G29&lt;&gt;""),(D29-G29)/G29,"")</f>
        <v/>
      </c>
      <c r="L29" s="41">
        <f>IF(AND(D29&lt;&gt;"",H29&lt;&gt;""),(D29-H29)/H29,"")</f>
        <v/>
      </c>
      <c r="M29" s="42">
        <f>IFERROR(RANK(D29,('📊 Исходные данные'!E28,'📊 Исходные данные'!F28,'📊 Исходные данные'!G28,'📊 Исходные данные'!H28,'📊 Исходные данные'!I28,'📊 Исходные данные'!J28,'📊 Исходные данные'!K28)),"")</f>
        <v/>
      </c>
      <c r="N29" s="39">
        <f>IF(M29="","-",IF(M29=1,"Дороже всех",IF(M29=2,"2-й по цене",IF(M29&lt;=4,"Средний","Ниже конкурентов"))))</f>
        <v/>
      </c>
      <c r="O29" s="41">
        <f>IF(AND(C29&gt;0,D29&gt;0),(D29-C29)/C29,"")</f>
        <v/>
      </c>
      <c r="P29" s="41">
        <f>IF(AND(C29&gt;0,D29&gt;0),(D29-C29)/D29,"")</f>
        <v/>
      </c>
      <c r="Q29" s="40">
        <f>IF(AND(C29&gt;0,D29&gt;0),D29-C29,"")</f>
        <v/>
      </c>
      <c r="R29" s="39">
        <f>IF(P29="","-",IF(P29&lt;0.1,"Низкая(&lt;10%)",IF(P29&lt;0.2,"Средняя(10-20%)","Хорошая(&gt;20%)")))</f>
        <v/>
      </c>
      <c r="S29" s="39">
        <f>IF(OR(H29="",C29=""),"-",IF((H29-C29)/H29&lt;0.05,"КРИТИЧНО",IF((H29-C29)/H29&lt;0.15,"УМЕРЕННЫЙ","НИЗКИЙ")))</f>
        <v/>
      </c>
      <c r="T29" s="43" t="n"/>
      <c r="U29" s="40">
        <f>IF(T29&gt;0,T29*D29,"")</f>
        <v/>
      </c>
      <c r="V29" s="40">
        <f>IF(T29&gt;0,T29*Q29,"")</f>
        <v/>
      </c>
      <c r="W29" s="41">
        <f>IF(U29&gt;0,V29/U29,"")</f>
        <v/>
      </c>
      <c r="X29" s="40">
        <f>IF(F29&lt;&gt;"",F29,"")</f>
        <v/>
      </c>
      <c r="Y29" s="41">
        <f>IF(AND(X29&lt;&gt;"",C29&gt;0),(X29-C29)/C29,"")</f>
        <v/>
      </c>
      <c r="Z29" s="41">
        <f>IF(AND(X29&lt;&gt;"",X29&gt;0),(X29-C29)/X29,"")</f>
        <v/>
      </c>
      <c r="AA29" s="40">
        <f>IF(AND(X29&lt;&gt;"",C29&gt;0),X29-C29,"")</f>
        <v/>
      </c>
      <c r="AB29" s="41">
        <f>IF(AND(X29&lt;&gt;"",D29&gt;0),(X29-D29)/D29,"")</f>
        <v/>
      </c>
      <c r="AC29" s="41">
        <f>IF(AND(Z29&lt;&gt;"",P29&lt;&gt;""),(Z29-P29)/ABS(IF(P29=0,1,P29)),"")</f>
        <v/>
      </c>
      <c r="AD29" s="40">
        <f>IF(AND(AA29&lt;&gt;"",Q29&lt;&gt;""),AA29-Q29,"")</f>
        <v/>
      </c>
      <c r="AE29" s="40">
        <f>IF(G29&lt;&gt;"",G29,"")</f>
        <v/>
      </c>
      <c r="AF29" s="41">
        <f>IF(AND(AE29&lt;&gt;"",C29&gt;0),(AE29-C29)/C29,"")</f>
        <v/>
      </c>
      <c r="AG29" s="41">
        <f>IF(AND(AE29&lt;&gt;"",AE29&gt;0),(AE29-C29)/AE29,"")</f>
        <v/>
      </c>
      <c r="AH29" s="40">
        <f>IF(AND(AE29&lt;&gt;"",C29&gt;0),AE29-C29,"")</f>
        <v/>
      </c>
      <c r="AI29" s="41">
        <f>IF(AND(AE29&lt;&gt;"",D29&gt;0),(AE29-D29)/D29,"")</f>
        <v/>
      </c>
      <c r="AJ29" s="41">
        <f>IF(AND(AG29&lt;&gt;"",P29&lt;&gt;""),(AG29-P29)/ABS(IF(P29=0,1,P29)),"")</f>
        <v/>
      </c>
      <c r="AK29" s="40">
        <f>IF(AND(AH29&lt;&gt;"",Q29&lt;&gt;""),AH29-Q29,"")</f>
        <v/>
      </c>
      <c r="AL29" s="40">
        <f>IF(H29&lt;&gt;"",H29,"")</f>
        <v/>
      </c>
      <c r="AM29" s="41">
        <f>IF(AND(AL29&lt;&gt;"",C29&gt;0),(AL29-C29)/C29,"")</f>
        <v/>
      </c>
      <c r="AN29" s="41">
        <f>IF(AND(AL29&lt;&gt;"",AL29&gt;0),(AL29-C29)/AL29,"")</f>
        <v/>
      </c>
      <c r="AO29" s="40">
        <f>IF(AND(AL29&lt;&gt;"",C29&gt;0),AL29-C29,"")</f>
        <v/>
      </c>
      <c r="AP29" s="41">
        <f>IF(AND(AL29&lt;&gt;"",D29&gt;0),(AL29-D29)/D29,"")</f>
        <v/>
      </c>
      <c r="AQ29" s="41">
        <f>IF(AND(AN29&lt;&gt;"",P29&lt;&gt;""),(AN29-P29)/ABS(IF(P29=0,1,P29)),"")</f>
        <v/>
      </c>
      <c r="AR29" s="40">
        <f>IF(AND(AO29&lt;&gt;"",Q29&lt;&gt;""),AO29-Q29,"")</f>
        <v/>
      </c>
      <c r="AS29" s="44" t="n"/>
      <c r="AT29" s="41">
        <f>IF(AND(AS29&gt;0,C29&gt;0),(AS29-C29)/C29,"")</f>
        <v/>
      </c>
      <c r="AU29" s="41">
        <f>IF(AND(AS29&gt;0,AS29&gt;0),(AS29-C29)/AS29,"")</f>
        <v/>
      </c>
      <c r="AV29" s="40">
        <f>IF(AND(AS29&gt;0,C29&gt;0),AS29-C29,"")</f>
        <v/>
      </c>
      <c r="AW29" s="41">
        <f>IF(AND(AS29&gt;0,D29&gt;0),(AS29-D29)/D29,"")</f>
        <v/>
      </c>
      <c r="AX29" s="41">
        <f>IF(AND(AU29&lt;&gt;"",P29&lt;&gt;""),(AU29-P29)/ABS(IF(P29=0,1,P29)),"")</f>
        <v/>
      </c>
      <c r="AY29" s="40">
        <f>IF(AND(AV29&lt;&gt;"",Q29&lt;&gt;""),AV29-Q29,"")</f>
        <v/>
      </c>
      <c r="AZ29" s="45" t="n"/>
      <c r="BA29" s="40">
        <f>IF(AND(AZ29&gt;0,C29&gt;0),C29/(1-AZ29),"")</f>
        <v/>
      </c>
      <c r="BB29" s="41">
        <f>IF(AND(BA29&lt;&gt;"",C29&gt;0),(BA29-C29)/C29,"")</f>
        <v/>
      </c>
      <c r="BC29" s="41">
        <f>IF(BA29&lt;&gt;"",AZ29,"")</f>
        <v/>
      </c>
      <c r="BD29" s="40">
        <f>IF(AND(BA29&lt;&gt;"",C29&gt;0),BA29-C29,"")</f>
        <v/>
      </c>
      <c r="BE29" s="41">
        <f>IF(AND(BA29&lt;&gt;"",D29&gt;0),(BA29-D29)/D29,"")</f>
        <v/>
      </c>
      <c r="BF29" s="41">
        <f>IF(AND(BC29&lt;&gt;"",P29&lt;&gt;""),(BC29-P29)/ABS(IF(P29=0,1,P29)),"")</f>
        <v/>
      </c>
      <c r="BG29" s="40">
        <f>IF(AND(BD29&lt;&gt;"",Q29&lt;&gt;""),BD29-Q29,"")</f>
        <v/>
      </c>
      <c r="BH29" s="40">
        <f>IF(AND(T29&gt;0,X29&lt;&gt;""),T29*X29,"")</f>
        <v/>
      </c>
      <c r="BI29" s="40">
        <f>IF(AND(T29&gt;0,AA29&lt;&gt;""),T29*AA29,"")</f>
        <v/>
      </c>
      <c r="BJ29" s="40">
        <f>IF(AND(T29&gt;0,AE29&lt;&gt;""),T29*AE29,"")</f>
        <v/>
      </c>
      <c r="BK29" s="40">
        <f>IF(AND(T29&gt;0,AH29&lt;&gt;""),T29*AH29,"")</f>
        <v/>
      </c>
      <c r="BL29" s="40">
        <f>IF(AND(T29&gt;0,AL29&lt;&gt;""),T29*AL29,"")</f>
        <v/>
      </c>
      <c r="BM29" s="40">
        <f>IF(AND(T29&gt;0,AO29&lt;&gt;""),T29*AO29,"")</f>
        <v/>
      </c>
      <c r="BN29" s="40">
        <f>IF(AND(T29&gt;0,AS29&gt;0),T29*AS29,"")</f>
        <v/>
      </c>
      <c r="BO29" s="40">
        <f>IF(AND(T29&gt;0,AV29&lt;&gt;""),T29*AV29,"")</f>
        <v/>
      </c>
      <c r="BP29" s="40">
        <f>IF(AND(T29&gt;0,BA29&lt;&gt;""),T29*BA29,"")</f>
        <v/>
      </c>
      <c r="BQ29" s="40">
        <f>IF(AND(T29&gt;0,BD29&lt;&gt;""),T29*BD29,"")</f>
        <v/>
      </c>
      <c r="BR29" s="46">
        <f>IF(AND(T29&gt;0,V29&gt;0,AA29&lt;&gt;0),V29/AA29-T29,"")</f>
        <v/>
      </c>
      <c r="BS29" s="41">
        <f>IF(AND(BR29&lt;&gt;"",T29&gt;0),BR29/T29,"")</f>
        <v/>
      </c>
      <c r="BT29" s="46">
        <f>IF(AND(T29&gt;0,V29&gt;0,AO29&lt;&gt;0),V29/AO29-T29,"")</f>
        <v/>
      </c>
      <c r="BU29" s="41">
        <f>IF(AND(BT29&lt;&gt;"",T29&gt;0),BT29/T29,"")</f>
        <v/>
      </c>
    </row>
    <row r="30">
      <c r="A30" s="36">
        <f>'📊 Исходные данные'!A29</f>
        <v/>
      </c>
      <c r="B30" s="37">
        <f>'📊 Исходные данные'!B29</f>
        <v/>
      </c>
      <c r="C30" s="38">
        <f>'📊 Исходные данные'!C29</f>
        <v/>
      </c>
      <c r="D30" s="38">
        <f>'📊 Исходные данные'!D29</f>
        <v/>
      </c>
      <c r="E30" s="39">
        <f>IF(OR(D30="",F30=""),"-",IF(D30&gt;F30*1.05,"Выше рынка",IF(D30&lt;F30*0.95,"Ниже рынка","На уровне")))</f>
        <v/>
      </c>
      <c r="F30" s="40">
        <f>IFERROR(AVERAGE('📊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G30" s="40">
        <f>IFERROR(MEDIAN('📊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H30" s="40">
        <f>IFERROR(MIN('📊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I30" s="40">
        <f>IFERROR(MAX('📊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данные'!K29),"")</f>
        <v/>
      </c>
      <c r="J30" s="41">
        <f>IF(AND(D30&lt;&gt;"",F30&lt;&gt;""),(D30-F30)/F30,"")</f>
        <v/>
      </c>
      <c r="K30" s="41">
        <f>IF(AND(D30&lt;&gt;"",G30&lt;&gt;""),(D30-G30)/G30,"")</f>
        <v/>
      </c>
      <c r="L30" s="41">
        <f>IF(AND(D30&lt;&gt;"",H30&lt;&gt;""),(D30-H30)/H30,"")</f>
        <v/>
      </c>
      <c r="M30" s="42">
        <f>IFERROR(RANK(D30,('📊 Исходные данные'!E29,'📊 Исходные данные'!F29,'📊 Исходные данные'!G29,'📊 Исходные данные'!H29,'📊 Исходные данные'!I29,'📊 Исходные данные'!J29,'📊 Исходные данные'!K29)),"")</f>
        <v/>
      </c>
      <c r="N30" s="39">
        <f>IF(M30="","-",IF(M30=1,"Дороже всех",IF(M30=2,"2-й по цене",IF(M30&lt;=4,"Средний","Ниже конкурентов"))))</f>
        <v/>
      </c>
      <c r="O30" s="41">
        <f>IF(AND(C30&gt;0,D30&gt;0),(D30-C30)/C30,"")</f>
        <v/>
      </c>
      <c r="P30" s="41">
        <f>IF(AND(C30&gt;0,D30&gt;0),(D30-C30)/D30,"")</f>
        <v/>
      </c>
      <c r="Q30" s="40">
        <f>IF(AND(C30&gt;0,D30&gt;0),D30-C30,"")</f>
        <v/>
      </c>
      <c r="R30" s="39">
        <f>IF(P30="","-",IF(P30&lt;0.1,"Низкая(&lt;10%)",IF(P30&lt;0.2,"Средняя(10-20%)","Хорошая(&gt;20%)")))</f>
        <v/>
      </c>
      <c r="S30" s="39">
        <f>IF(OR(H30="",C30=""),"-",IF((H30-C30)/H30&lt;0.05,"КРИТИЧНО",IF((H30-C30)/H30&lt;0.15,"УМЕРЕННЫЙ","НИЗКИЙ")))</f>
        <v/>
      </c>
      <c r="T30" s="43" t="n"/>
      <c r="U30" s="40">
        <f>IF(T30&gt;0,T30*D30,"")</f>
        <v/>
      </c>
      <c r="V30" s="40">
        <f>IF(T30&gt;0,T30*Q30,"")</f>
        <v/>
      </c>
      <c r="W30" s="41">
        <f>IF(U30&gt;0,V30/U30,"")</f>
        <v/>
      </c>
      <c r="X30" s="40">
        <f>IF(F30&lt;&gt;"",F30,"")</f>
        <v/>
      </c>
      <c r="Y30" s="41">
        <f>IF(AND(X30&lt;&gt;"",C30&gt;0),(X30-C30)/C30,"")</f>
        <v/>
      </c>
      <c r="Z30" s="41">
        <f>IF(AND(X30&lt;&gt;"",X30&gt;0),(X30-C30)/X30,"")</f>
        <v/>
      </c>
      <c r="AA30" s="40">
        <f>IF(AND(X30&lt;&gt;"",C30&gt;0),X30-C30,"")</f>
        <v/>
      </c>
      <c r="AB30" s="41">
        <f>IF(AND(X30&lt;&gt;"",D30&gt;0),(X30-D30)/D30,"")</f>
        <v/>
      </c>
      <c r="AC30" s="41">
        <f>IF(AND(Z30&lt;&gt;"",P30&lt;&gt;""),(Z30-P30)/ABS(IF(P30=0,1,P30)),"")</f>
        <v/>
      </c>
      <c r="AD30" s="40">
        <f>IF(AND(AA30&lt;&gt;"",Q30&lt;&gt;""),AA30-Q30,"")</f>
        <v/>
      </c>
      <c r="AE30" s="40">
        <f>IF(G30&lt;&gt;"",G30,"")</f>
        <v/>
      </c>
      <c r="AF30" s="41">
        <f>IF(AND(AE30&lt;&gt;"",C30&gt;0),(AE30-C30)/C30,"")</f>
        <v/>
      </c>
      <c r="AG30" s="41">
        <f>IF(AND(AE30&lt;&gt;"",AE30&gt;0),(AE30-C30)/AE30,"")</f>
        <v/>
      </c>
      <c r="AH30" s="40">
        <f>IF(AND(AE30&lt;&gt;"",C30&gt;0),AE30-C30,"")</f>
        <v/>
      </c>
      <c r="AI30" s="41">
        <f>IF(AND(AE30&lt;&gt;"",D30&gt;0),(AE30-D30)/D30,"")</f>
        <v/>
      </c>
      <c r="AJ30" s="41">
        <f>IF(AND(AG30&lt;&gt;"",P30&lt;&gt;""),(AG30-P30)/ABS(IF(P30=0,1,P30)),"")</f>
        <v/>
      </c>
      <c r="AK30" s="40">
        <f>IF(AND(AH30&lt;&gt;"",Q30&lt;&gt;""),AH30-Q30,"")</f>
        <v/>
      </c>
      <c r="AL30" s="40">
        <f>IF(H30&lt;&gt;"",H30,"")</f>
        <v/>
      </c>
      <c r="AM30" s="41">
        <f>IF(AND(AL30&lt;&gt;"",C30&gt;0),(AL30-C30)/C30,"")</f>
        <v/>
      </c>
      <c r="AN30" s="41">
        <f>IF(AND(AL30&lt;&gt;"",AL30&gt;0),(AL30-C30)/AL30,"")</f>
        <v/>
      </c>
      <c r="AO30" s="40">
        <f>IF(AND(AL30&lt;&gt;"",C30&gt;0),AL30-C30,"")</f>
        <v/>
      </c>
      <c r="AP30" s="41">
        <f>IF(AND(AL30&lt;&gt;"",D30&gt;0),(AL30-D30)/D30,"")</f>
        <v/>
      </c>
      <c r="AQ30" s="41">
        <f>IF(AND(AN30&lt;&gt;"",P30&lt;&gt;""),(AN30-P30)/ABS(IF(P30=0,1,P30)),"")</f>
        <v/>
      </c>
      <c r="AR30" s="40">
        <f>IF(AND(AO30&lt;&gt;"",Q30&lt;&gt;""),AO30-Q30,"")</f>
        <v/>
      </c>
      <c r="AS30" s="44" t="n"/>
      <c r="AT30" s="41">
        <f>IF(AND(AS30&gt;0,C30&gt;0),(AS30-C30)/C30,"")</f>
        <v/>
      </c>
      <c r="AU30" s="41">
        <f>IF(AND(AS30&gt;0,AS30&gt;0),(AS30-C30)/AS30,"")</f>
        <v/>
      </c>
      <c r="AV30" s="40">
        <f>IF(AND(AS30&gt;0,C30&gt;0),AS30-C30,"")</f>
        <v/>
      </c>
      <c r="AW30" s="41">
        <f>IF(AND(AS30&gt;0,D30&gt;0),(AS30-D30)/D30,"")</f>
        <v/>
      </c>
      <c r="AX30" s="41">
        <f>IF(AND(AU30&lt;&gt;"",P30&lt;&gt;""),(AU30-P30)/ABS(IF(P30=0,1,P30)),"")</f>
        <v/>
      </c>
      <c r="AY30" s="40">
        <f>IF(AND(AV30&lt;&gt;"",Q30&lt;&gt;""),AV30-Q30,"")</f>
        <v/>
      </c>
      <c r="AZ30" s="45" t="n"/>
      <c r="BA30" s="40">
        <f>IF(AND(AZ30&gt;0,C30&gt;0),C30/(1-AZ30),"")</f>
        <v/>
      </c>
      <c r="BB30" s="41">
        <f>IF(AND(BA30&lt;&gt;"",C30&gt;0),(BA30-C30)/C30,"")</f>
        <v/>
      </c>
      <c r="BC30" s="41">
        <f>IF(BA30&lt;&gt;"",AZ30,"")</f>
        <v/>
      </c>
      <c r="BD30" s="40">
        <f>IF(AND(BA30&lt;&gt;"",C30&gt;0),BA30-C30,"")</f>
        <v/>
      </c>
      <c r="BE30" s="41">
        <f>IF(AND(BA30&lt;&gt;"",D30&gt;0),(BA30-D30)/D30,"")</f>
        <v/>
      </c>
      <c r="BF30" s="41">
        <f>IF(AND(BC30&lt;&gt;"",P30&lt;&gt;""),(BC30-P30)/ABS(IF(P30=0,1,P30)),"")</f>
        <v/>
      </c>
      <c r="BG30" s="40">
        <f>IF(AND(BD30&lt;&gt;"",Q30&lt;&gt;""),BD30-Q30,"")</f>
        <v/>
      </c>
      <c r="BH30" s="40">
        <f>IF(AND(T30&gt;0,X30&lt;&gt;""),T30*X30,"")</f>
        <v/>
      </c>
      <c r="BI30" s="40">
        <f>IF(AND(T30&gt;0,AA30&lt;&gt;""),T30*AA30,"")</f>
        <v/>
      </c>
      <c r="BJ30" s="40">
        <f>IF(AND(T30&gt;0,AE30&lt;&gt;""),T30*AE30,"")</f>
        <v/>
      </c>
      <c r="BK30" s="40">
        <f>IF(AND(T30&gt;0,AH30&lt;&gt;""),T30*AH30,"")</f>
        <v/>
      </c>
      <c r="BL30" s="40">
        <f>IF(AND(T30&gt;0,AL30&lt;&gt;""),T30*AL30,"")</f>
        <v/>
      </c>
      <c r="BM30" s="40">
        <f>IF(AND(T30&gt;0,AO30&lt;&gt;""),T30*AO30,"")</f>
        <v/>
      </c>
      <c r="BN30" s="40">
        <f>IF(AND(T30&gt;0,AS30&gt;0),T30*AS30,"")</f>
        <v/>
      </c>
      <c r="BO30" s="40">
        <f>IF(AND(T30&gt;0,AV30&lt;&gt;""),T30*AV30,"")</f>
        <v/>
      </c>
      <c r="BP30" s="40">
        <f>IF(AND(T30&gt;0,BA30&lt;&gt;""),T30*BA30,"")</f>
        <v/>
      </c>
      <c r="BQ30" s="40">
        <f>IF(AND(T30&gt;0,BD30&lt;&gt;""),T30*BD30,"")</f>
        <v/>
      </c>
      <c r="BR30" s="46">
        <f>IF(AND(T30&gt;0,V30&gt;0,AA30&lt;&gt;0),V30/AA30-T30,"")</f>
        <v/>
      </c>
      <c r="BS30" s="41">
        <f>IF(AND(BR30&lt;&gt;"",T30&gt;0),BR30/T30,"")</f>
        <v/>
      </c>
      <c r="BT30" s="46">
        <f>IF(AND(T30&gt;0,V30&gt;0,AO30&lt;&gt;0),V30/AO30-T30,"")</f>
        <v/>
      </c>
      <c r="BU30" s="41">
        <f>IF(AND(BT30&lt;&gt;"",T30&gt;0),BT30/T30,"")</f>
        <v/>
      </c>
    </row>
    <row r="31">
      <c r="A31" s="36">
        <f>'📊 Исходные данные'!A30</f>
        <v/>
      </c>
      <c r="B31" s="37">
        <f>'📊 Исходные данные'!B30</f>
        <v/>
      </c>
      <c r="C31" s="38">
        <f>'📊 Исходные данные'!C30</f>
        <v/>
      </c>
      <c r="D31" s="38">
        <f>'📊 Исходные данные'!D30</f>
        <v/>
      </c>
      <c r="E31" s="39">
        <f>IF(OR(D31="",F31=""),"-",IF(D31&gt;F31*1.05,"Выше рынка",IF(D31&lt;F31*0.95,"Ниже рынка","На уровне")))</f>
        <v/>
      </c>
      <c r="F31" s="40">
        <f>IFERROR(AVERAGE('📊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G31" s="40">
        <f>IFERROR(MEDIAN('📊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H31" s="40">
        <f>IFERROR(MIN('📊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I31" s="40">
        <f>IFERROR(MAX('📊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данные'!K30),"")</f>
        <v/>
      </c>
      <c r="J31" s="41">
        <f>IF(AND(D31&lt;&gt;"",F31&lt;&gt;""),(D31-F31)/F31,"")</f>
        <v/>
      </c>
      <c r="K31" s="41">
        <f>IF(AND(D31&lt;&gt;"",G31&lt;&gt;""),(D31-G31)/G31,"")</f>
        <v/>
      </c>
      <c r="L31" s="41">
        <f>IF(AND(D31&lt;&gt;"",H31&lt;&gt;""),(D31-H31)/H31,"")</f>
        <v/>
      </c>
      <c r="M31" s="42">
        <f>IFERROR(RANK(D31,('📊 Исходные данные'!E30,'📊 Исходные данные'!F30,'📊 Исходные данные'!G30,'📊 Исходные данные'!H30,'📊 Исходные данные'!I30,'📊 Исходные данные'!J30,'📊 Исходные данные'!K30)),"")</f>
        <v/>
      </c>
      <c r="N31" s="39">
        <f>IF(M31="","-",IF(M31=1,"Дороже всех",IF(M31=2,"2-й по цене",IF(M31&lt;=4,"Средний","Ниже конкурентов"))))</f>
        <v/>
      </c>
      <c r="O31" s="41">
        <f>IF(AND(C31&gt;0,D31&gt;0),(D31-C31)/C31,"")</f>
        <v/>
      </c>
      <c r="P31" s="41">
        <f>IF(AND(C31&gt;0,D31&gt;0),(D31-C31)/D31,"")</f>
        <v/>
      </c>
      <c r="Q31" s="40">
        <f>IF(AND(C31&gt;0,D31&gt;0),D31-C31,"")</f>
        <v/>
      </c>
      <c r="R31" s="39">
        <f>IF(P31="","-",IF(P31&lt;0.1,"Низкая(&lt;10%)",IF(P31&lt;0.2,"Средняя(10-20%)","Хорошая(&gt;20%)")))</f>
        <v/>
      </c>
      <c r="S31" s="39">
        <f>IF(OR(H31="",C31=""),"-",IF((H31-C31)/H31&lt;0.05,"КРИТИЧНО",IF((H31-C31)/H31&lt;0.15,"УМЕРЕННЫЙ","НИЗКИЙ")))</f>
        <v/>
      </c>
      <c r="T31" s="43" t="n"/>
      <c r="U31" s="40">
        <f>IF(T31&gt;0,T31*D31,"")</f>
        <v/>
      </c>
      <c r="V31" s="40">
        <f>IF(T31&gt;0,T31*Q31,"")</f>
        <v/>
      </c>
      <c r="W31" s="41">
        <f>IF(U31&gt;0,V31/U31,"")</f>
        <v/>
      </c>
      <c r="X31" s="40">
        <f>IF(F31&lt;&gt;"",F31,"")</f>
        <v/>
      </c>
      <c r="Y31" s="41">
        <f>IF(AND(X31&lt;&gt;"",C31&gt;0),(X31-C31)/C31,"")</f>
        <v/>
      </c>
      <c r="Z31" s="41">
        <f>IF(AND(X31&lt;&gt;"",X31&gt;0),(X31-C31)/X31,"")</f>
        <v/>
      </c>
      <c r="AA31" s="40">
        <f>IF(AND(X31&lt;&gt;"",C31&gt;0),X31-C31,"")</f>
        <v/>
      </c>
      <c r="AB31" s="41">
        <f>IF(AND(X31&lt;&gt;"",D31&gt;0),(X31-D31)/D31,"")</f>
        <v/>
      </c>
      <c r="AC31" s="41">
        <f>IF(AND(Z31&lt;&gt;"",P31&lt;&gt;""),(Z31-P31)/ABS(IF(P31=0,1,P31)),"")</f>
        <v/>
      </c>
      <c r="AD31" s="40">
        <f>IF(AND(AA31&lt;&gt;"",Q31&lt;&gt;""),AA31-Q31,"")</f>
        <v/>
      </c>
      <c r="AE31" s="40">
        <f>IF(G31&lt;&gt;"",G31,"")</f>
        <v/>
      </c>
      <c r="AF31" s="41">
        <f>IF(AND(AE31&lt;&gt;"",C31&gt;0),(AE31-C31)/C31,"")</f>
        <v/>
      </c>
      <c r="AG31" s="41">
        <f>IF(AND(AE31&lt;&gt;"",AE31&gt;0),(AE31-C31)/AE31,"")</f>
        <v/>
      </c>
      <c r="AH31" s="40">
        <f>IF(AND(AE31&lt;&gt;"",C31&gt;0),AE31-C31,"")</f>
        <v/>
      </c>
      <c r="AI31" s="41">
        <f>IF(AND(AE31&lt;&gt;"",D31&gt;0),(AE31-D31)/D31,"")</f>
        <v/>
      </c>
      <c r="AJ31" s="41">
        <f>IF(AND(AG31&lt;&gt;"",P31&lt;&gt;""),(AG31-P31)/ABS(IF(P31=0,1,P31)),"")</f>
        <v/>
      </c>
      <c r="AK31" s="40">
        <f>IF(AND(AH31&lt;&gt;"",Q31&lt;&gt;""),AH31-Q31,"")</f>
        <v/>
      </c>
      <c r="AL31" s="40">
        <f>IF(H31&lt;&gt;"",H31,"")</f>
        <v/>
      </c>
      <c r="AM31" s="41">
        <f>IF(AND(AL31&lt;&gt;"",C31&gt;0),(AL31-C31)/C31,"")</f>
        <v/>
      </c>
      <c r="AN31" s="41">
        <f>IF(AND(AL31&lt;&gt;"",AL31&gt;0),(AL31-C31)/AL31,"")</f>
        <v/>
      </c>
      <c r="AO31" s="40">
        <f>IF(AND(AL31&lt;&gt;"",C31&gt;0),AL31-C31,"")</f>
        <v/>
      </c>
      <c r="AP31" s="41">
        <f>IF(AND(AL31&lt;&gt;"",D31&gt;0),(AL31-D31)/D31,"")</f>
        <v/>
      </c>
      <c r="AQ31" s="41">
        <f>IF(AND(AN31&lt;&gt;"",P31&lt;&gt;""),(AN31-P31)/ABS(IF(P31=0,1,P31)),"")</f>
        <v/>
      </c>
      <c r="AR31" s="40">
        <f>IF(AND(AO31&lt;&gt;"",Q31&lt;&gt;""),AO31-Q31,"")</f>
        <v/>
      </c>
      <c r="AS31" s="44" t="n"/>
      <c r="AT31" s="41">
        <f>IF(AND(AS31&gt;0,C31&gt;0),(AS31-C31)/C31,"")</f>
        <v/>
      </c>
      <c r="AU31" s="41">
        <f>IF(AND(AS31&gt;0,AS31&gt;0),(AS31-C31)/AS31,"")</f>
        <v/>
      </c>
      <c r="AV31" s="40">
        <f>IF(AND(AS31&gt;0,C31&gt;0),AS31-C31,"")</f>
        <v/>
      </c>
      <c r="AW31" s="41">
        <f>IF(AND(AS31&gt;0,D31&gt;0),(AS31-D31)/D31,"")</f>
        <v/>
      </c>
      <c r="AX31" s="41">
        <f>IF(AND(AU31&lt;&gt;"",P31&lt;&gt;""),(AU31-P31)/ABS(IF(P31=0,1,P31)),"")</f>
        <v/>
      </c>
      <c r="AY31" s="40">
        <f>IF(AND(AV31&lt;&gt;"",Q31&lt;&gt;""),AV31-Q31,"")</f>
        <v/>
      </c>
      <c r="AZ31" s="45" t="n"/>
      <c r="BA31" s="40">
        <f>IF(AND(AZ31&gt;0,C31&gt;0),C31/(1-AZ31),"")</f>
        <v/>
      </c>
      <c r="BB31" s="41">
        <f>IF(AND(BA31&lt;&gt;"",C31&gt;0),(BA31-C31)/C31,"")</f>
        <v/>
      </c>
      <c r="BC31" s="41">
        <f>IF(BA31&lt;&gt;"",AZ31,"")</f>
        <v/>
      </c>
      <c r="BD31" s="40">
        <f>IF(AND(BA31&lt;&gt;"",C31&gt;0),BA31-C31,"")</f>
        <v/>
      </c>
      <c r="BE31" s="41">
        <f>IF(AND(BA31&lt;&gt;"",D31&gt;0),(BA31-D31)/D31,"")</f>
        <v/>
      </c>
      <c r="BF31" s="41">
        <f>IF(AND(BC31&lt;&gt;"",P31&lt;&gt;""),(BC31-P31)/ABS(IF(P31=0,1,P31)),"")</f>
        <v/>
      </c>
      <c r="BG31" s="40">
        <f>IF(AND(BD31&lt;&gt;"",Q31&lt;&gt;""),BD31-Q31,"")</f>
        <v/>
      </c>
      <c r="BH31" s="40">
        <f>IF(AND(T31&gt;0,X31&lt;&gt;""),T31*X31,"")</f>
        <v/>
      </c>
      <c r="BI31" s="40">
        <f>IF(AND(T31&gt;0,AA31&lt;&gt;""),T31*AA31,"")</f>
        <v/>
      </c>
      <c r="BJ31" s="40">
        <f>IF(AND(T31&gt;0,AE31&lt;&gt;""),T31*AE31,"")</f>
        <v/>
      </c>
      <c r="BK31" s="40">
        <f>IF(AND(T31&gt;0,AH31&lt;&gt;""),T31*AH31,"")</f>
        <v/>
      </c>
      <c r="BL31" s="40">
        <f>IF(AND(T31&gt;0,AL31&lt;&gt;""),T31*AL31,"")</f>
        <v/>
      </c>
      <c r="BM31" s="40">
        <f>IF(AND(T31&gt;0,AO31&lt;&gt;""),T31*AO31,"")</f>
        <v/>
      </c>
      <c r="BN31" s="40">
        <f>IF(AND(T31&gt;0,AS31&gt;0),T31*AS31,"")</f>
        <v/>
      </c>
      <c r="BO31" s="40">
        <f>IF(AND(T31&gt;0,AV31&lt;&gt;""),T31*AV31,"")</f>
        <v/>
      </c>
      <c r="BP31" s="40">
        <f>IF(AND(T31&gt;0,BA31&lt;&gt;""),T31*BA31,"")</f>
        <v/>
      </c>
      <c r="BQ31" s="40">
        <f>IF(AND(T31&gt;0,BD31&lt;&gt;""),T31*BD31,"")</f>
        <v/>
      </c>
      <c r="BR31" s="46">
        <f>IF(AND(T31&gt;0,V31&gt;0,AA31&lt;&gt;0),V31/AA31-T31,"")</f>
        <v/>
      </c>
      <c r="BS31" s="41">
        <f>IF(AND(BR31&lt;&gt;"",T31&gt;0),BR31/T31,"")</f>
        <v/>
      </c>
      <c r="BT31" s="46">
        <f>IF(AND(T31&gt;0,V31&gt;0,AO31&lt;&gt;0),V31/AO31-T31,"")</f>
        <v/>
      </c>
      <c r="BU31" s="41">
        <f>IF(AND(BT31&lt;&gt;"",T31&gt;0),BT31/T31,"")</f>
        <v/>
      </c>
    </row>
    <row r="32">
      <c r="A32" s="36">
        <f>'📊 Исходные данные'!A31</f>
        <v/>
      </c>
      <c r="B32" s="37">
        <f>'📊 Исходные данные'!B31</f>
        <v/>
      </c>
      <c r="C32" s="38">
        <f>'📊 Исходные данные'!C31</f>
        <v/>
      </c>
      <c r="D32" s="38">
        <f>'📊 Исходные данные'!D31</f>
        <v/>
      </c>
      <c r="E32" s="39">
        <f>IF(OR(D32="",F32=""),"-",IF(D32&gt;F32*1.05,"Выше рынка",IF(D32&lt;F32*0.95,"Ниже рынка","На уровне")))</f>
        <v/>
      </c>
      <c r="F32" s="40">
        <f>IFERROR(AVERAGE('📊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G32" s="40">
        <f>IFERROR(MEDIAN('📊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H32" s="40">
        <f>IFERROR(MIN('📊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I32" s="40">
        <f>IFERROR(MAX('📊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данные'!K31),"")</f>
        <v/>
      </c>
      <c r="J32" s="41">
        <f>IF(AND(D32&lt;&gt;"",F32&lt;&gt;""),(D32-F32)/F32,"")</f>
        <v/>
      </c>
      <c r="K32" s="41">
        <f>IF(AND(D32&lt;&gt;"",G32&lt;&gt;""),(D32-G32)/G32,"")</f>
        <v/>
      </c>
      <c r="L32" s="41">
        <f>IF(AND(D32&lt;&gt;"",H32&lt;&gt;""),(D32-H32)/H32,"")</f>
        <v/>
      </c>
      <c r="M32" s="42">
        <f>IFERROR(RANK(D32,('📊 Исходные данные'!E31,'📊 Исходные данные'!F31,'📊 Исходные данные'!G31,'📊 Исходные данные'!H31,'📊 Исходные данные'!I31,'📊 Исходные данные'!J31,'📊 Исходные данные'!K31)),"")</f>
        <v/>
      </c>
      <c r="N32" s="39">
        <f>IF(M32="","-",IF(M32=1,"Дороже всех",IF(M32=2,"2-й по цене",IF(M32&lt;=4,"Средний","Ниже конкурентов"))))</f>
        <v/>
      </c>
      <c r="O32" s="41">
        <f>IF(AND(C32&gt;0,D32&gt;0),(D32-C32)/C32,"")</f>
        <v/>
      </c>
      <c r="P32" s="41">
        <f>IF(AND(C32&gt;0,D32&gt;0),(D32-C32)/D32,"")</f>
        <v/>
      </c>
      <c r="Q32" s="40">
        <f>IF(AND(C32&gt;0,D32&gt;0),D32-C32,"")</f>
        <v/>
      </c>
      <c r="R32" s="39">
        <f>IF(P32="","-",IF(P32&lt;0.1,"Низкая(&lt;10%)",IF(P32&lt;0.2,"Средняя(10-20%)","Хорошая(&gt;20%)")))</f>
        <v/>
      </c>
      <c r="S32" s="39">
        <f>IF(OR(H32="",C32=""),"-",IF((H32-C32)/H32&lt;0.05,"КРИТИЧНО",IF((H32-C32)/H32&lt;0.15,"УМЕРЕННЫЙ","НИЗКИЙ")))</f>
        <v/>
      </c>
      <c r="T32" s="43" t="n"/>
      <c r="U32" s="40">
        <f>IF(T32&gt;0,T32*D32,"")</f>
        <v/>
      </c>
      <c r="V32" s="40">
        <f>IF(T32&gt;0,T32*Q32,"")</f>
        <v/>
      </c>
      <c r="W32" s="41">
        <f>IF(U32&gt;0,V32/U32,"")</f>
        <v/>
      </c>
      <c r="X32" s="40">
        <f>IF(F32&lt;&gt;"",F32,"")</f>
        <v/>
      </c>
      <c r="Y32" s="41">
        <f>IF(AND(X32&lt;&gt;"",C32&gt;0),(X32-C32)/C32,"")</f>
        <v/>
      </c>
      <c r="Z32" s="41">
        <f>IF(AND(X32&lt;&gt;"",X32&gt;0),(X32-C32)/X32,"")</f>
        <v/>
      </c>
      <c r="AA32" s="40">
        <f>IF(AND(X32&lt;&gt;"",C32&gt;0),X32-C32,"")</f>
        <v/>
      </c>
      <c r="AB32" s="41">
        <f>IF(AND(X32&lt;&gt;"",D32&gt;0),(X32-D32)/D32,"")</f>
        <v/>
      </c>
      <c r="AC32" s="41">
        <f>IF(AND(Z32&lt;&gt;"",P32&lt;&gt;""),(Z32-P32)/ABS(IF(P32=0,1,P32)),"")</f>
        <v/>
      </c>
      <c r="AD32" s="40">
        <f>IF(AND(AA32&lt;&gt;"",Q32&lt;&gt;""),AA32-Q32,"")</f>
        <v/>
      </c>
      <c r="AE32" s="40">
        <f>IF(G32&lt;&gt;"",G32,"")</f>
        <v/>
      </c>
      <c r="AF32" s="41">
        <f>IF(AND(AE32&lt;&gt;"",C32&gt;0),(AE32-C32)/C32,"")</f>
        <v/>
      </c>
      <c r="AG32" s="41">
        <f>IF(AND(AE32&lt;&gt;"",AE32&gt;0),(AE32-C32)/AE32,"")</f>
        <v/>
      </c>
      <c r="AH32" s="40">
        <f>IF(AND(AE32&lt;&gt;"",C32&gt;0),AE32-C32,"")</f>
        <v/>
      </c>
      <c r="AI32" s="41">
        <f>IF(AND(AE32&lt;&gt;"",D32&gt;0),(AE32-D32)/D32,"")</f>
        <v/>
      </c>
      <c r="AJ32" s="41">
        <f>IF(AND(AG32&lt;&gt;"",P32&lt;&gt;""),(AG32-P32)/ABS(IF(P32=0,1,P32)),"")</f>
        <v/>
      </c>
      <c r="AK32" s="40">
        <f>IF(AND(AH32&lt;&gt;"",Q32&lt;&gt;""),AH32-Q32,"")</f>
        <v/>
      </c>
      <c r="AL32" s="40">
        <f>IF(H32&lt;&gt;"",H32,"")</f>
        <v/>
      </c>
      <c r="AM32" s="41">
        <f>IF(AND(AL32&lt;&gt;"",C32&gt;0),(AL32-C32)/C32,"")</f>
        <v/>
      </c>
      <c r="AN32" s="41">
        <f>IF(AND(AL32&lt;&gt;"",AL32&gt;0),(AL32-C32)/AL32,"")</f>
        <v/>
      </c>
      <c r="AO32" s="40">
        <f>IF(AND(AL32&lt;&gt;"",C32&gt;0),AL32-C32,"")</f>
        <v/>
      </c>
      <c r="AP32" s="41">
        <f>IF(AND(AL32&lt;&gt;"",D32&gt;0),(AL32-D32)/D32,"")</f>
        <v/>
      </c>
      <c r="AQ32" s="41">
        <f>IF(AND(AN32&lt;&gt;"",P32&lt;&gt;""),(AN32-P32)/ABS(IF(P32=0,1,P32)),"")</f>
        <v/>
      </c>
      <c r="AR32" s="40">
        <f>IF(AND(AO32&lt;&gt;"",Q32&lt;&gt;""),AO32-Q32,"")</f>
        <v/>
      </c>
      <c r="AS32" s="44" t="n"/>
      <c r="AT32" s="41">
        <f>IF(AND(AS32&gt;0,C32&gt;0),(AS32-C32)/C32,"")</f>
        <v/>
      </c>
      <c r="AU32" s="41">
        <f>IF(AND(AS32&gt;0,AS32&gt;0),(AS32-C32)/AS32,"")</f>
        <v/>
      </c>
      <c r="AV32" s="40">
        <f>IF(AND(AS32&gt;0,C32&gt;0),AS32-C32,"")</f>
        <v/>
      </c>
      <c r="AW32" s="41">
        <f>IF(AND(AS32&gt;0,D32&gt;0),(AS32-D32)/D32,"")</f>
        <v/>
      </c>
      <c r="AX32" s="41">
        <f>IF(AND(AU32&lt;&gt;"",P32&lt;&gt;""),(AU32-P32)/ABS(IF(P32=0,1,P32)),"")</f>
        <v/>
      </c>
      <c r="AY32" s="40">
        <f>IF(AND(AV32&lt;&gt;"",Q32&lt;&gt;""),AV32-Q32,"")</f>
        <v/>
      </c>
      <c r="AZ32" s="45" t="n"/>
      <c r="BA32" s="40">
        <f>IF(AND(AZ32&gt;0,C32&gt;0),C32/(1-AZ32),"")</f>
        <v/>
      </c>
      <c r="BB32" s="41">
        <f>IF(AND(BA32&lt;&gt;"",C32&gt;0),(BA32-C32)/C32,"")</f>
        <v/>
      </c>
      <c r="BC32" s="41">
        <f>IF(BA32&lt;&gt;"",AZ32,"")</f>
        <v/>
      </c>
      <c r="BD32" s="40">
        <f>IF(AND(BA32&lt;&gt;"",C32&gt;0),BA32-C32,"")</f>
        <v/>
      </c>
      <c r="BE32" s="41">
        <f>IF(AND(BA32&lt;&gt;"",D32&gt;0),(BA32-D32)/D32,"")</f>
        <v/>
      </c>
      <c r="BF32" s="41">
        <f>IF(AND(BC32&lt;&gt;"",P32&lt;&gt;""),(BC32-P32)/ABS(IF(P32=0,1,P32)),"")</f>
        <v/>
      </c>
      <c r="BG32" s="40">
        <f>IF(AND(BD32&lt;&gt;"",Q32&lt;&gt;""),BD32-Q32,"")</f>
        <v/>
      </c>
      <c r="BH32" s="40">
        <f>IF(AND(T32&gt;0,X32&lt;&gt;""),T32*X32,"")</f>
        <v/>
      </c>
      <c r="BI32" s="40">
        <f>IF(AND(T32&gt;0,AA32&lt;&gt;""),T32*AA32,"")</f>
        <v/>
      </c>
      <c r="BJ32" s="40">
        <f>IF(AND(T32&gt;0,AE32&lt;&gt;""),T32*AE32,"")</f>
        <v/>
      </c>
      <c r="BK32" s="40">
        <f>IF(AND(T32&gt;0,AH32&lt;&gt;""),T32*AH32,"")</f>
        <v/>
      </c>
      <c r="BL32" s="40">
        <f>IF(AND(T32&gt;0,AL32&lt;&gt;""),T32*AL32,"")</f>
        <v/>
      </c>
      <c r="BM32" s="40">
        <f>IF(AND(T32&gt;0,AO32&lt;&gt;""),T32*AO32,"")</f>
        <v/>
      </c>
      <c r="BN32" s="40">
        <f>IF(AND(T32&gt;0,AS32&gt;0),T32*AS32,"")</f>
        <v/>
      </c>
      <c r="BO32" s="40">
        <f>IF(AND(T32&gt;0,AV32&lt;&gt;""),T32*AV32,"")</f>
        <v/>
      </c>
      <c r="BP32" s="40">
        <f>IF(AND(T32&gt;0,BA32&lt;&gt;""),T32*BA32,"")</f>
        <v/>
      </c>
      <c r="BQ32" s="40">
        <f>IF(AND(T32&gt;0,BD32&lt;&gt;""),T32*BD32,"")</f>
        <v/>
      </c>
      <c r="BR32" s="46">
        <f>IF(AND(T32&gt;0,V32&gt;0,AA32&lt;&gt;0),V32/AA32-T32,"")</f>
        <v/>
      </c>
      <c r="BS32" s="41">
        <f>IF(AND(BR32&lt;&gt;"",T32&gt;0),BR32/T32,"")</f>
        <v/>
      </c>
      <c r="BT32" s="46">
        <f>IF(AND(T32&gt;0,V32&gt;0,AO32&lt;&gt;0),V32/AO32-T32,"")</f>
        <v/>
      </c>
      <c r="BU32" s="41">
        <f>IF(AND(BT32&lt;&gt;"",T32&gt;0),BT32/T32,"")</f>
        <v/>
      </c>
    </row>
    <row r="33">
      <c r="A33" s="36">
        <f>'📊 Исходные данные'!A32</f>
        <v/>
      </c>
      <c r="B33" s="37">
        <f>'📊 Исходные данные'!B32</f>
        <v/>
      </c>
      <c r="C33" s="38">
        <f>'📊 Исходные данные'!C32</f>
        <v/>
      </c>
      <c r="D33" s="38">
        <f>'📊 Исходные данные'!D32</f>
        <v/>
      </c>
      <c r="E33" s="39">
        <f>IF(OR(D33="",F33=""),"-",IF(D33&gt;F33*1.05,"Выше рынка",IF(D33&lt;F33*0.95,"Ниже рынка","На уровне")))</f>
        <v/>
      </c>
      <c r="F33" s="40">
        <f>IFERROR(AVERAGE('📊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G33" s="40">
        <f>IFERROR(MEDIAN('📊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H33" s="40">
        <f>IFERROR(MIN('📊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I33" s="40">
        <f>IFERROR(MAX('📊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данные'!K32),"")</f>
        <v/>
      </c>
      <c r="J33" s="41">
        <f>IF(AND(D33&lt;&gt;"",F33&lt;&gt;""),(D33-F33)/F33,"")</f>
        <v/>
      </c>
      <c r="K33" s="41">
        <f>IF(AND(D33&lt;&gt;"",G33&lt;&gt;""),(D33-G33)/G33,"")</f>
        <v/>
      </c>
      <c r="L33" s="41">
        <f>IF(AND(D33&lt;&gt;"",H33&lt;&gt;""),(D33-H33)/H33,"")</f>
        <v/>
      </c>
      <c r="M33" s="42">
        <f>IFERROR(RANK(D33,('📊 Исходные данные'!E32,'📊 Исходные данные'!F32,'📊 Исходные данные'!G32,'📊 Исходные данные'!H32,'📊 Исходные данные'!I32,'📊 Исходные данные'!J32,'📊 Исходные данные'!K32)),"")</f>
        <v/>
      </c>
      <c r="N33" s="39">
        <f>IF(M33="","-",IF(M33=1,"Дороже всех",IF(M33=2,"2-й по цене",IF(M33&lt;=4,"Средний","Ниже конкурентов"))))</f>
        <v/>
      </c>
      <c r="O33" s="41">
        <f>IF(AND(C33&gt;0,D33&gt;0),(D33-C33)/C33,"")</f>
        <v/>
      </c>
      <c r="P33" s="41">
        <f>IF(AND(C33&gt;0,D33&gt;0),(D33-C33)/D33,"")</f>
        <v/>
      </c>
      <c r="Q33" s="40">
        <f>IF(AND(C33&gt;0,D33&gt;0),D33-C33,"")</f>
        <v/>
      </c>
      <c r="R33" s="39">
        <f>IF(P33="","-",IF(P33&lt;0.1,"Низкая(&lt;10%)",IF(P33&lt;0.2,"Средняя(10-20%)","Хорошая(&gt;20%)")))</f>
        <v/>
      </c>
      <c r="S33" s="39">
        <f>IF(OR(H33="",C33=""),"-",IF((H33-C33)/H33&lt;0.05,"КРИТИЧНО",IF((H33-C33)/H33&lt;0.15,"УМЕРЕННЫЙ","НИЗКИЙ")))</f>
        <v/>
      </c>
      <c r="T33" s="43" t="n"/>
      <c r="U33" s="40">
        <f>IF(T33&gt;0,T33*D33,"")</f>
        <v/>
      </c>
      <c r="V33" s="40">
        <f>IF(T33&gt;0,T33*Q33,"")</f>
        <v/>
      </c>
      <c r="W33" s="41">
        <f>IF(U33&gt;0,V33/U33,"")</f>
        <v/>
      </c>
      <c r="X33" s="40">
        <f>IF(F33&lt;&gt;"",F33,"")</f>
        <v/>
      </c>
      <c r="Y33" s="41">
        <f>IF(AND(X33&lt;&gt;"",C33&gt;0),(X33-C33)/C33,"")</f>
        <v/>
      </c>
      <c r="Z33" s="41">
        <f>IF(AND(X33&lt;&gt;"",X33&gt;0),(X33-C33)/X33,"")</f>
        <v/>
      </c>
      <c r="AA33" s="40">
        <f>IF(AND(X33&lt;&gt;"",C33&gt;0),X33-C33,"")</f>
        <v/>
      </c>
      <c r="AB33" s="41">
        <f>IF(AND(X33&lt;&gt;"",D33&gt;0),(X33-D33)/D33,"")</f>
        <v/>
      </c>
      <c r="AC33" s="41">
        <f>IF(AND(Z33&lt;&gt;"",P33&lt;&gt;""),(Z33-P33)/ABS(IF(P33=0,1,P33)),"")</f>
        <v/>
      </c>
      <c r="AD33" s="40">
        <f>IF(AND(AA33&lt;&gt;"",Q33&lt;&gt;""),AA33-Q33,"")</f>
        <v/>
      </c>
      <c r="AE33" s="40">
        <f>IF(G33&lt;&gt;"",G33,"")</f>
        <v/>
      </c>
      <c r="AF33" s="41">
        <f>IF(AND(AE33&lt;&gt;"",C33&gt;0),(AE33-C33)/C33,"")</f>
        <v/>
      </c>
      <c r="AG33" s="41">
        <f>IF(AND(AE33&lt;&gt;"",AE33&gt;0),(AE33-C33)/AE33,"")</f>
        <v/>
      </c>
      <c r="AH33" s="40">
        <f>IF(AND(AE33&lt;&gt;"",C33&gt;0),AE33-C33,"")</f>
        <v/>
      </c>
      <c r="AI33" s="41">
        <f>IF(AND(AE33&lt;&gt;"",D33&gt;0),(AE33-D33)/D33,"")</f>
        <v/>
      </c>
      <c r="AJ33" s="41">
        <f>IF(AND(AG33&lt;&gt;"",P33&lt;&gt;""),(AG33-P33)/ABS(IF(P33=0,1,P33)),"")</f>
        <v/>
      </c>
      <c r="AK33" s="40">
        <f>IF(AND(AH33&lt;&gt;"",Q33&lt;&gt;""),AH33-Q33,"")</f>
        <v/>
      </c>
      <c r="AL33" s="40">
        <f>IF(H33&lt;&gt;"",H33,"")</f>
        <v/>
      </c>
      <c r="AM33" s="41">
        <f>IF(AND(AL33&lt;&gt;"",C33&gt;0),(AL33-C33)/C33,"")</f>
        <v/>
      </c>
      <c r="AN33" s="41">
        <f>IF(AND(AL33&lt;&gt;"",AL33&gt;0),(AL33-C33)/AL33,"")</f>
        <v/>
      </c>
      <c r="AO33" s="40">
        <f>IF(AND(AL33&lt;&gt;"",C33&gt;0),AL33-C33,"")</f>
        <v/>
      </c>
      <c r="AP33" s="41">
        <f>IF(AND(AL33&lt;&gt;"",D33&gt;0),(AL33-D33)/D33,"")</f>
        <v/>
      </c>
      <c r="AQ33" s="41">
        <f>IF(AND(AN33&lt;&gt;"",P33&lt;&gt;""),(AN33-P33)/ABS(IF(P33=0,1,P33)),"")</f>
        <v/>
      </c>
      <c r="AR33" s="40">
        <f>IF(AND(AO33&lt;&gt;"",Q33&lt;&gt;""),AO33-Q33,"")</f>
        <v/>
      </c>
      <c r="AS33" s="44" t="n"/>
      <c r="AT33" s="41">
        <f>IF(AND(AS33&gt;0,C33&gt;0),(AS33-C33)/C33,"")</f>
        <v/>
      </c>
      <c r="AU33" s="41">
        <f>IF(AND(AS33&gt;0,AS33&gt;0),(AS33-C33)/AS33,"")</f>
        <v/>
      </c>
      <c r="AV33" s="40">
        <f>IF(AND(AS33&gt;0,C33&gt;0),AS33-C33,"")</f>
        <v/>
      </c>
      <c r="AW33" s="41">
        <f>IF(AND(AS33&gt;0,D33&gt;0),(AS33-D33)/D33,"")</f>
        <v/>
      </c>
      <c r="AX33" s="41">
        <f>IF(AND(AU33&lt;&gt;"",P33&lt;&gt;""),(AU33-P33)/ABS(IF(P33=0,1,P33)),"")</f>
        <v/>
      </c>
      <c r="AY33" s="40">
        <f>IF(AND(AV33&lt;&gt;"",Q33&lt;&gt;""),AV33-Q33,"")</f>
        <v/>
      </c>
      <c r="AZ33" s="45" t="n"/>
      <c r="BA33" s="40">
        <f>IF(AND(AZ33&gt;0,C33&gt;0),C33/(1-AZ33),"")</f>
        <v/>
      </c>
      <c r="BB33" s="41">
        <f>IF(AND(BA33&lt;&gt;"",C33&gt;0),(BA33-C33)/C33,"")</f>
        <v/>
      </c>
      <c r="BC33" s="41">
        <f>IF(BA33&lt;&gt;"",AZ33,"")</f>
        <v/>
      </c>
      <c r="BD33" s="40">
        <f>IF(AND(BA33&lt;&gt;"",C33&gt;0),BA33-C33,"")</f>
        <v/>
      </c>
      <c r="BE33" s="41">
        <f>IF(AND(BA33&lt;&gt;"",D33&gt;0),(BA33-D33)/D33,"")</f>
        <v/>
      </c>
      <c r="BF33" s="41">
        <f>IF(AND(BC33&lt;&gt;"",P33&lt;&gt;""),(BC33-P33)/ABS(IF(P33=0,1,P33)),"")</f>
        <v/>
      </c>
      <c r="BG33" s="40">
        <f>IF(AND(BD33&lt;&gt;"",Q33&lt;&gt;""),BD33-Q33,"")</f>
        <v/>
      </c>
      <c r="BH33" s="40">
        <f>IF(AND(T33&gt;0,X33&lt;&gt;""),T33*X33,"")</f>
        <v/>
      </c>
      <c r="BI33" s="40">
        <f>IF(AND(T33&gt;0,AA33&lt;&gt;""),T33*AA33,"")</f>
        <v/>
      </c>
      <c r="BJ33" s="40">
        <f>IF(AND(T33&gt;0,AE33&lt;&gt;""),T33*AE33,"")</f>
        <v/>
      </c>
      <c r="BK33" s="40">
        <f>IF(AND(T33&gt;0,AH33&lt;&gt;""),T33*AH33,"")</f>
        <v/>
      </c>
      <c r="BL33" s="40">
        <f>IF(AND(T33&gt;0,AL33&lt;&gt;""),T33*AL33,"")</f>
        <v/>
      </c>
      <c r="BM33" s="40">
        <f>IF(AND(T33&gt;0,AO33&lt;&gt;""),T33*AO33,"")</f>
        <v/>
      </c>
      <c r="BN33" s="40">
        <f>IF(AND(T33&gt;0,AS33&gt;0),T33*AS33,"")</f>
        <v/>
      </c>
      <c r="BO33" s="40">
        <f>IF(AND(T33&gt;0,AV33&lt;&gt;""),T33*AV33,"")</f>
        <v/>
      </c>
      <c r="BP33" s="40">
        <f>IF(AND(T33&gt;0,BA33&lt;&gt;""),T33*BA33,"")</f>
        <v/>
      </c>
      <c r="BQ33" s="40">
        <f>IF(AND(T33&gt;0,BD33&lt;&gt;""),T33*BD33,"")</f>
        <v/>
      </c>
      <c r="BR33" s="46">
        <f>IF(AND(T33&gt;0,V33&gt;0,AA33&lt;&gt;0),V33/AA33-T33,"")</f>
        <v/>
      </c>
      <c r="BS33" s="41">
        <f>IF(AND(BR33&lt;&gt;"",T33&gt;0),BR33/T33,"")</f>
        <v/>
      </c>
      <c r="BT33" s="46">
        <f>IF(AND(T33&gt;0,V33&gt;0,AO33&lt;&gt;0),V33/AO33-T33,"")</f>
        <v/>
      </c>
      <c r="BU33" s="41">
        <f>IF(AND(BT33&lt;&gt;"",T33&gt;0),BT33/T33,"")</f>
        <v/>
      </c>
    </row>
    <row r="34">
      <c r="A34" s="36">
        <f>'📊 Исходные данные'!A33</f>
        <v/>
      </c>
      <c r="B34" s="37">
        <f>'📊 Исходные данные'!B33</f>
        <v/>
      </c>
      <c r="C34" s="38">
        <f>'📊 Исходные данные'!C33</f>
        <v/>
      </c>
      <c r="D34" s="38">
        <f>'📊 Исходные данные'!D33</f>
        <v/>
      </c>
      <c r="E34" s="39">
        <f>IF(OR(D34="",F34=""),"-",IF(D34&gt;F34*1.05,"Выше рынка",IF(D34&lt;F34*0.95,"Ниже рынка","На уровне")))</f>
        <v/>
      </c>
      <c r="F34" s="40">
        <f>IFERROR(AVERAGE('📊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G34" s="40">
        <f>IFERROR(MEDIAN('📊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H34" s="40">
        <f>IFERROR(MIN('📊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I34" s="40">
        <f>IFERROR(MAX('📊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данные'!K33),"")</f>
        <v/>
      </c>
      <c r="J34" s="41">
        <f>IF(AND(D34&lt;&gt;"",F34&lt;&gt;""),(D34-F34)/F34,"")</f>
        <v/>
      </c>
      <c r="K34" s="41">
        <f>IF(AND(D34&lt;&gt;"",G34&lt;&gt;""),(D34-G34)/G34,"")</f>
        <v/>
      </c>
      <c r="L34" s="41">
        <f>IF(AND(D34&lt;&gt;"",H34&lt;&gt;""),(D34-H34)/H34,"")</f>
        <v/>
      </c>
      <c r="M34" s="42">
        <f>IFERROR(RANK(D34,('📊 Исходные данные'!E33,'📊 Исходные данные'!F33,'📊 Исходные данные'!G33,'📊 Исходные данные'!H33,'📊 Исходные данные'!I33,'📊 Исходные данные'!J33,'📊 Исходные данные'!K33)),"")</f>
        <v/>
      </c>
      <c r="N34" s="39">
        <f>IF(M34="","-",IF(M34=1,"Дороже всех",IF(M34=2,"2-й по цене",IF(M34&lt;=4,"Средний","Ниже конкурентов"))))</f>
        <v/>
      </c>
      <c r="O34" s="41">
        <f>IF(AND(C34&gt;0,D34&gt;0),(D34-C34)/C34,"")</f>
        <v/>
      </c>
      <c r="P34" s="41">
        <f>IF(AND(C34&gt;0,D34&gt;0),(D34-C34)/D34,"")</f>
        <v/>
      </c>
      <c r="Q34" s="40">
        <f>IF(AND(C34&gt;0,D34&gt;0),D34-C34,"")</f>
        <v/>
      </c>
      <c r="R34" s="39">
        <f>IF(P34="","-",IF(P34&lt;0.1,"Низкая(&lt;10%)",IF(P34&lt;0.2,"Средняя(10-20%)","Хорошая(&gt;20%)")))</f>
        <v/>
      </c>
      <c r="S34" s="39">
        <f>IF(OR(H34="",C34=""),"-",IF((H34-C34)/H34&lt;0.05,"КРИТИЧНО",IF((H34-C34)/H34&lt;0.15,"УМЕРЕННЫЙ","НИЗКИЙ")))</f>
        <v/>
      </c>
      <c r="T34" s="43" t="n"/>
      <c r="U34" s="40">
        <f>IF(T34&gt;0,T34*D34,"")</f>
        <v/>
      </c>
      <c r="V34" s="40">
        <f>IF(T34&gt;0,T34*Q34,"")</f>
        <v/>
      </c>
      <c r="W34" s="41">
        <f>IF(U34&gt;0,V34/U34,"")</f>
        <v/>
      </c>
      <c r="X34" s="40">
        <f>IF(F34&lt;&gt;"",F34,"")</f>
        <v/>
      </c>
      <c r="Y34" s="41">
        <f>IF(AND(X34&lt;&gt;"",C34&gt;0),(X34-C34)/C34,"")</f>
        <v/>
      </c>
      <c r="Z34" s="41">
        <f>IF(AND(X34&lt;&gt;"",X34&gt;0),(X34-C34)/X34,"")</f>
        <v/>
      </c>
      <c r="AA34" s="40">
        <f>IF(AND(X34&lt;&gt;"",C34&gt;0),X34-C34,"")</f>
        <v/>
      </c>
      <c r="AB34" s="41">
        <f>IF(AND(X34&lt;&gt;"",D34&gt;0),(X34-D34)/D34,"")</f>
        <v/>
      </c>
      <c r="AC34" s="41">
        <f>IF(AND(Z34&lt;&gt;"",P34&lt;&gt;""),(Z34-P34)/ABS(IF(P34=0,1,P34)),"")</f>
        <v/>
      </c>
      <c r="AD34" s="40">
        <f>IF(AND(AA34&lt;&gt;"",Q34&lt;&gt;""),AA34-Q34,"")</f>
        <v/>
      </c>
      <c r="AE34" s="40">
        <f>IF(G34&lt;&gt;"",G34,"")</f>
        <v/>
      </c>
      <c r="AF34" s="41">
        <f>IF(AND(AE34&lt;&gt;"",C34&gt;0),(AE34-C34)/C34,"")</f>
        <v/>
      </c>
      <c r="AG34" s="41">
        <f>IF(AND(AE34&lt;&gt;"",AE34&gt;0),(AE34-C34)/AE34,"")</f>
        <v/>
      </c>
      <c r="AH34" s="40">
        <f>IF(AND(AE34&lt;&gt;"",C34&gt;0),AE34-C34,"")</f>
        <v/>
      </c>
      <c r="AI34" s="41">
        <f>IF(AND(AE34&lt;&gt;"",D34&gt;0),(AE34-D34)/D34,"")</f>
        <v/>
      </c>
      <c r="AJ34" s="41">
        <f>IF(AND(AG34&lt;&gt;"",P34&lt;&gt;""),(AG34-P34)/ABS(IF(P34=0,1,P34)),"")</f>
        <v/>
      </c>
      <c r="AK34" s="40">
        <f>IF(AND(AH34&lt;&gt;"",Q34&lt;&gt;""),AH34-Q34,"")</f>
        <v/>
      </c>
      <c r="AL34" s="40">
        <f>IF(H34&lt;&gt;"",H34,"")</f>
        <v/>
      </c>
      <c r="AM34" s="41">
        <f>IF(AND(AL34&lt;&gt;"",C34&gt;0),(AL34-C34)/C34,"")</f>
        <v/>
      </c>
      <c r="AN34" s="41">
        <f>IF(AND(AL34&lt;&gt;"",AL34&gt;0),(AL34-C34)/AL34,"")</f>
        <v/>
      </c>
      <c r="AO34" s="40">
        <f>IF(AND(AL34&lt;&gt;"",C34&gt;0),AL34-C34,"")</f>
        <v/>
      </c>
      <c r="AP34" s="41">
        <f>IF(AND(AL34&lt;&gt;"",D34&gt;0),(AL34-D34)/D34,"")</f>
        <v/>
      </c>
      <c r="AQ34" s="41">
        <f>IF(AND(AN34&lt;&gt;"",P34&lt;&gt;""),(AN34-P34)/ABS(IF(P34=0,1,P34)),"")</f>
        <v/>
      </c>
      <c r="AR34" s="40">
        <f>IF(AND(AO34&lt;&gt;"",Q34&lt;&gt;""),AO34-Q34,"")</f>
        <v/>
      </c>
      <c r="AS34" s="44" t="n"/>
      <c r="AT34" s="41">
        <f>IF(AND(AS34&gt;0,C34&gt;0),(AS34-C34)/C34,"")</f>
        <v/>
      </c>
      <c r="AU34" s="41">
        <f>IF(AND(AS34&gt;0,AS34&gt;0),(AS34-C34)/AS34,"")</f>
        <v/>
      </c>
      <c r="AV34" s="40">
        <f>IF(AND(AS34&gt;0,C34&gt;0),AS34-C34,"")</f>
        <v/>
      </c>
      <c r="AW34" s="41">
        <f>IF(AND(AS34&gt;0,D34&gt;0),(AS34-D34)/D34,"")</f>
        <v/>
      </c>
      <c r="AX34" s="41">
        <f>IF(AND(AU34&lt;&gt;"",P34&lt;&gt;""),(AU34-P34)/ABS(IF(P34=0,1,P34)),"")</f>
        <v/>
      </c>
      <c r="AY34" s="40">
        <f>IF(AND(AV34&lt;&gt;"",Q34&lt;&gt;""),AV34-Q34,"")</f>
        <v/>
      </c>
      <c r="AZ34" s="45" t="n"/>
      <c r="BA34" s="40">
        <f>IF(AND(AZ34&gt;0,C34&gt;0),C34/(1-AZ34),"")</f>
        <v/>
      </c>
      <c r="BB34" s="41">
        <f>IF(AND(BA34&lt;&gt;"",C34&gt;0),(BA34-C34)/C34,"")</f>
        <v/>
      </c>
      <c r="BC34" s="41">
        <f>IF(BA34&lt;&gt;"",AZ34,"")</f>
        <v/>
      </c>
      <c r="BD34" s="40">
        <f>IF(AND(BA34&lt;&gt;"",C34&gt;0),BA34-C34,"")</f>
        <v/>
      </c>
      <c r="BE34" s="41">
        <f>IF(AND(BA34&lt;&gt;"",D34&gt;0),(BA34-D34)/D34,"")</f>
        <v/>
      </c>
      <c r="BF34" s="41">
        <f>IF(AND(BC34&lt;&gt;"",P34&lt;&gt;""),(BC34-P34)/ABS(IF(P34=0,1,P34)),"")</f>
        <v/>
      </c>
      <c r="BG34" s="40">
        <f>IF(AND(BD34&lt;&gt;"",Q34&lt;&gt;""),BD34-Q34,"")</f>
        <v/>
      </c>
      <c r="BH34" s="40">
        <f>IF(AND(T34&gt;0,X34&lt;&gt;""),T34*X34,"")</f>
        <v/>
      </c>
      <c r="BI34" s="40">
        <f>IF(AND(T34&gt;0,AA34&lt;&gt;""),T34*AA34,"")</f>
        <v/>
      </c>
      <c r="BJ34" s="40">
        <f>IF(AND(T34&gt;0,AE34&lt;&gt;""),T34*AE34,"")</f>
        <v/>
      </c>
      <c r="BK34" s="40">
        <f>IF(AND(T34&gt;0,AH34&lt;&gt;""),T34*AH34,"")</f>
        <v/>
      </c>
      <c r="BL34" s="40">
        <f>IF(AND(T34&gt;0,AL34&lt;&gt;""),T34*AL34,"")</f>
        <v/>
      </c>
      <c r="BM34" s="40">
        <f>IF(AND(T34&gt;0,AO34&lt;&gt;""),T34*AO34,"")</f>
        <v/>
      </c>
      <c r="BN34" s="40">
        <f>IF(AND(T34&gt;0,AS34&gt;0),T34*AS34,"")</f>
        <v/>
      </c>
      <c r="BO34" s="40">
        <f>IF(AND(T34&gt;0,AV34&lt;&gt;""),T34*AV34,"")</f>
        <v/>
      </c>
      <c r="BP34" s="40">
        <f>IF(AND(T34&gt;0,BA34&lt;&gt;""),T34*BA34,"")</f>
        <v/>
      </c>
      <c r="BQ34" s="40">
        <f>IF(AND(T34&gt;0,BD34&lt;&gt;""),T34*BD34,"")</f>
        <v/>
      </c>
      <c r="BR34" s="46">
        <f>IF(AND(T34&gt;0,V34&gt;0,AA34&lt;&gt;0),V34/AA34-T34,"")</f>
        <v/>
      </c>
      <c r="BS34" s="41">
        <f>IF(AND(BR34&lt;&gt;"",T34&gt;0),BR34/T34,"")</f>
        <v/>
      </c>
      <c r="BT34" s="46">
        <f>IF(AND(T34&gt;0,V34&gt;0,AO34&lt;&gt;0),V34/AO34-T34,"")</f>
        <v/>
      </c>
      <c r="BU34" s="41">
        <f>IF(AND(BT34&lt;&gt;"",T34&gt;0),BT34/T34,"")</f>
        <v/>
      </c>
    </row>
    <row r="35">
      <c r="A35" s="36">
        <f>'📊 Исходные данные'!A34</f>
        <v/>
      </c>
      <c r="B35" s="37">
        <f>'📊 Исходные данные'!B34</f>
        <v/>
      </c>
      <c r="C35" s="38">
        <f>'📊 Исходные данные'!C34</f>
        <v/>
      </c>
      <c r="D35" s="38">
        <f>'📊 Исходные данные'!D34</f>
        <v/>
      </c>
      <c r="E35" s="39">
        <f>IF(OR(D35="",F35=""),"-",IF(D35&gt;F35*1.05,"Выше рынка",IF(D35&lt;F35*0.95,"Ниже рынка","На уровне")))</f>
        <v/>
      </c>
      <c r="F35" s="40">
        <f>IFERROR(AVERAGE('📊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G35" s="40">
        <f>IFERROR(MEDIAN('📊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H35" s="40">
        <f>IFERROR(MIN('📊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I35" s="40">
        <f>IFERROR(MAX('📊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данные'!K34),"")</f>
        <v/>
      </c>
      <c r="J35" s="41">
        <f>IF(AND(D35&lt;&gt;"",F35&lt;&gt;""),(D35-F35)/F35,"")</f>
        <v/>
      </c>
      <c r="K35" s="41">
        <f>IF(AND(D35&lt;&gt;"",G35&lt;&gt;""),(D35-G35)/G35,"")</f>
        <v/>
      </c>
      <c r="L35" s="41">
        <f>IF(AND(D35&lt;&gt;"",H35&lt;&gt;""),(D35-H35)/H35,"")</f>
        <v/>
      </c>
      <c r="M35" s="42">
        <f>IFERROR(RANK(D35,('📊 Исходные данные'!E34,'📊 Исходные данные'!F34,'📊 Исходные данные'!G34,'📊 Исходные данные'!H34,'📊 Исходные данные'!I34,'📊 Исходные данные'!J34,'📊 Исходные данные'!K34)),"")</f>
        <v/>
      </c>
      <c r="N35" s="39">
        <f>IF(M35="","-",IF(M35=1,"Дороже всех",IF(M35=2,"2-й по цене",IF(M35&lt;=4,"Средний","Ниже конкурентов"))))</f>
        <v/>
      </c>
      <c r="O35" s="41">
        <f>IF(AND(C35&gt;0,D35&gt;0),(D35-C35)/C35,"")</f>
        <v/>
      </c>
      <c r="P35" s="41">
        <f>IF(AND(C35&gt;0,D35&gt;0),(D35-C35)/D35,"")</f>
        <v/>
      </c>
      <c r="Q35" s="40">
        <f>IF(AND(C35&gt;0,D35&gt;0),D35-C35,"")</f>
        <v/>
      </c>
      <c r="R35" s="39">
        <f>IF(P35="","-",IF(P35&lt;0.1,"Низкая(&lt;10%)",IF(P35&lt;0.2,"Средняя(10-20%)","Хорошая(&gt;20%)")))</f>
        <v/>
      </c>
      <c r="S35" s="39">
        <f>IF(OR(H35="",C35=""),"-",IF((H35-C35)/H35&lt;0.05,"КРИТИЧНО",IF((H35-C35)/H35&lt;0.15,"УМЕРЕННЫЙ","НИЗКИЙ")))</f>
        <v/>
      </c>
      <c r="T35" s="43" t="n"/>
      <c r="U35" s="40">
        <f>IF(T35&gt;0,T35*D35,"")</f>
        <v/>
      </c>
      <c r="V35" s="40">
        <f>IF(T35&gt;0,T35*Q35,"")</f>
        <v/>
      </c>
      <c r="W35" s="41">
        <f>IF(U35&gt;0,V35/U35,"")</f>
        <v/>
      </c>
      <c r="X35" s="40">
        <f>IF(F35&lt;&gt;"",F35,"")</f>
        <v/>
      </c>
      <c r="Y35" s="41">
        <f>IF(AND(X35&lt;&gt;"",C35&gt;0),(X35-C35)/C35,"")</f>
        <v/>
      </c>
      <c r="Z35" s="41">
        <f>IF(AND(X35&lt;&gt;"",X35&gt;0),(X35-C35)/X35,"")</f>
        <v/>
      </c>
      <c r="AA35" s="40">
        <f>IF(AND(X35&lt;&gt;"",C35&gt;0),X35-C35,"")</f>
        <v/>
      </c>
      <c r="AB35" s="41">
        <f>IF(AND(X35&lt;&gt;"",D35&gt;0),(X35-D35)/D35,"")</f>
        <v/>
      </c>
      <c r="AC35" s="41">
        <f>IF(AND(Z35&lt;&gt;"",P35&lt;&gt;""),(Z35-P35)/ABS(IF(P35=0,1,P35)),"")</f>
        <v/>
      </c>
      <c r="AD35" s="40">
        <f>IF(AND(AA35&lt;&gt;"",Q35&lt;&gt;""),AA35-Q35,"")</f>
        <v/>
      </c>
      <c r="AE35" s="40">
        <f>IF(G35&lt;&gt;"",G35,"")</f>
        <v/>
      </c>
      <c r="AF35" s="41">
        <f>IF(AND(AE35&lt;&gt;"",C35&gt;0),(AE35-C35)/C35,"")</f>
        <v/>
      </c>
      <c r="AG35" s="41">
        <f>IF(AND(AE35&lt;&gt;"",AE35&gt;0),(AE35-C35)/AE35,"")</f>
        <v/>
      </c>
      <c r="AH35" s="40">
        <f>IF(AND(AE35&lt;&gt;"",C35&gt;0),AE35-C35,"")</f>
        <v/>
      </c>
      <c r="AI35" s="41">
        <f>IF(AND(AE35&lt;&gt;"",D35&gt;0),(AE35-D35)/D35,"")</f>
        <v/>
      </c>
      <c r="AJ35" s="41">
        <f>IF(AND(AG35&lt;&gt;"",P35&lt;&gt;""),(AG35-P35)/ABS(IF(P35=0,1,P35)),"")</f>
        <v/>
      </c>
      <c r="AK35" s="40">
        <f>IF(AND(AH35&lt;&gt;"",Q35&lt;&gt;""),AH35-Q35,"")</f>
        <v/>
      </c>
      <c r="AL35" s="40">
        <f>IF(H35&lt;&gt;"",H35,"")</f>
        <v/>
      </c>
      <c r="AM35" s="41">
        <f>IF(AND(AL35&lt;&gt;"",C35&gt;0),(AL35-C35)/C35,"")</f>
        <v/>
      </c>
      <c r="AN35" s="41">
        <f>IF(AND(AL35&lt;&gt;"",AL35&gt;0),(AL35-C35)/AL35,"")</f>
        <v/>
      </c>
      <c r="AO35" s="40">
        <f>IF(AND(AL35&lt;&gt;"",C35&gt;0),AL35-C35,"")</f>
        <v/>
      </c>
      <c r="AP35" s="41">
        <f>IF(AND(AL35&lt;&gt;"",D35&gt;0),(AL35-D35)/D35,"")</f>
        <v/>
      </c>
      <c r="AQ35" s="41">
        <f>IF(AND(AN35&lt;&gt;"",P35&lt;&gt;""),(AN35-P35)/ABS(IF(P35=0,1,P35)),"")</f>
        <v/>
      </c>
      <c r="AR35" s="40">
        <f>IF(AND(AO35&lt;&gt;"",Q35&lt;&gt;""),AO35-Q35,"")</f>
        <v/>
      </c>
      <c r="AS35" s="44" t="n"/>
      <c r="AT35" s="41">
        <f>IF(AND(AS35&gt;0,C35&gt;0),(AS35-C35)/C35,"")</f>
        <v/>
      </c>
      <c r="AU35" s="41">
        <f>IF(AND(AS35&gt;0,AS35&gt;0),(AS35-C35)/AS35,"")</f>
        <v/>
      </c>
      <c r="AV35" s="40">
        <f>IF(AND(AS35&gt;0,C35&gt;0),AS35-C35,"")</f>
        <v/>
      </c>
      <c r="AW35" s="41">
        <f>IF(AND(AS35&gt;0,D35&gt;0),(AS35-D35)/D35,"")</f>
        <v/>
      </c>
      <c r="AX35" s="41">
        <f>IF(AND(AU35&lt;&gt;"",P35&lt;&gt;""),(AU35-P35)/ABS(IF(P35=0,1,P35)),"")</f>
        <v/>
      </c>
      <c r="AY35" s="40">
        <f>IF(AND(AV35&lt;&gt;"",Q35&lt;&gt;""),AV35-Q35,"")</f>
        <v/>
      </c>
      <c r="AZ35" s="45" t="n"/>
      <c r="BA35" s="40">
        <f>IF(AND(AZ35&gt;0,C35&gt;0),C35/(1-AZ35),"")</f>
        <v/>
      </c>
      <c r="BB35" s="41">
        <f>IF(AND(BA35&lt;&gt;"",C35&gt;0),(BA35-C35)/C35,"")</f>
        <v/>
      </c>
      <c r="BC35" s="41">
        <f>IF(BA35&lt;&gt;"",AZ35,"")</f>
        <v/>
      </c>
      <c r="BD35" s="40">
        <f>IF(AND(BA35&lt;&gt;"",C35&gt;0),BA35-C35,"")</f>
        <v/>
      </c>
      <c r="BE35" s="41">
        <f>IF(AND(BA35&lt;&gt;"",D35&gt;0),(BA35-D35)/D35,"")</f>
        <v/>
      </c>
      <c r="BF35" s="41">
        <f>IF(AND(BC35&lt;&gt;"",P35&lt;&gt;""),(BC35-P35)/ABS(IF(P35=0,1,P35)),"")</f>
        <v/>
      </c>
      <c r="BG35" s="40">
        <f>IF(AND(BD35&lt;&gt;"",Q35&lt;&gt;""),BD35-Q35,"")</f>
        <v/>
      </c>
      <c r="BH35" s="40">
        <f>IF(AND(T35&gt;0,X35&lt;&gt;""),T35*X35,"")</f>
        <v/>
      </c>
      <c r="BI35" s="40">
        <f>IF(AND(T35&gt;0,AA35&lt;&gt;""),T35*AA35,"")</f>
        <v/>
      </c>
      <c r="BJ35" s="40">
        <f>IF(AND(T35&gt;0,AE35&lt;&gt;""),T35*AE35,"")</f>
        <v/>
      </c>
      <c r="BK35" s="40">
        <f>IF(AND(T35&gt;0,AH35&lt;&gt;""),T35*AH35,"")</f>
        <v/>
      </c>
      <c r="BL35" s="40">
        <f>IF(AND(T35&gt;0,AL35&lt;&gt;""),T35*AL35,"")</f>
        <v/>
      </c>
      <c r="BM35" s="40">
        <f>IF(AND(T35&gt;0,AO35&lt;&gt;""),T35*AO35,"")</f>
        <v/>
      </c>
      <c r="BN35" s="40">
        <f>IF(AND(T35&gt;0,AS35&gt;0),T35*AS35,"")</f>
        <v/>
      </c>
      <c r="BO35" s="40">
        <f>IF(AND(T35&gt;0,AV35&lt;&gt;""),T35*AV35,"")</f>
        <v/>
      </c>
      <c r="BP35" s="40">
        <f>IF(AND(T35&gt;0,BA35&lt;&gt;""),T35*BA35,"")</f>
        <v/>
      </c>
      <c r="BQ35" s="40">
        <f>IF(AND(T35&gt;0,BD35&lt;&gt;""),T35*BD35,"")</f>
        <v/>
      </c>
      <c r="BR35" s="46">
        <f>IF(AND(T35&gt;0,V35&gt;0,AA35&lt;&gt;0),V35/AA35-T35,"")</f>
        <v/>
      </c>
      <c r="BS35" s="41">
        <f>IF(AND(BR35&lt;&gt;"",T35&gt;0),BR35/T35,"")</f>
        <v/>
      </c>
      <c r="BT35" s="46">
        <f>IF(AND(T35&gt;0,V35&gt;0,AO35&lt;&gt;0),V35/AO35-T35,"")</f>
        <v/>
      </c>
      <c r="BU35" s="41">
        <f>IF(AND(BT35&lt;&gt;"",T35&gt;0),BT35/T35,"")</f>
        <v/>
      </c>
    </row>
    <row r="36">
      <c r="A36" s="36">
        <f>'📊 Исходные данные'!A35</f>
        <v/>
      </c>
      <c r="B36" s="37">
        <f>'📊 Исходные данные'!B35</f>
        <v/>
      </c>
      <c r="C36" s="38">
        <f>'📊 Исходные данные'!C35</f>
        <v/>
      </c>
      <c r="D36" s="38">
        <f>'📊 Исходные данные'!D35</f>
        <v/>
      </c>
      <c r="E36" s="39">
        <f>IF(OR(D36="",F36=""),"-",IF(D36&gt;F36*1.05,"Выше рынка",IF(D36&lt;F36*0.95,"Ниже рынка","На уровне")))</f>
        <v/>
      </c>
      <c r="F36" s="40">
        <f>IFERROR(AVERAGE('📊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G36" s="40">
        <f>IFERROR(MEDIAN('📊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H36" s="40">
        <f>IFERROR(MIN('📊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I36" s="40">
        <f>IFERROR(MAX('📊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данные'!K35),"")</f>
        <v/>
      </c>
      <c r="J36" s="41">
        <f>IF(AND(D36&lt;&gt;"",F36&lt;&gt;""),(D36-F36)/F36,"")</f>
        <v/>
      </c>
      <c r="K36" s="41">
        <f>IF(AND(D36&lt;&gt;"",G36&lt;&gt;""),(D36-G36)/G36,"")</f>
        <v/>
      </c>
      <c r="L36" s="41">
        <f>IF(AND(D36&lt;&gt;"",H36&lt;&gt;""),(D36-H36)/H36,"")</f>
        <v/>
      </c>
      <c r="M36" s="42">
        <f>IFERROR(RANK(D36,('📊 Исходные данные'!E35,'📊 Исходные данные'!F35,'📊 Исходные данные'!G35,'📊 Исходные данные'!H35,'📊 Исходные данные'!I35,'📊 Исходные данные'!J35,'📊 Исходные данные'!K35)),"")</f>
        <v/>
      </c>
      <c r="N36" s="39">
        <f>IF(M36="","-",IF(M36=1,"Дороже всех",IF(M36=2,"2-й по цене",IF(M36&lt;=4,"Средний","Ниже конкурентов"))))</f>
        <v/>
      </c>
      <c r="O36" s="41">
        <f>IF(AND(C36&gt;0,D36&gt;0),(D36-C36)/C36,"")</f>
        <v/>
      </c>
      <c r="P36" s="41">
        <f>IF(AND(C36&gt;0,D36&gt;0),(D36-C36)/D36,"")</f>
        <v/>
      </c>
      <c r="Q36" s="40">
        <f>IF(AND(C36&gt;0,D36&gt;0),D36-C36,"")</f>
        <v/>
      </c>
      <c r="R36" s="39">
        <f>IF(P36="","-",IF(P36&lt;0.1,"Низкая(&lt;10%)",IF(P36&lt;0.2,"Средняя(10-20%)","Хорошая(&gt;20%)")))</f>
        <v/>
      </c>
      <c r="S36" s="39">
        <f>IF(OR(H36="",C36=""),"-",IF((H36-C36)/H36&lt;0.05,"КРИТИЧНО",IF((H36-C36)/H36&lt;0.15,"УМЕРЕННЫЙ","НИЗКИЙ")))</f>
        <v/>
      </c>
      <c r="T36" s="43" t="n"/>
      <c r="U36" s="40">
        <f>IF(T36&gt;0,T36*D36,"")</f>
        <v/>
      </c>
      <c r="V36" s="40">
        <f>IF(T36&gt;0,T36*Q36,"")</f>
        <v/>
      </c>
      <c r="W36" s="41">
        <f>IF(U36&gt;0,V36/U36,"")</f>
        <v/>
      </c>
      <c r="X36" s="40">
        <f>IF(F36&lt;&gt;"",F36,"")</f>
        <v/>
      </c>
      <c r="Y36" s="41">
        <f>IF(AND(X36&lt;&gt;"",C36&gt;0),(X36-C36)/C36,"")</f>
        <v/>
      </c>
      <c r="Z36" s="41">
        <f>IF(AND(X36&lt;&gt;"",X36&gt;0),(X36-C36)/X36,"")</f>
        <v/>
      </c>
      <c r="AA36" s="40">
        <f>IF(AND(X36&lt;&gt;"",C36&gt;0),X36-C36,"")</f>
        <v/>
      </c>
      <c r="AB36" s="41">
        <f>IF(AND(X36&lt;&gt;"",D36&gt;0),(X36-D36)/D36,"")</f>
        <v/>
      </c>
      <c r="AC36" s="41">
        <f>IF(AND(Z36&lt;&gt;"",P36&lt;&gt;""),(Z36-P36)/ABS(IF(P36=0,1,P36)),"")</f>
        <v/>
      </c>
      <c r="AD36" s="40">
        <f>IF(AND(AA36&lt;&gt;"",Q36&lt;&gt;""),AA36-Q36,"")</f>
        <v/>
      </c>
      <c r="AE36" s="40">
        <f>IF(G36&lt;&gt;"",G36,"")</f>
        <v/>
      </c>
      <c r="AF36" s="41">
        <f>IF(AND(AE36&lt;&gt;"",C36&gt;0),(AE36-C36)/C36,"")</f>
        <v/>
      </c>
      <c r="AG36" s="41">
        <f>IF(AND(AE36&lt;&gt;"",AE36&gt;0),(AE36-C36)/AE36,"")</f>
        <v/>
      </c>
      <c r="AH36" s="40">
        <f>IF(AND(AE36&lt;&gt;"",C36&gt;0),AE36-C36,"")</f>
        <v/>
      </c>
      <c r="AI36" s="41">
        <f>IF(AND(AE36&lt;&gt;"",D36&gt;0),(AE36-D36)/D36,"")</f>
        <v/>
      </c>
      <c r="AJ36" s="41">
        <f>IF(AND(AG36&lt;&gt;"",P36&lt;&gt;""),(AG36-P36)/ABS(IF(P36=0,1,P36)),"")</f>
        <v/>
      </c>
      <c r="AK36" s="40">
        <f>IF(AND(AH36&lt;&gt;"",Q36&lt;&gt;""),AH36-Q36,"")</f>
        <v/>
      </c>
      <c r="AL36" s="40">
        <f>IF(H36&lt;&gt;"",H36,"")</f>
        <v/>
      </c>
      <c r="AM36" s="41">
        <f>IF(AND(AL36&lt;&gt;"",C36&gt;0),(AL36-C36)/C36,"")</f>
        <v/>
      </c>
      <c r="AN36" s="41">
        <f>IF(AND(AL36&lt;&gt;"",AL36&gt;0),(AL36-C36)/AL36,"")</f>
        <v/>
      </c>
      <c r="AO36" s="40">
        <f>IF(AND(AL36&lt;&gt;"",C36&gt;0),AL36-C36,"")</f>
        <v/>
      </c>
      <c r="AP36" s="41">
        <f>IF(AND(AL36&lt;&gt;"",D36&gt;0),(AL36-D36)/D36,"")</f>
        <v/>
      </c>
      <c r="AQ36" s="41">
        <f>IF(AND(AN36&lt;&gt;"",P36&lt;&gt;""),(AN36-P36)/ABS(IF(P36=0,1,P36)),"")</f>
        <v/>
      </c>
      <c r="AR36" s="40">
        <f>IF(AND(AO36&lt;&gt;"",Q36&lt;&gt;""),AO36-Q36,"")</f>
        <v/>
      </c>
      <c r="AS36" s="44" t="n"/>
      <c r="AT36" s="41">
        <f>IF(AND(AS36&gt;0,C36&gt;0),(AS36-C36)/C36,"")</f>
        <v/>
      </c>
      <c r="AU36" s="41">
        <f>IF(AND(AS36&gt;0,AS36&gt;0),(AS36-C36)/AS36,"")</f>
        <v/>
      </c>
      <c r="AV36" s="40">
        <f>IF(AND(AS36&gt;0,C36&gt;0),AS36-C36,"")</f>
        <v/>
      </c>
      <c r="AW36" s="41">
        <f>IF(AND(AS36&gt;0,D36&gt;0),(AS36-D36)/D36,"")</f>
        <v/>
      </c>
      <c r="AX36" s="41">
        <f>IF(AND(AU36&lt;&gt;"",P36&lt;&gt;""),(AU36-P36)/ABS(IF(P36=0,1,P36)),"")</f>
        <v/>
      </c>
      <c r="AY36" s="40">
        <f>IF(AND(AV36&lt;&gt;"",Q36&lt;&gt;""),AV36-Q36,"")</f>
        <v/>
      </c>
      <c r="AZ36" s="45" t="n"/>
      <c r="BA36" s="40">
        <f>IF(AND(AZ36&gt;0,C36&gt;0),C36/(1-AZ36),"")</f>
        <v/>
      </c>
      <c r="BB36" s="41">
        <f>IF(AND(BA36&lt;&gt;"",C36&gt;0),(BA36-C36)/C36,"")</f>
        <v/>
      </c>
      <c r="BC36" s="41">
        <f>IF(BA36&lt;&gt;"",AZ36,"")</f>
        <v/>
      </c>
      <c r="BD36" s="40">
        <f>IF(AND(BA36&lt;&gt;"",C36&gt;0),BA36-C36,"")</f>
        <v/>
      </c>
      <c r="BE36" s="41">
        <f>IF(AND(BA36&lt;&gt;"",D36&gt;0),(BA36-D36)/D36,"")</f>
        <v/>
      </c>
      <c r="BF36" s="41">
        <f>IF(AND(BC36&lt;&gt;"",P36&lt;&gt;""),(BC36-P36)/ABS(IF(P36=0,1,P36)),"")</f>
        <v/>
      </c>
      <c r="BG36" s="40">
        <f>IF(AND(BD36&lt;&gt;"",Q36&lt;&gt;""),BD36-Q36,"")</f>
        <v/>
      </c>
      <c r="BH36" s="40">
        <f>IF(AND(T36&gt;0,X36&lt;&gt;""),T36*X36,"")</f>
        <v/>
      </c>
      <c r="BI36" s="40">
        <f>IF(AND(T36&gt;0,AA36&lt;&gt;""),T36*AA36,"")</f>
        <v/>
      </c>
      <c r="BJ36" s="40">
        <f>IF(AND(T36&gt;0,AE36&lt;&gt;""),T36*AE36,"")</f>
        <v/>
      </c>
      <c r="BK36" s="40">
        <f>IF(AND(T36&gt;0,AH36&lt;&gt;""),T36*AH36,"")</f>
        <v/>
      </c>
      <c r="BL36" s="40">
        <f>IF(AND(T36&gt;0,AL36&lt;&gt;""),T36*AL36,"")</f>
        <v/>
      </c>
      <c r="BM36" s="40">
        <f>IF(AND(T36&gt;0,AO36&lt;&gt;""),T36*AO36,"")</f>
        <v/>
      </c>
      <c r="BN36" s="40">
        <f>IF(AND(T36&gt;0,AS36&gt;0),T36*AS36,"")</f>
        <v/>
      </c>
      <c r="BO36" s="40">
        <f>IF(AND(T36&gt;0,AV36&lt;&gt;""),T36*AV36,"")</f>
        <v/>
      </c>
      <c r="BP36" s="40">
        <f>IF(AND(T36&gt;0,BA36&lt;&gt;""),T36*BA36,"")</f>
        <v/>
      </c>
      <c r="BQ36" s="40">
        <f>IF(AND(T36&gt;0,BD36&lt;&gt;""),T36*BD36,"")</f>
        <v/>
      </c>
      <c r="BR36" s="46">
        <f>IF(AND(T36&gt;0,V36&gt;0,AA36&lt;&gt;0),V36/AA36-T36,"")</f>
        <v/>
      </c>
      <c r="BS36" s="41">
        <f>IF(AND(BR36&lt;&gt;"",T36&gt;0),BR36/T36,"")</f>
        <v/>
      </c>
      <c r="BT36" s="46">
        <f>IF(AND(T36&gt;0,V36&gt;0,AO36&lt;&gt;0),V36/AO36-T36,"")</f>
        <v/>
      </c>
      <c r="BU36" s="41">
        <f>IF(AND(BT36&lt;&gt;"",T36&gt;0),BT36/T36,"")</f>
        <v/>
      </c>
    </row>
    <row r="37">
      <c r="A37" s="36">
        <f>'📊 Исходные данные'!A36</f>
        <v/>
      </c>
      <c r="B37" s="37">
        <f>'📊 Исходные данные'!B36</f>
        <v/>
      </c>
      <c r="C37" s="38">
        <f>'📊 Исходные данные'!C36</f>
        <v/>
      </c>
      <c r="D37" s="38">
        <f>'📊 Исходные данные'!D36</f>
        <v/>
      </c>
      <c r="E37" s="39">
        <f>IF(OR(D37="",F37=""),"-",IF(D37&gt;F37*1.05,"Выше рынка",IF(D37&lt;F37*0.95,"Ниже рынка","На уровне")))</f>
        <v/>
      </c>
      <c r="F37" s="40">
        <f>IFERROR(AVERAGE('📊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G37" s="40">
        <f>IFERROR(MEDIAN('📊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H37" s="40">
        <f>IFERROR(MIN('📊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I37" s="40">
        <f>IFERROR(MAX('📊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данные'!K36),"")</f>
        <v/>
      </c>
      <c r="J37" s="41">
        <f>IF(AND(D37&lt;&gt;"",F37&lt;&gt;""),(D37-F37)/F37,"")</f>
        <v/>
      </c>
      <c r="K37" s="41">
        <f>IF(AND(D37&lt;&gt;"",G37&lt;&gt;""),(D37-G37)/G37,"")</f>
        <v/>
      </c>
      <c r="L37" s="41">
        <f>IF(AND(D37&lt;&gt;"",H37&lt;&gt;""),(D37-H37)/H37,"")</f>
        <v/>
      </c>
      <c r="M37" s="42">
        <f>IFERROR(RANK(D37,('📊 Исходные данные'!E36,'📊 Исходные данные'!F36,'📊 Исходные данные'!G36,'📊 Исходные данные'!H36,'📊 Исходные данные'!I36,'📊 Исходные данные'!J36,'📊 Исходные данные'!K36)),"")</f>
        <v/>
      </c>
      <c r="N37" s="39">
        <f>IF(M37="","-",IF(M37=1,"Дороже всех",IF(M37=2,"2-й по цене",IF(M37&lt;=4,"Средний","Ниже конкурентов"))))</f>
        <v/>
      </c>
      <c r="O37" s="41">
        <f>IF(AND(C37&gt;0,D37&gt;0),(D37-C37)/C37,"")</f>
        <v/>
      </c>
      <c r="P37" s="41">
        <f>IF(AND(C37&gt;0,D37&gt;0),(D37-C37)/D37,"")</f>
        <v/>
      </c>
      <c r="Q37" s="40">
        <f>IF(AND(C37&gt;0,D37&gt;0),D37-C37,"")</f>
        <v/>
      </c>
      <c r="R37" s="39">
        <f>IF(P37="","-",IF(P37&lt;0.1,"Низкая(&lt;10%)",IF(P37&lt;0.2,"Средняя(10-20%)","Хорошая(&gt;20%)")))</f>
        <v/>
      </c>
      <c r="S37" s="39">
        <f>IF(OR(H37="",C37=""),"-",IF((H37-C37)/H37&lt;0.05,"КРИТИЧНО",IF((H37-C37)/H37&lt;0.15,"УМЕРЕННЫЙ","НИЗКИЙ")))</f>
        <v/>
      </c>
      <c r="T37" s="43" t="n"/>
      <c r="U37" s="40">
        <f>IF(T37&gt;0,T37*D37,"")</f>
        <v/>
      </c>
      <c r="V37" s="40">
        <f>IF(T37&gt;0,T37*Q37,"")</f>
        <v/>
      </c>
      <c r="W37" s="41">
        <f>IF(U37&gt;0,V37/U37,"")</f>
        <v/>
      </c>
      <c r="X37" s="40">
        <f>IF(F37&lt;&gt;"",F37,"")</f>
        <v/>
      </c>
      <c r="Y37" s="41">
        <f>IF(AND(X37&lt;&gt;"",C37&gt;0),(X37-C37)/C37,"")</f>
        <v/>
      </c>
      <c r="Z37" s="41">
        <f>IF(AND(X37&lt;&gt;"",X37&gt;0),(X37-C37)/X37,"")</f>
        <v/>
      </c>
      <c r="AA37" s="40">
        <f>IF(AND(X37&lt;&gt;"",C37&gt;0),X37-C37,"")</f>
        <v/>
      </c>
      <c r="AB37" s="41">
        <f>IF(AND(X37&lt;&gt;"",D37&gt;0),(X37-D37)/D37,"")</f>
        <v/>
      </c>
      <c r="AC37" s="41">
        <f>IF(AND(Z37&lt;&gt;"",P37&lt;&gt;""),(Z37-P37)/ABS(IF(P37=0,1,P37)),"")</f>
        <v/>
      </c>
      <c r="AD37" s="40">
        <f>IF(AND(AA37&lt;&gt;"",Q37&lt;&gt;""),AA37-Q37,"")</f>
        <v/>
      </c>
      <c r="AE37" s="40">
        <f>IF(G37&lt;&gt;"",G37,"")</f>
        <v/>
      </c>
      <c r="AF37" s="41">
        <f>IF(AND(AE37&lt;&gt;"",C37&gt;0),(AE37-C37)/C37,"")</f>
        <v/>
      </c>
      <c r="AG37" s="41">
        <f>IF(AND(AE37&lt;&gt;"",AE37&gt;0),(AE37-C37)/AE37,"")</f>
        <v/>
      </c>
      <c r="AH37" s="40">
        <f>IF(AND(AE37&lt;&gt;"",C37&gt;0),AE37-C37,"")</f>
        <v/>
      </c>
      <c r="AI37" s="41">
        <f>IF(AND(AE37&lt;&gt;"",D37&gt;0),(AE37-D37)/D37,"")</f>
        <v/>
      </c>
      <c r="AJ37" s="41">
        <f>IF(AND(AG37&lt;&gt;"",P37&lt;&gt;""),(AG37-P37)/ABS(IF(P37=0,1,P37)),"")</f>
        <v/>
      </c>
      <c r="AK37" s="40">
        <f>IF(AND(AH37&lt;&gt;"",Q37&lt;&gt;""),AH37-Q37,"")</f>
        <v/>
      </c>
      <c r="AL37" s="40">
        <f>IF(H37&lt;&gt;"",H37,"")</f>
        <v/>
      </c>
      <c r="AM37" s="41">
        <f>IF(AND(AL37&lt;&gt;"",C37&gt;0),(AL37-C37)/C37,"")</f>
        <v/>
      </c>
      <c r="AN37" s="41">
        <f>IF(AND(AL37&lt;&gt;"",AL37&gt;0),(AL37-C37)/AL37,"")</f>
        <v/>
      </c>
      <c r="AO37" s="40">
        <f>IF(AND(AL37&lt;&gt;"",C37&gt;0),AL37-C37,"")</f>
        <v/>
      </c>
      <c r="AP37" s="41">
        <f>IF(AND(AL37&lt;&gt;"",D37&gt;0),(AL37-D37)/D37,"")</f>
        <v/>
      </c>
      <c r="AQ37" s="41">
        <f>IF(AND(AN37&lt;&gt;"",P37&lt;&gt;""),(AN37-P37)/ABS(IF(P37=0,1,P37)),"")</f>
        <v/>
      </c>
      <c r="AR37" s="40">
        <f>IF(AND(AO37&lt;&gt;"",Q37&lt;&gt;""),AO37-Q37,"")</f>
        <v/>
      </c>
      <c r="AS37" s="44" t="n"/>
      <c r="AT37" s="41">
        <f>IF(AND(AS37&gt;0,C37&gt;0),(AS37-C37)/C37,"")</f>
        <v/>
      </c>
      <c r="AU37" s="41">
        <f>IF(AND(AS37&gt;0,AS37&gt;0),(AS37-C37)/AS37,"")</f>
        <v/>
      </c>
      <c r="AV37" s="40">
        <f>IF(AND(AS37&gt;0,C37&gt;0),AS37-C37,"")</f>
        <v/>
      </c>
      <c r="AW37" s="41">
        <f>IF(AND(AS37&gt;0,D37&gt;0),(AS37-D37)/D37,"")</f>
        <v/>
      </c>
      <c r="AX37" s="41">
        <f>IF(AND(AU37&lt;&gt;"",P37&lt;&gt;""),(AU37-P37)/ABS(IF(P37=0,1,P37)),"")</f>
        <v/>
      </c>
      <c r="AY37" s="40">
        <f>IF(AND(AV37&lt;&gt;"",Q37&lt;&gt;""),AV37-Q37,"")</f>
        <v/>
      </c>
      <c r="AZ37" s="45" t="n"/>
      <c r="BA37" s="40">
        <f>IF(AND(AZ37&gt;0,C37&gt;0),C37/(1-AZ37),"")</f>
        <v/>
      </c>
      <c r="BB37" s="41">
        <f>IF(AND(BA37&lt;&gt;"",C37&gt;0),(BA37-C37)/C37,"")</f>
        <v/>
      </c>
      <c r="BC37" s="41">
        <f>IF(BA37&lt;&gt;"",AZ37,"")</f>
        <v/>
      </c>
      <c r="BD37" s="40">
        <f>IF(AND(BA37&lt;&gt;"",C37&gt;0),BA37-C37,"")</f>
        <v/>
      </c>
      <c r="BE37" s="41">
        <f>IF(AND(BA37&lt;&gt;"",D37&gt;0),(BA37-D37)/D37,"")</f>
        <v/>
      </c>
      <c r="BF37" s="41">
        <f>IF(AND(BC37&lt;&gt;"",P37&lt;&gt;""),(BC37-P37)/ABS(IF(P37=0,1,P37)),"")</f>
        <v/>
      </c>
      <c r="BG37" s="40">
        <f>IF(AND(BD37&lt;&gt;"",Q37&lt;&gt;""),BD37-Q37,"")</f>
        <v/>
      </c>
      <c r="BH37" s="40">
        <f>IF(AND(T37&gt;0,X37&lt;&gt;""),T37*X37,"")</f>
        <v/>
      </c>
      <c r="BI37" s="40">
        <f>IF(AND(T37&gt;0,AA37&lt;&gt;""),T37*AA37,"")</f>
        <v/>
      </c>
      <c r="BJ37" s="40">
        <f>IF(AND(T37&gt;0,AE37&lt;&gt;""),T37*AE37,"")</f>
        <v/>
      </c>
      <c r="BK37" s="40">
        <f>IF(AND(T37&gt;0,AH37&lt;&gt;""),T37*AH37,"")</f>
        <v/>
      </c>
      <c r="BL37" s="40">
        <f>IF(AND(T37&gt;0,AL37&lt;&gt;""),T37*AL37,"")</f>
        <v/>
      </c>
      <c r="BM37" s="40">
        <f>IF(AND(T37&gt;0,AO37&lt;&gt;""),T37*AO37,"")</f>
        <v/>
      </c>
      <c r="BN37" s="40">
        <f>IF(AND(T37&gt;0,AS37&gt;0),T37*AS37,"")</f>
        <v/>
      </c>
      <c r="BO37" s="40">
        <f>IF(AND(T37&gt;0,AV37&lt;&gt;""),T37*AV37,"")</f>
        <v/>
      </c>
      <c r="BP37" s="40">
        <f>IF(AND(T37&gt;0,BA37&lt;&gt;""),T37*BA37,"")</f>
        <v/>
      </c>
      <c r="BQ37" s="40">
        <f>IF(AND(T37&gt;0,BD37&lt;&gt;""),T37*BD37,"")</f>
        <v/>
      </c>
      <c r="BR37" s="46">
        <f>IF(AND(T37&gt;0,V37&gt;0,AA37&lt;&gt;0),V37/AA37-T37,"")</f>
        <v/>
      </c>
      <c r="BS37" s="41">
        <f>IF(AND(BR37&lt;&gt;"",T37&gt;0),BR37/T37,"")</f>
        <v/>
      </c>
      <c r="BT37" s="46">
        <f>IF(AND(T37&gt;0,V37&gt;0,AO37&lt;&gt;0),V37/AO37-T37,"")</f>
        <v/>
      </c>
      <c r="BU37" s="41">
        <f>IF(AND(BT37&lt;&gt;"",T37&gt;0),BT37/T37,"")</f>
        <v/>
      </c>
    </row>
    <row r="38">
      <c r="A38" s="36">
        <f>'📊 Исходные данные'!A37</f>
        <v/>
      </c>
      <c r="B38" s="37">
        <f>'📊 Исходные данные'!B37</f>
        <v/>
      </c>
      <c r="C38" s="38">
        <f>'📊 Исходные данные'!C37</f>
        <v/>
      </c>
      <c r="D38" s="38">
        <f>'📊 Исходные данные'!D37</f>
        <v/>
      </c>
      <c r="E38" s="39">
        <f>IF(OR(D38="",F38=""),"-",IF(D38&gt;F38*1.05,"Выше рынка",IF(D38&lt;F38*0.95,"Ниже рынка","На уровне")))</f>
        <v/>
      </c>
      <c r="F38" s="40">
        <f>IFERROR(AVERAGE('📊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G38" s="40">
        <f>IFERROR(MEDIAN('📊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H38" s="40">
        <f>IFERROR(MIN('📊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I38" s="40">
        <f>IFERROR(MAX('📊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данные'!K37),"")</f>
        <v/>
      </c>
      <c r="J38" s="41">
        <f>IF(AND(D38&lt;&gt;"",F38&lt;&gt;""),(D38-F38)/F38,"")</f>
        <v/>
      </c>
      <c r="K38" s="41">
        <f>IF(AND(D38&lt;&gt;"",G38&lt;&gt;""),(D38-G38)/G38,"")</f>
        <v/>
      </c>
      <c r="L38" s="41">
        <f>IF(AND(D38&lt;&gt;"",H38&lt;&gt;""),(D38-H38)/H38,"")</f>
        <v/>
      </c>
      <c r="M38" s="42">
        <f>IFERROR(RANK(D38,('📊 Исходные данные'!E37,'📊 Исходные данные'!F37,'📊 Исходные данные'!G37,'📊 Исходные данные'!H37,'📊 Исходные данные'!I37,'📊 Исходные данные'!J37,'📊 Исходные данные'!K37)),"")</f>
        <v/>
      </c>
      <c r="N38" s="39">
        <f>IF(M38="","-",IF(M38=1,"Дороже всех",IF(M38=2,"2-й по цене",IF(M38&lt;=4,"Средний","Ниже конкурентов"))))</f>
        <v/>
      </c>
      <c r="O38" s="41">
        <f>IF(AND(C38&gt;0,D38&gt;0),(D38-C38)/C38,"")</f>
        <v/>
      </c>
      <c r="P38" s="41">
        <f>IF(AND(C38&gt;0,D38&gt;0),(D38-C38)/D38,"")</f>
        <v/>
      </c>
      <c r="Q38" s="40">
        <f>IF(AND(C38&gt;0,D38&gt;0),D38-C38,"")</f>
        <v/>
      </c>
      <c r="R38" s="39">
        <f>IF(P38="","-",IF(P38&lt;0.1,"Низкая(&lt;10%)",IF(P38&lt;0.2,"Средняя(10-20%)","Хорошая(&gt;20%)")))</f>
        <v/>
      </c>
      <c r="S38" s="39">
        <f>IF(OR(H38="",C38=""),"-",IF((H38-C38)/H38&lt;0.05,"КРИТИЧНО",IF((H38-C38)/H38&lt;0.15,"УМЕРЕННЫЙ","НИЗКИЙ")))</f>
        <v/>
      </c>
      <c r="T38" s="43" t="n"/>
      <c r="U38" s="40">
        <f>IF(T38&gt;0,T38*D38,"")</f>
        <v/>
      </c>
      <c r="V38" s="40">
        <f>IF(T38&gt;0,T38*Q38,"")</f>
        <v/>
      </c>
      <c r="W38" s="41">
        <f>IF(U38&gt;0,V38/U38,"")</f>
        <v/>
      </c>
      <c r="X38" s="40">
        <f>IF(F38&lt;&gt;"",F38,"")</f>
        <v/>
      </c>
      <c r="Y38" s="41">
        <f>IF(AND(X38&lt;&gt;"",C38&gt;0),(X38-C38)/C38,"")</f>
        <v/>
      </c>
      <c r="Z38" s="41">
        <f>IF(AND(X38&lt;&gt;"",X38&gt;0),(X38-C38)/X38,"")</f>
        <v/>
      </c>
      <c r="AA38" s="40">
        <f>IF(AND(X38&lt;&gt;"",C38&gt;0),X38-C38,"")</f>
        <v/>
      </c>
      <c r="AB38" s="41">
        <f>IF(AND(X38&lt;&gt;"",D38&gt;0),(X38-D38)/D38,"")</f>
        <v/>
      </c>
      <c r="AC38" s="41">
        <f>IF(AND(Z38&lt;&gt;"",P38&lt;&gt;""),(Z38-P38)/ABS(IF(P38=0,1,P38)),"")</f>
        <v/>
      </c>
      <c r="AD38" s="40">
        <f>IF(AND(AA38&lt;&gt;"",Q38&lt;&gt;""),AA38-Q38,"")</f>
        <v/>
      </c>
      <c r="AE38" s="40">
        <f>IF(G38&lt;&gt;"",G38,"")</f>
        <v/>
      </c>
      <c r="AF38" s="41">
        <f>IF(AND(AE38&lt;&gt;"",C38&gt;0),(AE38-C38)/C38,"")</f>
        <v/>
      </c>
      <c r="AG38" s="41">
        <f>IF(AND(AE38&lt;&gt;"",AE38&gt;0),(AE38-C38)/AE38,"")</f>
        <v/>
      </c>
      <c r="AH38" s="40">
        <f>IF(AND(AE38&lt;&gt;"",C38&gt;0),AE38-C38,"")</f>
        <v/>
      </c>
      <c r="AI38" s="41">
        <f>IF(AND(AE38&lt;&gt;"",D38&gt;0),(AE38-D38)/D38,"")</f>
        <v/>
      </c>
      <c r="AJ38" s="41">
        <f>IF(AND(AG38&lt;&gt;"",P38&lt;&gt;""),(AG38-P38)/ABS(IF(P38=0,1,P38)),"")</f>
        <v/>
      </c>
      <c r="AK38" s="40">
        <f>IF(AND(AH38&lt;&gt;"",Q38&lt;&gt;""),AH38-Q38,"")</f>
        <v/>
      </c>
      <c r="AL38" s="40">
        <f>IF(H38&lt;&gt;"",H38,"")</f>
        <v/>
      </c>
      <c r="AM38" s="41">
        <f>IF(AND(AL38&lt;&gt;"",C38&gt;0),(AL38-C38)/C38,"")</f>
        <v/>
      </c>
      <c r="AN38" s="41">
        <f>IF(AND(AL38&lt;&gt;"",AL38&gt;0),(AL38-C38)/AL38,"")</f>
        <v/>
      </c>
      <c r="AO38" s="40">
        <f>IF(AND(AL38&lt;&gt;"",C38&gt;0),AL38-C38,"")</f>
        <v/>
      </c>
      <c r="AP38" s="41">
        <f>IF(AND(AL38&lt;&gt;"",D38&gt;0),(AL38-D38)/D38,"")</f>
        <v/>
      </c>
      <c r="AQ38" s="41">
        <f>IF(AND(AN38&lt;&gt;"",P38&lt;&gt;""),(AN38-P38)/ABS(IF(P38=0,1,P38)),"")</f>
        <v/>
      </c>
      <c r="AR38" s="40">
        <f>IF(AND(AO38&lt;&gt;"",Q38&lt;&gt;""),AO38-Q38,"")</f>
        <v/>
      </c>
      <c r="AS38" s="44" t="n"/>
      <c r="AT38" s="41">
        <f>IF(AND(AS38&gt;0,C38&gt;0),(AS38-C38)/C38,"")</f>
        <v/>
      </c>
      <c r="AU38" s="41">
        <f>IF(AND(AS38&gt;0,AS38&gt;0),(AS38-C38)/AS38,"")</f>
        <v/>
      </c>
      <c r="AV38" s="40">
        <f>IF(AND(AS38&gt;0,C38&gt;0),AS38-C38,"")</f>
        <v/>
      </c>
      <c r="AW38" s="41">
        <f>IF(AND(AS38&gt;0,D38&gt;0),(AS38-D38)/D38,"")</f>
        <v/>
      </c>
      <c r="AX38" s="41">
        <f>IF(AND(AU38&lt;&gt;"",P38&lt;&gt;""),(AU38-P38)/ABS(IF(P38=0,1,P38)),"")</f>
        <v/>
      </c>
      <c r="AY38" s="40">
        <f>IF(AND(AV38&lt;&gt;"",Q38&lt;&gt;""),AV38-Q38,"")</f>
        <v/>
      </c>
      <c r="AZ38" s="45" t="n"/>
      <c r="BA38" s="40">
        <f>IF(AND(AZ38&gt;0,C38&gt;0),C38/(1-AZ38),"")</f>
        <v/>
      </c>
      <c r="BB38" s="41">
        <f>IF(AND(BA38&lt;&gt;"",C38&gt;0),(BA38-C38)/C38,"")</f>
        <v/>
      </c>
      <c r="BC38" s="41">
        <f>IF(BA38&lt;&gt;"",AZ38,"")</f>
        <v/>
      </c>
      <c r="BD38" s="40">
        <f>IF(AND(BA38&lt;&gt;"",C38&gt;0),BA38-C38,"")</f>
        <v/>
      </c>
      <c r="BE38" s="41">
        <f>IF(AND(BA38&lt;&gt;"",D38&gt;0),(BA38-D38)/D38,"")</f>
        <v/>
      </c>
      <c r="BF38" s="41">
        <f>IF(AND(BC38&lt;&gt;"",P38&lt;&gt;""),(BC38-P38)/ABS(IF(P38=0,1,P38)),"")</f>
        <v/>
      </c>
      <c r="BG38" s="40">
        <f>IF(AND(BD38&lt;&gt;"",Q38&lt;&gt;""),BD38-Q38,"")</f>
        <v/>
      </c>
      <c r="BH38" s="40">
        <f>IF(AND(T38&gt;0,X38&lt;&gt;""),T38*X38,"")</f>
        <v/>
      </c>
      <c r="BI38" s="40">
        <f>IF(AND(T38&gt;0,AA38&lt;&gt;""),T38*AA38,"")</f>
        <v/>
      </c>
      <c r="BJ38" s="40">
        <f>IF(AND(T38&gt;0,AE38&lt;&gt;""),T38*AE38,"")</f>
        <v/>
      </c>
      <c r="BK38" s="40">
        <f>IF(AND(T38&gt;0,AH38&lt;&gt;""),T38*AH38,"")</f>
        <v/>
      </c>
      <c r="BL38" s="40">
        <f>IF(AND(T38&gt;0,AL38&lt;&gt;""),T38*AL38,"")</f>
        <v/>
      </c>
      <c r="BM38" s="40">
        <f>IF(AND(T38&gt;0,AO38&lt;&gt;""),T38*AO38,"")</f>
        <v/>
      </c>
      <c r="BN38" s="40">
        <f>IF(AND(T38&gt;0,AS38&gt;0),T38*AS38,"")</f>
        <v/>
      </c>
      <c r="BO38" s="40">
        <f>IF(AND(T38&gt;0,AV38&lt;&gt;""),T38*AV38,"")</f>
        <v/>
      </c>
      <c r="BP38" s="40">
        <f>IF(AND(T38&gt;0,BA38&lt;&gt;""),T38*BA38,"")</f>
        <v/>
      </c>
      <c r="BQ38" s="40">
        <f>IF(AND(T38&gt;0,BD38&lt;&gt;""),T38*BD38,"")</f>
        <v/>
      </c>
      <c r="BR38" s="46">
        <f>IF(AND(T38&gt;0,V38&gt;0,AA38&lt;&gt;0),V38/AA38-T38,"")</f>
        <v/>
      </c>
      <c r="BS38" s="41">
        <f>IF(AND(BR38&lt;&gt;"",T38&gt;0),BR38/T38,"")</f>
        <v/>
      </c>
      <c r="BT38" s="46">
        <f>IF(AND(T38&gt;0,V38&gt;0,AO38&lt;&gt;0),V38/AO38-T38,"")</f>
        <v/>
      </c>
      <c r="BU38" s="41">
        <f>IF(AND(BT38&lt;&gt;"",T38&gt;0),BT38/T38,"")</f>
        <v/>
      </c>
    </row>
    <row r="39">
      <c r="A39" s="36">
        <f>'📊 Исходные данные'!A38</f>
        <v/>
      </c>
      <c r="B39" s="37">
        <f>'📊 Исходные данные'!B38</f>
        <v/>
      </c>
      <c r="C39" s="38">
        <f>'📊 Исходные данные'!C38</f>
        <v/>
      </c>
      <c r="D39" s="38">
        <f>'📊 Исходные данные'!D38</f>
        <v/>
      </c>
      <c r="E39" s="39">
        <f>IF(OR(D39="",F39=""),"-",IF(D39&gt;F39*1.05,"Выше рынка",IF(D39&lt;F39*0.95,"Ниже рынка","На уровне")))</f>
        <v/>
      </c>
      <c r="F39" s="40">
        <f>IFERROR(AVERAGE('📊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G39" s="40">
        <f>IFERROR(MEDIAN('📊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H39" s="40">
        <f>IFERROR(MIN('📊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I39" s="40">
        <f>IFERROR(MAX('📊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данные'!K38),"")</f>
        <v/>
      </c>
      <c r="J39" s="41">
        <f>IF(AND(D39&lt;&gt;"",F39&lt;&gt;""),(D39-F39)/F39,"")</f>
        <v/>
      </c>
      <c r="K39" s="41">
        <f>IF(AND(D39&lt;&gt;"",G39&lt;&gt;""),(D39-G39)/G39,"")</f>
        <v/>
      </c>
      <c r="L39" s="41">
        <f>IF(AND(D39&lt;&gt;"",H39&lt;&gt;""),(D39-H39)/H39,"")</f>
        <v/>
      </c>
      <c r="M39" s="42">
        <f>IFERROR(RANK(D39,('📊 Исходные данные'!E38,'📊 Исходные данные'!F38,'📊 Исходные данные'!G38,'📊 Исходные данные'!H38,'📊 Исходные данные'!I38,'📊 Исходные данные'!J38,'📊 Исходные данные'!K38)),"")</f>
        <v/>
      </c>
      <c r="N39" s="39">
        <f>IF(M39="","-",IF(M39=1,"Дороже всех",IF(M39=2,"2-й по цене",IF(M39&lt;=4,"Средний","Ниже конкурентов"))))</f>
        <v/>
      </c>
      <c r="O39" s="41">
        <f>IF(AND(C39&gt;0,D39&gt;0),(D39-C39)/C39,"")</f>
        <v/>
      </c>
      <c r="P39" s="41">
        <f>IF(AND(C39&gt;0,D39&gt;0),(D39-C39)/D39,"")</f>
        <v/>
      </c>
      <c r="Q39" s="40">
        <f>IF(AND(C39&gt;0,D39&gt;0),D39-C39,"")</f>
        <v/>
      </c>
      <c r="R39" s="39">
        <f>IF(P39="","-",IF(P39&lt;0.1,"Низкая(&lt;10%)",IF(P39&lt;0.2,"Средняя(10-20%)","Хорошая(&gt;20%)")))</f>
        <v/>
      </c>
      <c r="S39" s="39">
        <f>IF(OR(H39="",C39=""),"-",IF((H39-C39)/H39&lt;0.05,"КРИТИЧНО",IF((H39-C39)/H39&lt;0.15,"УМЕРЕННЫЙ","НИЗКИЙ")))</f>
        <v/>
      </c>
      <c r="T39" s="43" t="n"/>
      <c r="U39" s="40">
        <f>IF(T39&gt;0,T39*D39,"")</f>
        <v/>
      </c>
      <c r="V39" s="40">
        <f>IF(T39&gt;0,T39*Q39,"")</f>
        <v/>
      </c>
      <c r="W39" s="41">
        <f>IF(U39&gt;0,V39/U39,"")</f>
        <v/>
      </c>
      <c r="X39" s="40">
        <f>IF(F39&lt;&gt;"",F39,"")</f>
        <v/>
      </c>
      <c r="Y39" s="41">
        <f>IF(AND(X39&lt;&gt;"",C39&gt;0),(X39-C39)/C39,"")</f>
        <v/>
      </c>
      <c r="Z39" s="41">
        <f>IF(AND(X39&lt;&gt;"",X39&gt;0),(X39-C39)/X39,"")</f>
        <v/>
      </c>
      <c r="AA39" s="40">
        <f>IF(AND(X39&lt;&gt;"",C39&gt;0),X39-C39,"")</f>
        <v/>
      </c>
      <c r="AB39" s="41">
        <f>IF(AND(X39&lt;&gt;"",D39&gt;0),(X39-D39)/D39,"")</f>
        <v/>
      </c>
      <c r="AC39" s="41">
        <f>IF(AND(Z39&lt;&gt;"",P39&lt;&gt;""),(Z39-P39)/ABS(IF(P39=0,1,P39)),"")</f>
        <v/>
      </c>
      <c r="AD39" s="40">
        <f>IF(AND(AA39&lt;&gt;"",Q39&lt;&gt;""),AA39-Q39,"")</f>
        <v/>
      </c>
      <c r="AE39" s="40">
        <f>IF(G39&lt;&gt;"",G39,"")</f>
        <v/>
      </c>
      <c r="AF39" s="41">
        <f>IF(AND(AE39&lt;&gt;"",C39&gt;0),(AE39-C39)/C39,"")</f>
        <v/>
      </c>
      <c r="AG39" s="41">
        <f>IF(AND(AE39&lt;&gt;"",AE39&gt;0),(AE39-C39)/AE39,"")</f>
        <v/>
      </c>
      <c r="AH39" s="40">
        <f>IF(AND(AE39&lt;&gt;"",C39&gt;0),AE39-C39,"")</f>
        <v/>
      </c>
      <c r="AI39" s="41">
        <f>IF(AND(AE39&lt;&gt;"",D39&gt;0),(AE39-D39)/D39,"")</f>
        <v/>
      </c>
      <c r="AJ39" s="41">
        <f>IF(AND(AG39&lt;&gt;"",P39&lt;&gt;""),(AG39-P39)/ABS(IF(P39=0,1,P39)),"")</f>
        <v/>
      </c>
      <c r="AK39" s="40">
        <f>IF(AND(AH39&lt;&gt;"",Q39&lt;&gt;""),AH39-Q39,"")</f>
        <v/>
      </c>
      <c r="AL39" s="40">
        <f>IF(H39&lt;&gt;"",H39,"")</f>
        <v/>
      </c>
      <c r="AM39" s="41">
        <f>IF(AND(AL39&lt;&gt;"",C39&gt;0),(AL39-C39)/C39,"")</f>
        <v/>
      </c>
      <c r="AN39" s="41">
        <f>IF(AND(AL39&lt;&gt;"",AL39&gt;0),(AL39-C39)/AL39,"")</f>
        <v/>
      </c>
      <c r="AO39" s="40">
        <f>IF(AND(AL39&lt;&gt;"",C39&gt;0),AL39-C39,"")</f>
        <v/>
      </c>
      <c r="AP39" s="41">
        <f>IF(AND(AL39&lt;&gt;"",D39&gt;0),(AL39-D39)/D39,"")</f>
        <v/>
      </c>
      <c r="AQ39" s="41">
        <f>IF(AND(AN39&lt;&gt;"",P39&lt;&gt;""),(AN39-P39)/ABS(IF(P39=0,1,P39)),"")</f>
        <v/>
      </c>
      <c r="AR39" s="40">
        <f>IF(AND(AO39&lt;&gt;"",Q39&lt;&gt;""),AO39-Q39,"")</f>
        <v/>
      </c>
      <c r="AS39" s="44" t="n"/>
      <c r="AT39" s="41">
        <f>IF(AND(AS39&gt;0,C39&gt;0),(AS39-C39)/C39,"")</f>
        <v/>
      </c>
      <c r="AU39" s="41">
        <f>IF(AND(AS39&gt;0,AS39&gt;0),(AS39-C39)/AS39,"")</f>
        <v/>
      </c>
      <c r="AV39" s="40">
        <f>IF(AND(AS39&gt;0,C39&gt;0),AS39-C39,"")</f>
        <v/>
      </c>
      <c r="AW39" s="41">
        <f>IF(AND(AS39&gt;0,D39&gt;0),(AS39-D39)/D39,"")</f>
        <v/>
      </c>
      <c r="AX39" s="41">
        <f>IF(AND(AU39&lt;&gt;"",P39&lt;&gt;""),(AU39-P39)/ABS(IF(P39=0,1,P39)),"")</f>
        <v/>
      </c>
      <c r="AY39" s="40">
        <f>IF(AND(AV39&lt;&gt;"",Q39&lt;&gt;""),AV39-Q39,"")</f>
        <v/>
      </c>
      <c r="AZ39" s="45" t="n"/>
      <c r="BA39" s="40">
        <f>IF(AND(AZ39&gt;0,C39&gt;0),C39/(1-AZ39),"")</f>
        <v/>
      </c>
      <c r="BB39" s="41">
        <f>IF(AND(BA39&lt;&gt;"",C39&gt;0),(BA39-C39)/C39,"")</f>
        <v/>
      </c>
      <c r="BC39" s="41">
        <f>IF(BA39&lt;&gt;"",AZ39,"")</f>
        <v/>
      </c>
      <c r="BD39" s="40">
        <f>IF(AND(BA39&lt;&gt;"",C39&gt;0),BA39-C39,"")</f>
        <v/>
      </c>
      <c r="BE39" s="41">
        <f>IF(AND(BA39&lt;&gt;"",D39&gt;0),(BA39-D39)/D39,"")</f>
        <v/>
      </c>
      <c r="BF39" s="41">
        <f>IF(AND(BC39&lt;&gt;"",P39&lt;&gt;""),(BC39-P39)/ABS(IF(P39=0,1,P39)),"")</f>
        <v/>
      </c>
      <c r="BG39" s="40">
        <f>IF(AND(BD39&lt;&gt;"",Q39&lt;&gt;""),BD39-Q39,"")</f>
        <v/>
      </c>
      <c r="BH39" s="40">
        <f>IF(AND(T39&gt;0,X39&lt;&gt;""),T39*X39,"")</f>
        <v/>
      </c>
      <c r="BI39" s="40">
        <f>IF(AND(T39&gt;0,AA39&lt;&gt;""),T39*AA39,"")</f>
        <v/>
      </c>
      <c r="BJ39" s="40">
        <f>IF(AND(T39&gt;0,AE39&lt;&gt;""),T39*AE39,"")</f>
        <v/>
      </c>
      <c r="BK39" s="40">
        <f>IF(AND(T39&gt;0,AH39&lt;&gt;""),T39*AH39,"")</f>
        <v/>
      </c>
      <c r="BL39" s="40">
        <f>IF(AND(T39&gt;0,AL39&lt;&gt;""),T39*AL39,"")</f>
        <v/>
      </c>
      <c r="BM39" s="40">
        <f>IF(AND(T39&gt;0,AO39&lt;&gt;""),T39*AO39,"")</f>
        <v/>
      </c>
      <c r="BN39" s="40">
        <f>IF(AND(T39&gt;0,AS39&gt;0),T39*AS39,"")</f>
        <v/>
      </c>
      <c r="BO39" s="40">
        <f>IF(AND(T39&gt;0,AV39&lt;&gt;""),T39*AV39,"")</f>
        <v/>
      </c>
      <c r="BP39" s="40">
        <f>IF(AND(T39&gt;0,BA39&lt;&gt;""),T39*BA39,"")</f>
        <v/>
      </c>
      <c r="BQ39" s="40">
        <f>IF(AND(T39&gt;0,BD39&lt;&gt;""),T39*BD39,"")</f>
        <v/>
      </c>
      <c r="BR39" s="46">
        <f>IF(AND(T39&gt;0,V39&gt;0,AA39&lt;&gt;0),V39/AA39-T39,"")</f>
        <v/>
      </c>
      <c r="BS39" s="41">
        <f>IF(AND(BR39&lt;&gt;"",T39&gt;0),BR39/T39,"")</f>
        <v/>
      </c>
      <c r="BT39" s="46">
        <f>IF(AND(T39&gt;0,V39&gt;0,AO39&lt;&gt;0),V39/AO39-T39,"")</f>
        <v/>
      </c>
      <c r="BU39" s="41">
        <f>IF(AND(BT39&lt;&gt;"",T39&gt;0),BT39/T39,"")</f>
        <v/>
      </c>
    </row>
    <row r="40">
      <c r="A40" s="36">
        <f>'📊 Исходные данные'!A39</f>
        <v/>
      </c>
      <c r="B40" s="37">
        <f>'📊 Исходные данные'!B39</f>
        <v/>
      </c>
      <c r="C40" s="38">
        <f>'📊 Исходные данные'!C39</f>
        <v/>
      </c>
      <c r="D40" s="38">
        <f>'📊 Исходные данные'!D39</f>
        <v/>
      </c>
      <c r="E40" s="39">
        <f>IF(OR(D40="",F40=""),"-",IF(D40&gt;F40*1.05,"Выше рынка",IF(D40&lt;F40*0.95,"Ниже рынка","На уровне")))</f>
        <v/>
      </c>
      <c r="F40" s="40">
        <f>IFERROR(AVERAGE('📊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G40" s="40">
        <f>IFERROR(MEDIAN('📊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H40" s="40">
        <f>IFERROR(MIN('📊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I40" s="40">
        <f>IFERROR(MAX('📊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данные'!K39),"")</f>
        <v/>
      </c>
      <c r="J40" s="41">
        <f>IF(AND(D40&lt;&gt;"",F40&lt;&gt;""),(D40-F40)/F40,"")</f>
        <v/>
      </c>
      <c r="K40" s="41">
        <f>IF(AND(D40&lt;&gt;"",G40&lt;&gt;""),(D40-G40)/G40,"")</f>
        <v/>
      </c>
      <c r="L40" s="41">
        <f>IF(AND(D40&lt;&gt;"",H40&lt;&gt;""),(D40-H40)/H40,"")</f>
        <v/>
      </c>
      <c r="M40" s="42">
        <f>IFERROR(RANK(D40,('📊 Исходные данные'!E39,'📊 Исходные данные'!F39,'📊 Исходные данные'!G39,'📊 Исходные данные'!H39,'📊 Исходные данные'!I39,'📊 Исходные данные'!J39,'📊 Исходные данные'!K39)),"")</f>
        <v/>
      </c>
      <c r="N40" s="39">
        <f>IF(M40="","-",IF(M40=1,"Дороже всех",IF(M40=2,"2-й по цене",IF(M40&lt;=4,"Средний","Ниже конкурентов"))))</f>
        <v/>
      </c>
      <c r="O40" s="41">
        <f>IF(AND(C40&gt;0,D40&gt;0),(D40-C40)/C40,"")</f>
        <v/>
      </c>
      <c r="P40" s="41">
        <f>IF(AND(C40&gt;0,D40&gt;0),(D40-C40)/D40,"")</f>
        <v/>
      </c>
      <c r="Q40" s="40">
        <f>IF(AND(C40&gt;0,D40&gt;0),D40-C40,"")</f>
        <v/>
      </c>
      <c r="R40" s="39">
        <f>IF(P40="","-",IF(P40&lt;0.1,"Низкая(&lt;10%)",IF(P40&lt;0.2,"Средняя(10-20%)","Хорошая(&gt;20%)")))</f>
        <v/>
      </c>
      <c r="S40" s="39">
        <f>IF(OR(H40="",C40=""),"-",IF((H40-C40)/H40&lt;0.05,"КРИТИЧНО",IF((H40-C40)/H40&lt;0.15,"УМЕРЕННЫЙ","НИЗКИЙ")))</f>
        <v/>
      </c>
      <c r="T40" s="43" t="n"/>
      <c r="U40" s="40">
        <f>IF(T40&gt;0,T40*D40,"")</f>
        <v/>
      </c>
      <c r="V40" s="40">
        <f>IF(T40&gt;0,T40*Q40,"")</f>
        <v/>
      </c>
      <c r="W40" s="41">
        <f>IF(U40&gt;0,V40/U40,"")</f>
        <v/>
      </c>
      <c r="X40" s="40">
        <f>IF(F40&lt;&gt;"",F40,"")</f>
        <v/>
      </c>
      <c r="Y40" s="41">
        <f>IF(AND(X40&lt;&gt;"",C40&gt;0),(X40-C40)/C40,"")</f>
        <v/>
      </c>
      <c r="Z40" s="41">
        <f>IF(AND(X40&lt;&gt;"",X40&gt;0),(X40-C40)/X40,"")</f>
        <v/>
      </c>
      <c r="AA40" s="40">
        <f>IF(AND(X40&lt;&gt;"",C40&gt;0),X40-C40,"")</f>
        <v/>
      </c>
      <c r="AB40" s="41">
        <f>IF(AND(X40&lt;&gt;"",D40&gt;0),(X40-D40)/D40,"")</f>
        <v/>
      </c>
      <c r="AC40" s="41">
        <f>IF(AND(Z40&lt;&gt;"",P40&lt;&gt;""),(Z40-P40)/ABS(IF(P40=0,1,P40)),"")</f>
        <v/>
      </c>
      <c r="AD40" s="40">
        <f>IF(AND(AA40&lt;&gt;"",Q40&lt;&gt;""),AA40-Q40,"")</f>
        <v/>
      </c>
      <c r="AE40" s="40">
        <f>IF(G40&lt;&gt;"",G40,"")</f>
        <v/>
      </c>
      <c r="AF40" s="41">
        <f>IF(AND(AE40&lt;&gt;"",C40&gt;0),(AE40-C40)/C40,"")</f>
        <v/>
      </c>
      <c r="AG40" s="41">
        <f>IF(AND(AE40&lt;&gt;"",AE40&gt;0),(AE40-C40)/AE40,"")</f>
        <v/>
      </c>
      <c r="AH40" s="40">
        <f>IF(AND(AE40&lt;&gt;"",C40&gt;0),AE40-C40,"")</f>
        <v/>
      </c>
      <c r="AI40" s="41">
        <f>IF(AND(AE40&lt;&gt;"",D40&gt;0),(AE40-D40)/D40,"")</f>
        <v/>
      </c>
      <c r="AJ40" s="41">
        <f>IF(AND(AG40&lt;&gt;"",P40&lt;&gt;""),(AG40-P40)/ABS(IF(P40=0,1,P40)),"")</f>
        <v/>
      </c>
      <c r="AK40" s="40">
        <f>IF(AND(AH40&lt;&gt;"",Q40&lt;&gt;""),AH40-Q40,"")</f>
        <v/>
      </c>
      <c r="AL40" s="40">
        <f>IF(H40&lt;&gt;"",H40,"")</f>
        <v/>
      </c>
      <c r="AM40" s="41">
        <f>IF(AND(AL40&lt;&gt;"",C40&gt;0),(AL40-C40)/C40,"")</f>
        <v/>
      </c>
      <c r="AN40" s="41">
        <f>IF(AND(AL40&lt;&gt;"",AL40&gt;0),(AL40-C40)/AL40,"")</f>
        <v/>
      </c>
      <c r="AO40" s="40">
        <f>IF(AND(AL40&lt;&gt;"",C40&gt;0),AL40-C40,"")</f>
        <v/>
      </c>
      <c r="AP40" s="41">
        <f>IF(AND(AL40&lt;&gt;"",D40&gt;0),(AL40-D40)/D40,"")</f>
        <v/>
      </c>
      <c r="AQ40" s="41">
        <f>IF(AND(AN40&lt;&gt;"",P40&lt;&gt;""),(AN40-P40)/ABS(IF(P40=0,1,P40)),"")</f>
        <v/>
      </c>
      <c r="AR40" s="40">
        <f>IF(AND(AO40&lt;&gt;"",Q40&lt;&gt;""),AO40-Q40,"")</f>
        <v/>
      </c>
      <c r="AS40" s="44" t="n"/>
      <c r="AT40" s="41">
        <f>IF(AND(AS40&gt;0,C40&gt;0),(AS40-C40)/C40,"")</f>
        <v/>
      </c>
      <c r="AU40" s="41">
        <f>IF(AND(AS40&gt;0,AS40&gt;0),(AS40-C40)/AS40,"")</f>
        <v/>
      </c>
      <c r="AV40" s="40">
        <f>IF(AND(AS40&gt;0,C40&gt;0),AS40-C40,"")</f>
        <v/>
      </c>
      <c r="AW40" s="41">
        <f>IF(AND(AS40&gt;0,D40&gt;0),(AS40-D40)/D40,"")</f>
        <v/>
      </c>
      <c r="AX40" s="41">
        <f>IF(AND(AU40&lt;&gt;"",P40&lt;&gt;""),(AU40-P40)/ABS(IF(P40=0,1,P40)),"")</f>
        <v/>
      </c>
      <c r="AY40" s="40">
        <f>IF(AND(AV40&lt;&gt;"",Q40&lt;&gt;""),AV40-Q40,"")</f>
        <v/>
      </c>
      <c r="AZ40" s="45" t="n"/>
      <c r="BA40" s="40">
        <f>IF(AND(AZ40&gt;0,C40&gt;0),C40/(1-AZ40),"")</f>
        <v/>
      </c>
      <c r="BB40" s="41">
        <f>IF(AND(BA40&lt;&gt;"",C40&gt;0),(BA40-C40)/C40,"")</f>
        <v/>
      </c>
      <c r="BC40" s="41">
        <f>IF(BA40&lt;&gt;"",AZ40,"")</f>
        <v/>
      </c>
      <c r="BD40" s="40">
        <f>IF(AND(BA40&lt;&gt;"",C40&gt;0),BA40-C40,"")</f>
        <v/>
      </c>
      <c r="BE40" s="41">
        <f>IF(AND(BA40&lt;&gt;"",D40&gt;0),(BA40-D40)/D40,"")</f>
        <v/>
      </c>
      <c r="BF40" s="41">
        <f>IF(AND(BC40&lt;&gt;"",P40&lt;&gt;""),(BC40-P40)/ABS(IF(P40=0,1,P40)),"")</f>
        <v/>
      </c>
      <c r="BG40" s="40">
        <f>IF(AND(BD40&lt;&gt;"",Q40&lt;&gt;""),BD40-Q40,"")</f>
        <v/>
      </c>
      <c r="BH40" s="40">
        <f>IF(AND(T40&gt;0,X40&lt;&gt;""),T40*X40,"")</f>
        <v/>
      </c>
      <c r="BI40" s="40">
        <f>IF(AND(T40&gt;0,AA40&lt;&gt;""),T40*AA40,"")</f>
        <v/>
      </c>
      <c r="BJ40" s="40">
        <f>IF(AND(T40&gt;0,AE40&lt;&gt;""),T40*AE40,"")</f>
        <v/>
      </c>
      <c r="BK40" s="40">
        <f>IF(AND(T40&gt;0,AH40&lt;&gt;""),T40*AH40,"")</f>
        <v/>
      </c>
      <c r="BL40" s="40">
        <f>IF(AND(T40&gt;0,AL40&lt;&gt;""),T40*AL40,"")</f>
        <v/>
      </c>
      <c r="BM40" s="40">
        <f>IF(AND(T40&gt;0,AO40&lt;&gt;""),T40*AO40,"")</f>
        <v/>
      </c>
      <c r="BN40" s="40">
        <f>IF(AND(T40&gt;0,AS40&gt;0),T40*AS40,"")</f>
        <v/>
      </c>
      <c r="BO40" s="40">
        <f>IF(AND(T40&gt;0,AV40&lt;&gt;""),T40*AV40,"")</f>
        <v/>
      </c>
      <c r="BP40" s="40">
        <f>IF(AND(T40&gt;0,BA40&lt;&gt;""),T40*BA40,"")</f>
        <v/>
      </c>
      <c r="BQ40" s="40">
        <f>IF(AND(T40&gt;0,BD40&lt;&gt;""),T40*BD40,"")</f>
        <v/>
      </c>
      <c r="BR40" s="46">
        <f>IF(AND(T40&gt;0,V40&gt;0,AA40&lt;&gt;0),V40/AA40-T40,"")</f>
        <v/>
      </c>
      <c r="BS40" s="41">
        <f>IF(AND(BR40&lt;&gt;"",T40&gt;0),BR40/T40,"")</f>
        <v/>
      </c>
      <c r="BT40" s="46">
        <f>IF(AND(T40&gt;0,V40&gt;0,AO40&lt;&gt;0),V40/AO40-T40,"")</f>
        <v/>
      </c>
      <c r="BU40" s="41">
        <f>IF(AND(BT40&lt;&gt;"",T40&gt;0),BT40/T40,"")</f>
        <v/>
      </c>
    </row>
    <row r="41">
      <c r="A41" s="36">
        <f>'📊 Исходные данные'!A40</f>
        <v/>
      </c>
      <c r="B41" s="37">
        <f>'📊 Исходные данные'!B40</f>
        <v/>
      </c>
      <c r="C41" s="38">
        <f>'📊 Исходные данные'!C40</f>
        <v/>
      </c>
      <c r="D41" s="38">
        <f>'📊 Исходные данные'!D40</f>
        <v/>
      </c>
      <c r="E41" s="39">
        <f>IF(OR(D41="",F41=""),"-",IF(D41&gt;F41*1.05,"Выше рынка",IF(D41&lt;F41*0.95,"Ниже рынка","На уровне")))</f>
        <v/>
      </c>
      <c r="F41" s="40">
        <f>IFERROR(AVERAGE('📊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G41" s="40">
        <f>IFERROR(MEDIAN('📊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H41" s="40">
        <f>IFERROR(MIN('📊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I41" s="40">
        <f>IFERROR(MAX('📊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данные'!K40),"")</f>
        <v/>
      </c>
      <c r="J41" s="41">
        <f>IF(AND(D41&lt;&gt;"",F41&lt;&gt;""),(D41-F41)/F41,"")</f>
        <v/>
      </c>
      <c r="K41" s="41">
        <f>IF(AND(D41&lt;&gt;"",G41&lt;&gt;""),(D41-G41)/G41,"")</f>
        <v/>
      </c>
      <c r="L41" s="41">
        <f>IF(AND(D41&lt;&gt;"",H41&lt;&gt;""),(D41-H41)/H41,"")</f>
        <v/>
      </c>
      <c r="M41" s="42">
        <f>IFERROR(RANK(D41,('📊 Исходные данные'!E40,'📊 Исходные данные'!F40,'📊 Исходные данные'!G40,'📊 Исходные данные'!H40,'📊 Исходные данные'!I40,'📊 Исходные данные'!J40,'📊 Исходные данные'!K40)),"")</f>
        <v/>
      </c>
      <c r="N41" s="39">
        <f>IF(M41="","-",IF(M41=1,"Дороже всех",IF(M41=2,"2-й по цене",IF(M41&lt;=4,"Средний","Ниже конкурентов"))))</f>
        <v/>
      </c>
      <c r="O41" s="41">
        <f>IF(AND(C41&gt;0,D41&gt;0),(D41-C41)/C41,"")</f>
        <v/>
      </c>
      <c r="P41" s="41">
        <f>IF(AND(C41&gt;0,D41&gt;0),(D41-C41)/D41,"")</f>
        <v/>
      </c>
      <c r="Q41" s="40">
        <f>IF(AND(C41&gt;0,D41&gt;0),D41-C41,"")</f>
        <v/>
      </c>
      <c r="R41" s="39">
        <f>IF(P41="","-",IF(P41&lt;0.1,"Низкая(&lt;10%)",IF(P41&lt;0.2,"Средняя(10-20%)","Хорошая(&gt;20%)")))</f>
        <v/>
      </c>
      <c r="S41" s="39">
        <f>IF(OR(H41="",C41=""),"-",IF((H41-C41)/H41&lt;0.05,"КРИТИЧНО",IF((H41-C41)/H41&lt;0.15,"УМЕРЕННЫЙ","НИЗКИЙ")))</f>
        <v/>
      </c>
      <c r="T41" s="43" t="n"/>
      <c r="U41" s="40">
        <f>IF(T41&gt;0,T41*D41,"")</f>
        <v/>
      </c>
      <c r="V41" s="40">
        <f>IF(T41&gt;0,T41*Q41,"")</f>
        <v/>
      </c>
      <c r="W41" s="41">
        <f>IF(U41&gt;0,V41/U41,"")</f>
        <v/>
      </c>
      <c r="X41" s="40">
        <f>IF(F41&lt;&gt;"",F41,"")</f>
        <v/>
      </c>
      <c r="Y41" s="41">
        <f>IF(AND(X41&lt;&gt;"",C41&gt;0),(X41-C41)/C41,"")</f>
        <v/>
      </c>
      <c r="Z41" s="41">
        <f>IF(AND(X41&lt;&gt;"",X41&gt;0),(X41-C41)/X41,"")</f>
        <v/>
      </c>
      <c r="AA41" s="40">
        <f>IF(AND(X41&lt;&gt;"",C41&gt;0),X41-C41,"")</f>
        <v/>
      </c>
      <c r="AB41" s="41">
        <f>IF(AND(X41&lt;&gt;"",D41&gt;0),(X41-D41)/D41,"")</f>
        <v/>
      </c>
      <c r="AC41" s="41">
        <f>IF(AND(Z41&lt;&gt;"",P41&lt;&gt;""),(Z41-P41)/ABS(IF(P41=0,1,P41)),"")</f>
        <v/>
      </c>
      <c r="AD41" s="40">
        <f>IF(AND(AA41&lt;&gt;"",Q41&lt;&gt;""),AA41-Q41,"")</f>
        <v/>
      </c>
      <c r="AE41" s="40">
        <f>IF(G41&lt;&gt;"",G41,"")</f>
        <v/>
      </c>
      <c r="AF41" s="41">
        <f>IF(AND(AE41&lt;&gt;"",C41&gt;0),(AE41-C41)/C41,"")</f>
        <v/>
      </c>
      <c r="AG41" s="41">
        <f>IF(AND(AE41&lt;&gt;"",AE41&gt;0),(AE41-C41)/AE41,"")</f>
        <v/>
      </c>
      <c r="AH41" s="40">
        <f>IF(AND(AE41&lt;&gt;"",C41&gt;0),AE41-C41,"")</f>
        <v/>
      </c>
      <c r="AI41" s="41">
        <f>IF(AND(AE41&lt;&gt;"",D41&gt;0),(AE41-D41)/D41,"")</f>
        <v/>
      </c>
      <c r="AJ41" s="41">
        <f>IF(AND(AG41&lt;&gt;"",P41&lt;&gt;""),(AG41-P41)/ABS(IF(P41=0,1,P41)),"")</f>
        <v/>
      </c>
      <c r="AK41" s="40">
        <f>IF(AND(AH41&lt;&gt;"",Q41&lt;&gt;""),AH41-Q41,"")</f>
        <v/>
      </c>
      <c r="AL41" s="40">
        <f>IF(H41&lt;&gt;"",H41,"")</f>
        <v/>
      </c>
      <c r="AM41" s="41">
        <f>IF(AND(AL41&lt;&gt;"",C41&gt;0),(AL41-C41)/C41,"")</f>
        <v/>
      </c>
      <c r="AN41" s="41">
        <f>IF(AND(AL41&lt;&gt;"",AL41&gt;0),(AL41-C41)/AL41,"")</f>
        <v/>
      </c>
      <c r="AO41" s="40">
        <f>IF(AND(AL41&lt;&gt;"",C41&gt;0),AL41-C41,"")</f>
        <v/>
      </c>
      <c r="AP41" s="41">
        <f>IF(AND(AL41&lt;&gt;"",D41&gt;0),(AL41-D41)/D41,"")</f>
        <v/>
      </c>
      <c r="AQ41" s="41">
        <f>IF(AND(AN41&lt;&gt;"",P41&lt;&gt;""),(AN41-P41)/ABS(IF(P41=0,1,P41)),"")</f>
        <v/>
      </c>
      <c r="AR41" s="40">
        <f>IF(AND(AO41&lt;&gt;"",Q41&lt;&gt;""),AO41-Q41,"")</f>
        <v/>
      </c>
      <c r="AS41" s="44" t="n"/>
      <c r="AT41" s="41">
        <f>IF(AND(AS41&gt;0,C41&gt;0),(AS41-C41)/C41,"")</f>
        <v/>
      </c>
      <c r="AU41" s="41">
        <f>IF(AND(AS41&gt;0,AS41&gt;0),(AS41-C41)/AS41,"")</f>
        <v/>
      </c>
      <c r="AV41" s="40">
        <f>IF(AND(AS41&gt;0,C41&gt;0),AS41-C41,"")</f>
        <v/>
      </c>
      <c r="AW41" s="41">
        <f>IF(AND(AS41&gt;0,D41&gt;0),(AS41-D41)/D41,"")</f>
        <v/>
      </c>
      <c r="AX41" s="41">
        <f>IF(AND(AU41&lt;&gt;"",P41&lt;&gt;""),(AU41-P41)/ABS(IF(P41=0,1,P41)),"")</f>
        <v/>
      </c>
      <c r="AY41" s="40">
        <f>IF(AND(AV41&lt;&gt;"",Q41&lt;&gt;""),AV41-Q41,"")</f>
        <v/>
      </c>
      <c r="AZ41" s="45" t="n"/>
      <c r="BA41" s="40">
        <f>IF(AND(AZ41&gt;0,C41&gt;0),C41/(1-AZ41),"")</f>
        <v/>
      </c>
      <c r="BB41" s="41">
        <f>IF(AND(BA41&lt;&gt;"",C41&gt;0),(BA41-C41)/C41,"")</f>
        <v/>
      </c>
      <c r="BC41" s="41">
        <f>IF(BA41&lt;&gt;"",AZ41,"")</f>
        <v/>
      </c>
      <c r="BD41" s="40">
        <f>IF(AND(BA41&lt;&gt;"",C41&gt;0),BA41-C41,"")</f>
        <v/>
      </c>
      <c r="BE41" s="41">
        <f>IF(AND(BA41&lt;&gt;"",D41&gt;0),(BA41-D41)/D41,"")</f>
        <v/>
      </c>
      <c r="BF41" s="41">
        <f>IF(AND(BC41&lt;&gt;"",P41&lt;&gt;""),(BC41-P41)/ABS(IF(P41=0,1,P41)),"")</f>
        <v/>
      </c>
      <c r="BG41" s="40">
        <f>IF(AND(BD41&lt;&gt;"",Q41&lt;&gt;""),BD41-Q41,"")</f>
        <v/>
      </c>
      <c r="BH41" s="40">
        <f>IF(AND(T41&gt;0,X41&lt;&gt;""),T41*X41,"")</f>
        <v/>
      </c>
      <c r="BI41" s="40">
        <f>IF(AND(T41&gt;0,AA41&lt;&gt;""),T41*AA41,"")</f>
        <v/>
      </c>
      <c r="BJ41" s="40">
        <f>IF(AND(T41&gt;0,AE41&lt;&gt;""),T41*AE41,"")</f>
        <v/>
      </c>
      <c r="BK41" s="40">
        <f>IF(AND(T41&gt;0,AH41&lt;&gt;""),T41*AH41,"")</f>
        <v/>
      </c>
      <c r="BL41" s="40">
        <f>IF(AND(T41&gt;0,AL41&lt;&gt;""),T41*AL41,"")</f>
        <v/>
      </c>
      <c r="BM41" s="40">
        <f>IF(AND(T41&gt;0,AO41&lt;&gt;""),T41*AO41,"")</f>
        <v/>
      </c>
      <c r="BN41" s="40">
        <f>IF(AND(T41&gt;0,AS41&gt;0),T41*AS41,"")</f>
        <v/>
      </c>
      <c r="BO41" s="40">
        <f>IF(AND(T41&gt;0,AV41&lt;&gt;""),T41*AV41,"")</f>
        <v/>
      </c>
      <c r="BP41" s="40">
        <f>IF(AND(T41&gt;0,BA41&lt;&gt;""),T41*BA41,"")</f>
        <v/>
      </c>
      <c r="BQ41" s="40">
        <f>IF(AND(T41&gt;0,BD41&lt;&gt;""),T41*BD41,"")</f>
        <v/>
      </c>
      <c r="BR41" s="46">
        <f>IF(AND(T41&gt;0,V41&gt;0,AA41&lt;&gt;0),V41/AA41-T41,"")</f>
        <v/>
      </c>
      <c r="BS41" s="41">
        <f>IF(AND(BR41&lt;&gt;"",T41&gt;0),BR41/T41,"")</f>
        <v/>
      </c>
      <c r="BT41" s="46">
        <f>IF(AND(T41&gt;0,V41&gt;0,AO41&lt;&gt;0),V41/AO41-T41,"")</f>
        <v/>
      </c>
      <c r="BU41" s="41">
        <f>IF(AND(BT41&lt;&gt;"",T41&gt;0),BT41/T41,"")</f>
        <v/>
      </c>
    </row>
    <row r="42">
      <c r="A42" s="36">
        <f>'📊 Исходные данные'!A41</f>
        <v/>
      </c>
      <c r="B42" s="37">
        <f>'📊 Исходные данные'!B41</f>
        <v/>
      </c>
      <c r="C42" s="38">
        <f>'📊 Исходные данные'!C41</f>
        <v/>
      </c>
      <c r="D42" s="38">
        <f>'📊 Исходные данные'!D41</f>
        <v/>
      </c>
      <c r="E42" s="39">
        <f>IF(OR(D42="",F42=""),"-",IF(D42&gt;F42*1.05,"Выше рынка",IF(D42&lt;F42*0.95,"Ниже рынка","На уровне")))</f>
        <v/>
      </c>
      <c r="F42" s="40">
        <f>IFERROR(AVERAGE('📊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G42" s="40">
        <f>IFERROR(MEDIAN('📊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H42" s="40">
        <f>IFERROR(MIN('📊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I42" s="40">
        <f>IFERROR(MAX('📊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данные'!K41),"")</f>
        <v/>
      </c>
      <c r="J42" s="41">
        <f>IF(AND(D42&lt;&gt;"",F42&lt;&gt;""),(D42-F42)/F42,"")</f>
        <v/>
      </c>
      <c r="K42" s="41">
        <f>IF(AND(D42&lt;&gt;"",G42&lt;&gt;""),(D42-G42)/G42,"")</f>
        <v/>
      </c>
      <c r="L42" s="41">
        <f>IF(AND(D42&lt;&gt;"",H42&lt;&gt;""),(D42-H42)/H42,"")</f>
        <v/>
      </c>
      <c r="M42" s="42">
        <f>IFERROR(RANK(D42,('📊 Исходные данные'!E41,'📊 Исходные данные'!F41,'📊 Исходные данные'!G41,'📊 Исходные данные'!H41,'📊 Исходные данные'!I41,'📊 Исходные данные'!J41,'📊 Исходные данные'!K41)),"")</f>
        <v/>
      </c>
      <c r="N42" s="39">
        <f>IF(M42="","-",IF(M42=1,"Дороже всех",IF(M42=2,"2-й по цене",IF(M42&lt;=4,"Средний","Ниже конкурентов"))))</f>
        <v/>
      </c>
      <c r="O42" s="41">
        <f>IF(AND(C42&gt;0,D42&gt;0),(D42-C42)/C42,"")</f>
        <v/>
      </c>
      <c r="P42" s="41">
        <f>IF(AND(C42&gt;0,D42&gt;0),(D42-C42)/D42,"")</f>
        <v/>
      </c>
      <c r="Q42" s="40">
        <f>IF(AND(C42&gt;0,D42&gt;0),D42-C42,"")</f>
        <v/>
      </c>
      <c r="R42" s="39">
        <f>IF(P42="","-",IF(P42&lt;0.1,"Низкая(&lt;10%)",IF(P42&lt;0.2,"Средняя(10-20%)","Хорошая(&gt;20%)")))</f>
        <v/>
      </c>
      <c r="S42" s="39">
        <f>IF(OR(H42="",C42=""),"-",IF((H42-C42)/H42&lt;0.05,"КРИТИЧНО",IF((H42-C42)/H42&lt;0.15,"УМЕРЕННЫЙ","НИЗКИЙ")))</f>
        <v/>
      </c>
      <c r="T42" s="43" t="n"/>
      <c r="U42" s="40">
        <f>IF(T42&gt;0,T42*D42,"")</f>
        <v/>
      </c>
      <c r="V42" s="40">
        <f>IF(T42&gt;0,T42*Q42,"")</f>
        <v/>
      </c>
      <c r="W42" s="41">
        <f>IF(U42&gt;0,V42/U42,"")</f>
        <v/>
      </c>
      <c r="X42" s="40">
        <f>IF(F42&lt;&gt;"",F42,"")</f>
        <v/>
      </c>
      <c r="Y42" s="41">
        <f>IF(AND(X42&lt;&gt;"",C42&gt;0),(X42-C42)/C42,"")</f>
        <v/>
      </c>
      <c r="Z42" s="41">
        <f>IF(AND(X42&lt;&gt;"",X42&gt;0),(X42-C42)/X42,"")</f>
        <v/>
      </c>
      <c r="AA42" s="40">
        <f>IF(AND(X42&lt;&gt;"",C42&gt;0),X42-C42,"")</f>
        <v/>
      </c>
      <c r="AB42" s="41">
        <f>IF(AND(X42&lt;&gt;"",D42&gt;0),(X42-D42)/D42,"")</f>
        <v/>
      </c>
      <c r="AC42" s="41">
        <f>IF(AND(Z42&lt;&gt;"",P42&lt;&gt;""),(Z42-P42)/ABS(IF(P42=0,1,P42)),"")</f>
        <v/>
      </c>
      <c r="AD42" s="40">
        <f>IF(AND(AA42&lt;&gt;"",Q42&lt;&gt;""),AA42-Q42,"")</f>
        <v/>
      </c>
      <c r="AE42" s="40">
        <f>IF(G42&lt;&gt;"",G42,"")</f>
        <v/>
      </c>
      <c r="AF42" s="41">
        <f>IF(AND(AE42&lt;&gt;"",C42&gt;0),(AE42-C42)/C42,"")</f>
        <v/>
      </c>
      <c r="AG42" s="41">
        <f>IF(AND(AE42&lt;&gt;"",AE42&gt;0),(AE42-C42)/AE42,"")</f>
        <v/>
      </c>
      <c r="AH42" s="40">
        <f>IF(AND(AE42&lt;&gt;"",C42&gt;0),AE42-C42,"")</f>
        <v/>
      </c>
      <c r="AI42" s="41">
        <f>IF(AND(AE42&lt;&gt;"",D42&gt;0),(AE42-D42)/D42,"")</f>
        <v/>
      </c>
      <c r="AJ42" s="41">
        <f>IF(AND(AG42&lt;&gt;"",P42&lt;&gt;""),(AG42-P42)/ABS(IF(P42=0,1,P42)),"")</f>
        <v/>
      </c>
      <c r="AK42" s="40">
        <f>IF(AND(AH42&lt;&gt;"",Q42&lt;&gt;""),AH42-Q42,"")</f>
        <v/>
      </c>
      <c r="AL42" s="40">
        <f>IF(H42&lt;&gt;"",H42,"")</f>
        <v/>
      </c>
      <c r="AM42" s="41">
        <f>IF(AND(AL42&lt;&gt;"",C42&gt;0),(AL42-C42)/C42,"")</f>
        <v/>
      </c>
      <c r="AN42" s="41">
        <f>IF(AND(AL42&lt;&gt;"",AL42&gt;0),(AL42-C42)/AL42,"")</f>
        <v/>
      </c>
      <c r="AO42" s="40">
        <f>IF(AND(AL42&lt;&gt;"",C42&gt;0),AL42-C42,"")</f>
        <v/>
      </c>
      <c r="AP42" s="41">
        <f>IF(AND(AL42&lt;&gt;"",D42&gt;0),(AL42-D42)/D42,"")</f>
        <v/>
      </c>
      <c r="AQ42" s="41">
        <f>IF(AND(AN42&lt;&gt;"",P42&lt;&gt;""),(AN42-P42)/ABS(IF(P42=0,1,P42)),"")</f>
        <v/>
      </c>
      <c r="AR42" s="40">
        <f>IF(AND(AO42&lt;&gt;"",Q42&lt;&gt;""),AO42-Q42,"")</f>
        <v/>
      </c>
      <c r="AS42" s="44" t="n"/>
      <c r="AT42" s="41">
        <f>IF(AND(AS42&gt;0,C42&gt;0),(AS42-C42)/C42,"")</f>
        <v/>
      </c>
      <c r="AU42" s="41">
        <f>IF(AND(AS42&gt;0,AS42&gt;0),(AS42-C42)/AS42,"")</f>
        <v/>
      </c>
      <c r="AV42" s="40">
        <f>IF(AND(AS42&gt;0,C42&gt;0),AS42-C42,"")</f>
        <v/>
      </c>
      <c r="AW42" s="41">
        <f>IF(AND(AS42&gt;0,D42&gt;0),(AS42-D42)/D42,"")</f>
        <v/>
      </c>
      <c r="AX42" s="41">
        <f>IF(AND(AU42&lt;&gt;"",P42&lt;&gt;""),(AU42-P42)/ABS(IF(P42=0,1,P42)),"")</f>
        <v/>
      </c>
      <c r="AY42" s="40">
        <f>IF(AND(AV42&lt;&gt;"",Q42&lt;&gt;""),AV42-Q42,"")</f>
        <v/>
      </c>
      <c r="AZ42" s="45" t="n"/>
      <c r="BA42" s="40">
        <f>IF(AND(AZ42&gt;0,C42&gt;0),C42/(1-AZ42),"")</f>
        <v/>
      </c>
      <c r="BB42" s="41">
        <f>IF(AND(BA42&lt;&gt;"",C42&gt;0),(BA42-C42)/C42,"")</f>
        <v/>
      </c>
      <c r="BC42" s="41">
        <f>IF(BA42&lt;&gt;"",AZ42,"")</f>
        <v/>
      </c>
      <c r="BD42" s="40">
        <f>IF(AND(BA42&lt;&gt;"",C42&gt;0),BA42-C42,"")</f>
        <v/>
      </c>
      <c r="BE42" s="41">
        <f>IF(AND(BA42&lt;&gt;"",D42&gt;0),(BA42-D42)/D42,"")</f>
        <v/>
      </c>
      <c r="BF42" s="41">
        <f>IF(AND(BC42&lt;&gt;"",P42&lt;&gt;""),(BC42-P42)/ABS(IF(P42=0,1,P42)),"")</f>
        <v/>
      </c>
      <c r="BG42" s="40">
        <f>IF(AND(BD42&lt;&gt;"",Q42&lt;&gt;""),BD42-Q42,"")</f>
        <v/>
      </c>
      <c r="BH42" s="40">
        <f>IF(AND(T42&gt;0,X42&lt;&gt;""),T42*X42,"")</f>
        <v/>
      </c>
      <c r="BI42" s="40">
        <f>IF(AND(T42&gt;0,AA42&lt;&gt;""),T42*AA42,"")</f>
        <v/>
      </c>
      <c r="BJ42" s="40">
        <f>IF(AND(T42&gt;0,AE42&lt;&gt;""),T42*AE42,"")</f>
        <v/>
      </c>
      <c r="BK42" s="40">
        <f>IF(AND(T42&gt;0,AH42&lt;&gt;""),T42*AH42,"")</f>
        <v/>
      </c>
      <c r="BL42" s="40">
        <f>IF(AND(T42&gt;0,AL42&lt;&gt;""),T42*AL42,"")</f>
        <v/>
      </c>
      <c r="BM42" s="40">
        <f>IF(AND(T42&gt;0,AO42&lt;&gt;""),T42*AO42,"")</f>
        <v/>
      </c>
      <c r="BN42" s="40">
        <f>IF(AND(T42&gt;0,AS42&gt;0),T42*AS42,"")</f>
        <v/>
      </c>
      <c r="BO42" s="40">
        <f>IF(AND(T42&gt;0,AV42&lt;&gt;""),T42*AV42,"")</f>
        <v/>
      </c>
      <c r="BP42" s="40">
        <f>IF(AND(T42&gt;0,BA42&lt;&gt;""),T42*BA42,"")</f>
        <v/>
      </c>
      <c r="BQ42" s="40">
        <f>IF(AND(T42&gt;0,BD42&lt;&gt;""),T42*BD42,"")</f>
        <v/>
      </c>
      <c r="BR42" s="46">
        <f>IF(AND(T42&gt;0,V42&gt;0,AA42&lt;&gt;0),V42/AA42-T42,"")</f>
        <v/>
      </c>
      <c r="BS42" s="41">
        <f>IF(AND(BR42&lt;&gt;"",T42&gt;0),BR42/T42,"")</f>
        <v/>
      </c>
      <c r="BT42" s="46">
        <f>IF(AND(T42&gt;0,V42&gt;0,AO42&lt;&gt;0),V42/AO42-T42,"")</f>
        <v/>
      </c>
      <c r="BU42" s="41">
        <f>IF(AND(BT42&lt;&gt;"",T42&gt;0),BT42/T42,"")</f>
        <v/>
      </c>
    </row>
    <row r="43">
      <c r="A43" s="36">
        <f>'📊 Исходные данные'!A42</f>
        <v/>
      </c>
      <c r="B43" s="37">
        <f>'📊 Исходные данные'!B42</f>
        <v/>
      </c>
      <c r="C43" s="38">
        <f>'📊 Исходные данные'!C42</f>
        <v/>
      </c>
      <c r="D43" s="38">
        <f>'📊 Исходные данные'!D42</f>
        <v/>
      </c>
      <c r="E43" s="39">
        <f>IF(OR(D43="",F43=""),"-",IF(D43&gt;F43*1.05,"Выше рынка",IF(D43&lt;F43*0.95,"Ниже рынка","На уровне")))</f>
        <v/>
      </c>
      <c r="F43" s="40">
        <f>IFERROR(AVERAGE('📊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G43" s="40">
        <f>IFERROR(MEDIAN('📊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H43" s="40">
        <f>IFERROR(MIN('📊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I43" s="40">
        <f>IFERROR(MAX('📊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данные'!K42),"")</f>
        <v/>
      </c>
      <c r="J43" s="41">
        <f>IF(AND(D43&lt;&gt;"",F43&lt;&gt;""),(D43-F43)/F43,"")</f>
        <v/>
      </c>
      <c r="K43" s="41">
        <f>IF(AND(D43&lt;&gt;"",G43&lt;&gt;""),(D43-G43)/G43,"")</f>
        <v/>
      </c>
      <c r="L43" s="41">
        <f>IF(AND(D43&lt;&gt;"",H43&lt;&gt;""),(D43-H43)/H43,"")</f>
        <v/>
      </c>
      <c r="M43" s="42">
        <f>IFERROR(RANK(D43,('📊 Исходные данные'!E42,'📊 Исходные данные'!F42,'📊 Исходные данные'!G42,'📊 Исходные данные'!H42,'📊 Исходные данные'!I42,'📊 Исходные данные'!J42,'📊 Исходные данные'!K42)),"")</f>
        <v/>
      </c>
      <c r="N43" s="39">
        <f>IF(M43="","-",IF(M43=1,"Дороже всех",IF(M43=2,"2-й по цене",IF(M43&lt;=4,"Средний","Ниже конкурентов"))))</f>
        <v/>
      </c>
      <c r="O43" s="41">
        <f>IF(AND(C43&gt;0,D43&gt;0),(D43-C43)/C43,"")</f>
        <v/>
      </c>
      <c r="P43" s="41">
        <f>IF(AND(C43&gt;0,D43&gt;0),(D43-C43)/D43,"")</f>
        <v/>
      </c>
      <c r="Q43" s="40">
        <f>IF(AND(C43&gt;0,D43&gt;0),D43-C43,"")</f>
        <v/>
      </c>
      <c r="R43" s="39">
        <f>IF(P43="","-",IF(P43&lt;0.1,"Низкая(&lt;10%)",IF(P43&lt;0.2,"Средняя(10-20%)","Хорошая(&gt;20%)")))</f>
        <v/>
      </c>
      <c r="S43" s="39">
        <f>IF(OR(H43="",C43=""),"-",IF((H43-C43)/H43&lt;0.05,"КРИТИЧНО",IF((H43-C43)/H43&lt;0.15,"УМЕРЕННЫЙ","НИЗКИЙ")))</f>
        <v/>
      </c>
      <c r="T43" s="43" t="n"/>
      <c r="U43" s="40">
        <f>IF(T43&gt;0,T43*D43,"")</f>
        <v/>
      </c>
      <c r="V43" s="40">
        <f>IF(T43&gt;0,T43*Q43,"")</f>
        <v/>
      </c>
      <c r="W43" s="41">
        <f>IF(U43&gt;0,V43/U43,"")</f>
        <v/>
      </c>
      <c r="X43" s="40">
        <f>IF(F43&lt;&gt;"",F43,"")</f>
        <v/>
      </c>
      <c r="Y43" s="41">
        <f>IF(AND(X43&lt;&gt;"",C43&gt;0),(X43-C43)/C43,"")</f>
        <v/>
      </c>
      <c r="Z43" s="41">
        <f>IF(AND(X43&lt;&gt;"",X43&gt;0),(X43-C43)/X43,"")</f>
        <v/>
      </c>
      <c r="AA43" s="40">
        <f>IF(AND(X43&lt;&gt;"",C43&gt;0),X43-C43,"")</f>
        <v/>
      </c>
      <c r="AB43" s="41">
        <f>IF(AND(X43&lt;&gt;"",D43&gt;0),(X43-D43)/D43,"")</f>
        <v/>
      </c>
      <c r="AC43" s="41">
        <f>IF(AND(Z43&lt;&gt;"",P43&lt;&gt;""),(Z43-P43)/ABS(IF(P43=0,1,P43)),"")</f>
        <v/>
      </c>
      <c r="AD43" s="40">
        <f>IF(AND(AA43&lt;&gt;"",Q43&lt;&gt;""),AA43-Q43,"")</f>
        <v/>
      </c>
      <c r="AE43" s="40">
        <f>IF(G43&lt;&gt;"",G43,"")</f>
        <v/>
      </c>
      <c r="AF43" s="41">
        <f>IF(AND(AE43&lt;&gt;"",C43&gt;0),(AE43-C43)/C43,"")</f>
        <v/>
      </c>
      <c r="AG43" s="41">
        <f>IF(AND(AE43&lt;&gt;"",AE43&gt;0),(AE43-C43)/AE43,"")</f>
        <v/>
      </c>
      <c r="AH43" s="40">
        <f>IF(AND(AE43&lt;&gt;"",C43&gt;0),AE43-C43,"")</f>
        <v/>
      </c>
      <c r="AI43" s="41">
        <f>IF(AND(AE43&lt;&gt;"",D43&gt;0),(AE43-D43)/D43,"")</f>
        <v/>
      </c>
      <c r="AJ43" s="41">
        <f>IF(AND(AG43&lt;&gt;"",P43&lt;&gt;""),(AG43-P43)/ABS(IF(P43=0,1,P43)),"")</f>
        <v/>
      </c>
      <c r="AK43" s="40">
        <f>IF(AND(AH43&lt;&gt;"",Q43&lt;&gt;""),AH43-Q43,"")</f>
        <v/>
      </c>
      <c r="AL43" s="40">
        <f>IF(H43&lt;&gt;"",H43,"")</f>
        <v/>
      </c>
      <c r="AM43" s="41">
        <f>IF(AND(AL43&lt;&gt;"",C43&gt;0),(AL43-C43)/C43,"")</f>
        <v/>
      </c>
      <c r="AN43" s="41">
        <f>IF(AND(AL43&lt;&gt;"",AL43&gt;0),(AL43-C43)/AL43,"")</f>
        <v/>
      </c>
      <c r="AO43" s="40">
        <f>IF(AND(AL43&lt;&gt;"",C43&gt;0),AL43-C43,"")</f>
        <v/>
      </c>
      <c r="AP43" s="41">
        <f>IF(AND(AL43&lt;&gt;"",D43&gt;0),(AL43-D43)/D43,"")</f>
        <v/>
      </c>
      <c r="AQ43" s="41">
        <f>IF(AND(AN43&lt;&gt;"",P43&lt;&gt;""),(AN43-P43)/ABS(IF(P43=0,1,P43)),"")</f>
        <v/>
      </c>
      <c r="AR43" s="40">
        <f>IF(AND(AO43&lt;&gt;"",Q43&lt;&gt;""),AO43-Q43,"")</f>
        <v/>
      </c>
      <c r="AS43" s="44" t="n"/>
      <c r="AT43" s="41">
        <f>IF(AND(AS43&gt;0,C43&gt;0),(AS43-C43)/C43,"")</f>
        <v/>
      </c>
      <c r="AU43" s="41">
        <f>IF(AND(AS43&gt;0,AS43&gt;0),(AS43-C43)/AS43,"")</f>
        <v/>
      </c>
      <c r="AV43" s="40">
        <f>IF(AND(AS43&gt;0,C43&gt;0),AS43-C43,"")</f>
        <v/>
      </c>
      <c r="AW43" s="41">
        <f>IF(AND(AS43&gt;0,D43&gt;0),(AS43-D43)/D43,"")</f>
        <v/>
      </c>
      <c r="AX43" s="41">
        <f>IF(AND(AU43&lt;&gt;"",P43&lt;&gt;""),(AU43-P43)/ABS(IF(P43=0,1,P43)),"")</f>
        <v/>
      </c>
      <c r="AY43" s="40">
        <f>IF(AND(AV43&lt;&gt;"",Q43&lt;&gt;""),AV43-Q43,"")</f>
        <v/>
      </c>
      <c r="AZ43" s="45" t="n"/>
      <c r="BA43" s="40">
        <f>IF(AND(AZ43&gt;0,C43&gt;0),C43/(1-AZ43),"")</f>
        <v/>
      </c>
      <c r="BB43" s="41">
        <f>IF(AND(BA43&lt;&gt;"",C43&gt;0),(BA43-C43)/C43,"")</f>
        <v/>
      </c>
      <c r="BC43" s="41">
        <f>IF(BA43&lt;&gt;"",AZ43,"")</f>
        <v/>
      </c>
      <c r="BD43" s="40">
        <f>IF(AND(BA43&lt;&gt;"",C43&gt;0),BA43-C43,"")</f>
        <v/>
      </c>
      <c r="BE43" s="41">
        <f>IF(AND(BA43&lt;&gt;"",D43&gt;0),(BA43-D43)/D43,"")</f>
        <v/>
      </c>
      <c r="BF43" s="41">
        <f>IF(AND(BC43&lt;&gt;"",P43&lt;&gt;""),(BC43-P43)/ABS(IF(P43=0,1,P43)),"")</f>
        <v/>
      </c>
      <c r="BG43" s="40">
        <f>IF(AND(BD43&lt;&gt;"",Q43&lt;&gt;""),BD43-Q43,"")</f>
        <v/>
      </c>
      <c r="BH43" s="40">
        <f>IF(AND(T43&gt;0,X43&lt;&gt;""),T43*X43,"")</f>
        <v/>
      </c>
      <c r="BI43" s="40">
        <f>IF(AND(T43&gt;0,AA43&lt;&gt;""),T43*AA43,"")</f>
        <v/>
      </c>
      <c r="BJ43" s="40">
        <f>IF(AND(T43&gt;0,AE43&lt;&gt;""),T43*AE43,"")</f>
        <v/>
      </c>
      <c r="BK43" s="40">
        <f>IF(AND(T43&gt;0,AH43&lt;&gt;""),T43*AH43,"")</f>
        <v/>
      </c>
      <c r="BL43" s="40">
        <f>IF(AND(T43&gt;0,AL43&lt;&gt;""),T43*AL43,"")</f>
        <v/>
      </c>
      <c r="BM43" s="40">
        <f>IF(AND(T43&gt;0,AO43&lt;&gt;""),T43*AO43,"")</f>
        <v/>
      </c>
      <c r="BN43" s="40">
        <f>IF(AND(T43&gt;0,AS43&gt;0),T43*AS43,"")</f>
        <v/>
      </c>
      <c r="BO43" s="40">
        <f>IF(AND(T43&gt;0,AV43&lt;&gt;""),T43*AV43,"")</f>
        <v/>
      </c>
      <c r="BP43" s="40">
        <f>IF(AND(T43&gt;0,BA43&lt;&gt;""),T43*BA43,"")</f>
        <v/>
      </c>
      <c r="BQ43" s="40">
        <f>IF(AND(T43&gt;0,BD43&lt;&gt;""),T43*BD43,"")</f>
        <v/>
      </c>
      <c r="BR43" s="46">
        <f>IF(AND(T43&gt;0,V43&gt;0,AA43&lt;&gt;0),V43/AA43-T43,"")</f>
        <v/>
      </c>
      <c r="BS43" s="41">
        <f>IF(AND(BR43&lt;&gt;"",T43&gt;0),BR43/T43,"")</f>
        <v/>
      </c>
      <c r="BT43" s="46">
        <f>IF(AND(T43&gt;0,V43&gt;0,AO43&lt;&gt;0),V43/AO43-T43,"")</f>
        <v/>
      </c>
      <c r="BU43" s="41">
        <f>IF(AND(BT43&lt;&gt;"",T43&gt;0),BT43/T43,"")</f>
        <v/>
      </c>
    </row>
    <row r="44">
      <c r="A44" s="36">
        <f>'📊 Исходные данные'!A43</f>
        <v/>
      </c>
      <c r="B44" s="37">
        <f>'📊 Исходные данные'!B43</f>
        <v/>
      </c>
      <c r="C44" s="38">
        <f>'📊 Исходные данные'!C43</f>
        <v/>
      </c>
      <c r="D44" s="38">
        <f>'📊 Исходные данные'!D43</f>
        <v/>
      </c>
      <c r="E44" s="39">
        <f>IF(OR(D44="",F44=""),"-",IF(D44&gt;F44*1.05,"Выше рынка",IF(D44&lt;F44*0.95,"Ниже рынка","На уровне")))</f>
        <v/>
      </c>
      <c r="F44" s="40">
        <f>IFERROR(AVERAGE('📊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G44" s="40">
        <f>IFERROR(MEDIAN('📊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H44" s="40">
        <f>IFERROR(MIN('📊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I44" s="40">
        <f>IFERROR(MAX('📊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данные'!K43),"")</f>
        <v/>
      </c>
      <c r="J44" s="41">
        <f>IF(AND(D44&lt;&gt;"",F44&lt;&gt;""),(D44-F44)/F44,"")</f>
        <v/>
      </c>
      <c r="K44" s="41">
        <f>IF(AND(D44&lt;&gt;"",G44&lt;&gt;""),(D44-G44)/G44,"")</f>
        <v/>
      </c>
      <c r="L44" s="41">
        <f>IF(AND(D44&lt;&gt;"",H44&lt;&gt;""),(D44-H44)/H44,"")</f>
        <v/>
      </c>
      <c r="M44" s="42">
        <f>IFERROR(RANK(D44,('📊 Исходные данные'!E43,'📊 Исходные данные'!F43,'📊 Исходные данные'!G43,'📊 Исходные данные'!H43,'📊 Исходные данные'!I43,'📊 Исходные данные'!J43,'📊 Исходные данные'!K43)),"")</f>
        <v/>
      </c>
      <c r="N44" s="39">
        <f>IF(M44="","-",IF(M44=1,"Дороже всех",IF(M44=2,"2-й по цене",IF(M44&lt;=4,"Средний","Ниже конкурентов"))))</f>
        <v/>
      </c>
      <c r="O44" s="41">
        <f>IF(AND(C44&gt;0,D44&gt;0),(D44-C44)/C44,"")</f>
        <v/>
      </c>
      <c r="P44" s="41">
        <f>IF(AND(C44&gt;0,D44&gt;0),(D44-C44)/D44,"")</f>
        <v/>
      </c>
      <c r="Q44" s="40">
        <f>IF(AND(C44&gt;0,D44&gt;0),D44-C44,"")</f>
        <v/>
      </c>
      <c r="R44" s="39">
        <f>IF(P44="","-",IF(P44&lt;0.1,"Низкая(&lt;10%)",IF(P44&lt;0.2,"Средняя(10-20%)","Хорошая(&gt;20%)")))</f>
        <v/>
      </c>
      <c r="S44" s="39">
        <f>IF(OR(H44="",C44=""),"-",IF((H44-C44)/H44&lt;0.05,"КРИТИЧНО",IF((H44-C44)/H44&lt;0.15,"УМЕРЕННЫЙ","НИЗКИЙ")))</f>
        <v/>
      </c>
      <c r="T44" s="43" t="n"/>
      <c r="U44" s="40">
        <f>IF(T44&gt;0,T44*D44,"")</f>
        <v/>
      </c>
      <c r="V44" s="40">
        <f>IF(T44&gt;0,T44*Q44,"")</f>
        <v/>
      </c>
      <c r="W44" s="41">
        <f>IF(U44&gt;0,V44/U44,"")</f>
        <v/>
      </c>
      <c r="X44" s="40">
        <f>IF(F44&lt;&gt;"",F44,"")</f>
        <v/>
      </c>
      <c r="Y44" s="41">
        <f>IF(AND(X44&lt;&gt;"",C44&gt;0),(X44-C44)/C44,"")</f>
        <v/>
      </c>
      <c r="Z44" s="41">
        <f>IF(AND(X44&lt;&gt;"",X44&gt;0),(X44-C44)/X44,"")</f>
        <v/>
      </c>
      <c r="AA44" s="40">
        <f>IF(AND(X44&lt;&gt;"",C44&gt;0),X44-C44,"")</f>
        <v/>
      </c>
      <c r="AB44" s="41">
        <f>IF(AND(X44&lt;&gt;"",D44&gt;0),(X44-D44)/D44,"")</f>
        <v/>
      </c>
      <c r="AC44" s="41">
        <f>IF(AND(Z44&lt;&gt;"",P44&lt;&gt;""),(Z44-P44)/ABS(IF(P44=0,1,P44)),"")</f>
        <v/>
      </c>
      <c r="AD44" s="40">
        <f>IF(AND(AA44&lt;&gt;"",Q44&lt;&gt;""),AA44-Q44,"")</f>
        <v/>
      </c>
      <c r="AE44" s="40">
        <f>IF(G44&lt;&gt;"",G44,"")</f>
        <v/>
      </c>
      <c r="AF44" s="41">
        <f>IF(AND(AE44&lt;&gt;"",C44&gt;0),(AE44-C44)/C44,"")</f>
        <v/>
      </c>
      <c r="AG44" s="41">
        <f>IF(AND(AE44&lt;&gt;"",AE44&gt;0),(AE44-C44)/AE44,"")</f>
        <v/>
      </c>
      <c r="AH44" s="40">
        <f>IF(AND(AE44&lt;&gt;"",C44&gt;0),AE44-C44,"")</f>
        <v/>
      </c>
      <c r="AI44" s="41">
        <f>IF(AND(AE44&lt;&gt;"",D44&gt;0),(AE44-D44)/D44,"")</f>
        <v/>
      </c>
      <c r="AJ44" s="41">
        <f>IF(AND(AG44&lt;&gt;"",P44&lt;&gt;""),(AG44-P44)/ABS(IF(P44=0,1,P44)),"")</f>
        <v/>
      </c>
      <c r="AK44" s="40">
        <f>IF(AND(AH44&lt;&gt;"",Q44&lt;&gt;""),AH44-Q44,"")</f>
        <v/>
      </c>
      <c r="AL44" s="40">
        <f>IF(H44&lt;&gt;"",H44,"")</f>
        <v/>
      </c>
      <c r="AM44" s="41">
        <f>IF(AND(AL44&lt;&gt;"",C44&gt;0),(AL44-C44)/C44,"")</f>
        <v/>
      </c>
      <c r="AN44" s="41">
        <f>IF(AND(AL44&lt;&gt;"",AL44&gt;0),(AL44-C44)/AL44,"")</f>
        <v/>
      </c>
      <c r="AO44" s="40">
        <f>IF(AND(AL44&lt;&gt;"",C44&gt;0),AL44-C44,"")</f>
        <v/>
      </c>
      <c r="AP44" s="41">
        <f>IF(AND(AL44&lt;&gt;"",D44&gt;0),(AL44-D44)/D44,"")</f>
        <v/>
      </c>
      <c r="AQ44" s="41">
        <f>IF(AND(AN44&lt;&gt;"",P44&lt;&gt;""),(AN44-P44)/ABS(IF(P44=0,1,P44)),"")</f>
        <v/>
      </c>
      <c r="AR44" s="40">
        <f>IF(AND(AO44&lt;&gt;"",Q44&lt;&gt;""),AO44-Q44,"")</f>
        <v/>
      </c>
      <c r="AS44" s="44" t="n"/>
      <c r="AT44" s="41">
        <f>IF(AND(AS44&gt;0,C44&gt;0),(AS44-C44)/C44,"")</f>
        <v/>
      </c>
      <c r="AU44" s="41">
        <f>IF(AND(AS44&gt;0,AS44&gt;0),(AS44-C44)/AS44,"")</f>
        <v/>
      </c>
      <c r="AV44" s="40">
        <f>IF(AND(AS44&gt;0,C44&gt;0),AS44-C44,"")</f>
        <v/>
      </c>
      <c r="AW44" s="41">
        <f>IF(AND(AS44&gt;0,D44&gt;0),(AS44-D44)/D44,"")</f>
        <v/>
      </c>
      <c r="AX44" s="41">
        <f>IF(AND(AU44&lt;&gt;"",P44&lt;&gt;""),(AU44-P44)/ABS(IF(P44=0,1,P44)),"")</f>
        <v/>
      </c>
      <c r="AY44" s="40">
        <f>IF(AND(AV44&lt;&gt;"",Q44&lt;&gt;""),AV44-Q44,"")</f>
        <v/>
      </c>
      <c r="AZ44" s="45" t="n"/>
      <c r="BA44" s="40">
        <f>IF(AND(AZ44&gt;0,C44&gt;0),C44/(1-AZ44),"")</f>
        <v/>
      </c>
      <c r="BB44" s="41">
        <f>IF(AND(BA44&lt;&gt;"",C44&gt;0),(BA44-C44)/C44,"")</f>
        <v/>
      </c>
      <c r="BC44" s="41">
        <f>IF(BA44&lt;&gt;"",AZ44,"")</f>
        <v/>
      </c>
      <c r="BD44" s="40">
        <f>IF(AND(BA44&lt;&gt;"",C44&gt;0),BA44-C44,"")</f>
        <v/>
      </c>
      <c r="BE44" s="41">
        <f>IF(AND(BA44&lt;&gt;"",D44&gt;0),(BA44-D44)/D44,"")</f>
        <v/>
      </c>
      <c r="BF44" s="41">
        <f>IF(AND(BC44&lt;&gt;"",P44&lt;&gt;""),(BC44-P44)/ABS(IF(P44=0,1,P44)),"")</f>
        <v/>
      </c>
      <c r="BG44" s="40">
        <f>IF(AND(BD44&lt;&gt;"",Q44&lt;&gt;""),BD44-Q44,"")</f>
        <v/>
      </c>
      <c r="BH44" s="40">
        <f>IF(AND(T44&gt;0,X44&lt;&gt;""),T44*X44,"")</f>
        <v/>
      </c>
      <c r="BI44" s="40">
        <f>IF(AND(T44&gt;0,AA44&lt;&gt;""),T44*AA44,"")</f>
        <v/>
      </c>
      <c r="BJ44" s="40">
        <f>IF(AND(T44&gt;0,AE44&lt;&gt;""),T44*AE44,"")</f>
        <v/>
      </c>
      <c r="BK44" s="40">
        <f>IF(AND(T44&gt;0,AH44&lt;&gt;""),T44*AH44,"")</f>
        <v/>
      </c>
      <c r="BL44" s="40">
        <f>IF(AND(T44&gt;0,AL44&lt;&gt;""),T44*AL44,"")</f>
        <v/>
      </c>
      <c r="BM44" s="40">
        <f>IF(AND(T44&gt;0,AO44&lt;&gt;""),T44*AO44,"")</f>
        <v/>
      </c>
      <c r="BN44" s="40">
        <f>IF(AND(T44&gt;0,AS44&gt;0),T44*AS44,"")</f>
        <v/>
      </c>
      <c r="BO44" s="40">
        <f>IF(AND(T44&gt;0,AV44&lt;&gt;""),T44*AV44,"")</f>
        <v/>
      </c>
      <c r="BP44" s="40">
        <f>IF(AND(T44&gt;0,BA44&lt;&gt;""),T44*BA44,"")</f>
        <v/>
      </c>
      <c r="BQ44" s="40">
        <f>IF(AND(T44&gt;0,BD44&lt;&gt;""),T44*BD44,"")</f>
        <v/>
      </c>
      <c r="BR44" s="46">
        <f>IF(AND(T44&gt;0,V44&gt;0,AA44&lt;&gt;0),V44/AA44-T44,"")</f>
        <v/>
      </c>
      <c r="BS44" s="41">
        <f>IF(AND(BR44&lt;&gt;"",T44&gt;0),BR44/T44,"")</f>
        <v/>
      </c>
      <c r="BT44" s="46">
        <f>IF(AND(T44&gt;0,V44&gt;0,AO44&lt;&gt;0),V44/AO44-T44,"")</f>
        <v/>
      </c>
      <c r="BU44" s="41">
        <f>IF(AND(BT44&lt;&gt;"",T44&gt;0),BT44/T44,"")</f>
        <v/>
      </c>
    </row>
    <row r="45">
      <c r="A45" s="36">
        <f>'📊 Исходные данные'!A44</f>
        <v/>
      </c>
      <c r="B45" s="37">
        <f>'📊 Исходные данные'!B44</f>
        <v/>
      </c>
      <c r="C45" s="38">
        <f>'📊 Исходные данные'!C44</f>
        <v/>
      </c>
      <c r="D45" s="38">
        <f>'📊 Исходные данные'!D44</f>
        <v/>
      </c>
      <c r="E45" s="39">
        <f>IF(OR(D45="",F45=""),"-",IF(D45&gt;F45*1.05,"Выше рынка",IF(D45&lt;F45*0.95,"Ниже рынка","На уровне")))</f>
        <v/>
      </c>
      <c r="F45" s="40">
        <f>IFERROR(AVERAGE('📊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G45" s="40">
        <f>IFERROR(MEDIAN('📊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H45" s="40">
        <f>IFERROR(MIN('📊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I45" s="40">
        <f>IFERROR(MAX('📊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данные'!K44),"")</f>
        <v/>
      </c>
      <c r="J45" s="41">
        <f>IF(AND(D45&lt;&gt;"",F45&lt;&gt;""),(D45-F45)/F45,"")</f>
        <v/>
      </c>
      <c r="K45" s="41">
        <f>IF(AND(D45&lt;&gt;"",G45&lt;&gt;""),(D45-G45)/G45,"")</f>
        <v/>
      </c>
      <c r="L45" s="41">
        <f>IF(AND(D45&lt;&gt;"",H45&lt;&gt;""),(D45-H45)/H45,"")</f>
        <v/>
      </c>
      <c r="M45" s="42">
        <f>IFERROR(RANK(D45,('📊 Исходные данные'!E44,'📊 Исходные данные'!F44,'📊 Исходные данные'!G44,'📊 Исходные данные'!H44,'📊 Исходные данные'!I44,'📊 Исходные данные'!J44,'📊 Исходные данные'!K44)),"")</f>
        <v/>
      </c>
      <c r="N45" s="39">
        <f>IF(M45="","-",IF(M45=1,"Дороже всех",IF(M45=2,"2-й по цене",IF(M45&lt;=4,"Средний","Ниже конкурентов"))))</f>
        <v/>
      </c>
      <c r="O45" s="41">
        <f>IF(AND(C45&gt;0,D45&gt;0),(D45-C45)/C45,"")</f>
        <v/>
      </c>
      <c r="P45" s="41">
        <f>IF(AND(C45&gt;0,D45&gt;0),(D45-C45)/D45,"")</f>
        <v/>
      </c>
      <c r="Q45" s="40">
        <f>IF(AND(C45&gt;0,D45&gt;0),D45-C45,"")</f>
        <v/>
      </c>
      <c r="R45" s="39">
        <f>IF(P45="","-",IF(P45&lt;0.1,"Низкая(&lt;10%)",IF(P45&lt;0.2,"Средняя(10-20%)","Хорошая(&gt;20%)")))</f>
        <v/>
      </c>
      <c r="S45" s="39">
        <f>IF(OR(H45="",C45=""),"-",IF((H45-C45)/H45&lt;0.05,"КРИТИЧНО",IF((H45-C45)/H45&lt;0.15,"УМЕРЕННЫЙ","НИЗКИЙ")))</f>
        <v/>
      </c>
      <c r="T45" s="43" t="n"/>
      <c r="U45" s="40">
        <f>IF(T45&gt;0,T45*D45,"")</f>
        <v/>
      </c>
      <c r="V45" s="40">
        <f>IF(T45&gt;0,T45*Q45,"")</f>
        <v/>
      </c>
      <c r="W45" s="41">
        <f>IF(U45&gt;0,V45/U45,"")</f>
        <v/>
      </c>
      <c r="X45" s="40">
        <f>IF(F45&lt;&gt;"",F45,"")</f>
        <v/>
      </c>
      <c r="Y45" s="41">
        <f>IF(AND(X45&lt;&gt;"",C45&gt;0),(X45-C45)/C45,"")</f>
        <v/>
      </c>
      <c r="Z45" s="41">
        <f>IF(AND(X45&lt;&gt;"",X45&gt;0),(X45-C45)/X45,"")</f>
        <v/>
      </c>
      <c r="AA45" s="40">
        <f>IF(AND(X45&lt;&gt;"",C45&gt;0),X45-C45,"")</f>
        <v/>
      </c>
      <c r="AB45" s="41">
        <f>IF(AND(X45&lt;&gt;"",D45&gt;0),(X45-D45)/D45,"")</f>
        <v/>
      </c>
      <c r="AC45" s="41">
        <f>IF(AND(Z45&lt;&gt;"",P45&lt;&gt;""),(Z45-P45)/ABS(IF(P45=0,1,P45)),"")</f>
        <v/>
      </c>
      <c r="AD45" s="40">
        <f>IF(AND(AA45&lt;&gt;"",Q45&lt;&gt;""),AA45-Q45,"")</f>
        <v/>
      </c>
      <c r="AE45" s="40">
        <f>IF(G45&lt;&gt;"",G45,"")</f>
        <v/>
      </c>
      <c r="AF45" s="41">
        <f>IF(AND(AE45&lt;&gt;"",C45&gt;0),(AE45-C45)/C45,"")</f>
        <v/>
      </c>
      <c r="AG45" s="41">
        <f>IF(AND(AE45&lt;&gt;"",AE45&gt;0),(AE45-C45)/AE45,"")</f>
        <v/>
      </c>
      <c r="AH45" s="40">
        <f>IF(AND(AE45&lt;&gt;"",C45&gt;0),AE45-C45,"")</f>
        <v/>
      </c>
      <c r="AI45" s="41">
        <f>IF(AND(AE45&lt;&gt;"",D45&gt;0),(AE45-D45)/D45,"")</f>
        <v/>
      </c>
      <c r="AJ45" s="41">
        <f>IF(AND(AG45&lt;&gt;"",P45&lt;&gt;""),(AG45-P45)/ABS(IF(P45=0,1,P45)),"")</f>
        <v/>
      </c>
      <c r="AK45" s="40">
        <f>IF(AND(AH45&lt;&gt;"",Q45&lt;&gt;""),AH45-Q45,"")</f>
        <v/>
      </c>
      <c r="AL45" s="40">
        <f>IF(H45&lt;&gt;"",H45,"")</f>
        <v/>
      </c>
      <c r="AM45" s="41">
        <f>IF(AND(AL45&lt;&gt;"",C45&gt;0),(AL45-C45)/C45,"")</f>
        <v/>
      </c>
      <c r="AN45" s="41">
        <f>IF(AND(AL45&lt;&gt;"",AL45&gt;0),(AL45-C45)/AL45,"")</f>
        <v/>
      </c>
      <c r="AO45" s="40">
        <f>IF(AND(AL45&lt;&gt;"",C45&gt;0),AL45-C45,"")</f>
        <v/>
      </c>
      <c r="AP45" s="41">
        <f>IF(AND(AL45&lt;&gt;"",D45&gt;0),(AL45-D45)/D45,"")</f>
        <v/>
      </c>
      <c r="AQ45" s="41">
        <f>IF(AND(AN45&lt;&gt;"",P45&lt;&gt;""),(AN45-P45)/ABS(IF(P45=0,1,P45)),"")</f>
        <v/>
      </c>
      <c r="AR45" s="40">
        <f>IF(AND(AO45&lt;&gt;"",Q45&lt;&gt;""),AO45-Q45,"")</f>
        <v/>
      </c>
      <c r="AS45" s="44" t="n"/>
      <c r="AT45" s="41">
        <f>IF(AND(AS45&gt;0,C45&gt;0),(AS45-C45)/C45,"")</f>
        <v/>
      </c>
      <c r="AU45" s="41">
        <f>IF(AND(AS45&gt;0,AS45&gt;0),(AS45-C45)/AS45,"")</f>
        <v/>
      </c>
      <c r="AV45" s="40">
        <f>IF(AND(AS45&gt;0,C45&gt;0),AS45-C45,"")</f>
        <v/>
      </c>
      <c r="AW45" s="41">
        <f>IF(AND(AS45&gt;0,D45&gt;0),(AS45-D45)/D45,"")</f>
        <v/>
      </c>
      <c r="AX45" s="41">
        <f>IF(AND(AU45&lt;&gt;"",P45&lt;&gt;""),(AU45-P45)/ABS(IF(P45=0,1,P45)),"")</f>
        <v/>
      </c>
      <c r="AY45" s="40">
        <f>IF(AND(AV45&lt;&gt;"",Q45&lt;&gt;""),AV45-Q45,"")</f>
        <v/>
      </c>
      <c r="AZ45" s="45" t="n"/>
      <c r="BA45" s="40">
        <f>IF(AND(AZ45&gt;0,C45&gt;0),C45/(1-AZ45),"")</f>
        <v/>
      </c>
      <c r="BB45" s="41">
        <f>IF(AND(BA45&lt;&gt;"",C45&gt;0),(BA45-C45)/C45,"")</f>
        <v/>
      </c>
      <c r="BC45" s="41">
        <f>IF(BA45&lt;&gt;"",AZ45,"")</f>
        <v/>
      </c>
      <c r="BD45" s="40">
        <f>IF(AND(BA45&lt;&gt;"",C45&gt;0),BA45-C45,"")</f>
        <v/>
      </c>
      <c r="BE45" s="41">
        <f>IF(AND(BA45&lt;&gt;"",D45&gt;0),(BA45-D45)/D45,"")</f>
        <v/>
      </c>
      <c r="BF45" s="41">
        <f>IF(AND(BC45&lt;&gt;"",P45&lt;&gt;""),(BC45-P45)/ABS(IF(P45=0,1,P45)),"")</f>
        <v/>
      </c>
      <c r="BG45" s="40">
        <f>IF(AND(BD45&lt;&gt;"",Q45&lt;&gt;""),BD45-Q45,"")</f>
        <v/>
      </c>
      <c r="BH45" s="40">
        <f>IF(AND(T45&gt;0,X45&lt;&gt;""),T45*X45,"")</f>
        <v/>
      </c>
      <c r="BI45" s="40">
        <f>IF(AND(T45&gt;0,AA45&lt;&gt;""),T45*AA45,"")</f>
        <v/>
      </c>
      <c r="BJ45" s="40">
        <f>IF(AND(T45&gt;0,AE45&lt;&gt;""),T45*AE45,"")</f>
        <v/>
      </c>
      <c r="BK45" s="40">
        <f>IF(AND(T45&gt;0,AH45&lt;&gt;""),T45*AH45,"")</f>
        <v/>
      </c>
      <c r="BL45" s="40">
        <f>IF(AND(T45&gt;0,AL45&lt;&gt;""),T45*AL45,"")</f>
        <v/>
      </c>
      <c r="BM45" s="40">
        <f>IF(AND(T45&gt;0,AO45&lt;&gt;""),T45*AO45,"")</f>
        <v/>
      </c>
      <c r="BN45" s="40">
        <f>IF(AND(T45&gt;0,AS45&gt;0),T45*AS45,"")</f>
        <v/>
      </c>
      <c r="BO45" s="40">
        <f>IF(AND(T45&gt;0,AV45&lt;&gt;""),T45*AV45,"")</f>
        <v/>
      </c>
      <c r="BP45" s="40">
        <f>IF(AND(T45&gt;0,BA45&lt;&gt;""),T45*BA45,"")</f>
        <v/>
      </c>
      <c r="BQ45" s="40">
        <f>IF(AND(T45&gt;0,BD45&lt;&gt;""),T45*BD45,"")</f>
        <v/>
      </c>
      <c r="BR45" s="46">
        <f>IF(AND(T45&gt;0,V45&gt;0,AA45&lt;&gt;0),V45/AA45-T45,"")</f>
        <v/>
      </c>
      <c r="BS45" s="41">
        <f>IF(AND(BR45&lt;&gt;"",T45&gt;0),BR45/T45,"")</f>
        <v/>
      </c>
      <c r="BT45" s="46">
        <f>IF(AND(T45&gt;0,V45&gt;0,AO45&lt;&gt;0),V45/AO45-T45,"")</f>
        <v/>
      </c>
      <c r="BU45" s="41">
        <f>IF(AND(BT45&lt;&gt;"",T45&gt;0),BT45/T45,"")</f>
        <v/>
      </c>
    </row>
    <row r="46">
      <c r="A46" s="36">
        <f>'📊 Исходные данные'!A45</f>
        <v/>
      </c>
      <c r="B46" s="37">
        <f>'📊 Исходные данные'!B45</f>
        <v/>
      </c>
      <c r="C46" s="38">
        <f>'📊 Исходные данные'!C45</f>
        <v/>
      </c>
      <c r="D46" s="38">
        <f>'📊 Исходные данные'!D45</f>
        <v/>
      </c>
      <c r="E46" s="39">
        <f>IF(OR(D46="",F46=""),"-",IF(D46&gt;F46*1.05,"Выше рынка",IF(D46&lt;F46*0.95,"Ниже рынка","На уровне")))</f>
        <v/>
      </c>
      <c r="F46" s="40">
        <f>IFERROR(AVERAGE('📊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G46" s="40">
        <f>IFERROR(MEDIAN('📊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H46" s="40">
        <f>IFERROR(MIN('📊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I46" s="40">
        <f>IFERROR(MAX('📊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данные'!K45),"")</f>
        <v/>
      </c>
      <c r="J46" s="41">
        <f>IF(AND(D46&lt;&gt;"",F46&lt;&gt;""),(D46-F46)/F46,"")</f>
        <v/>
      </c>
      <c r="K46" s="41">
        <f>IF(AND(D46&lt;&gt;"",G46&lt;&gt;""),(D46-G46)/G46,"")</f>
        <v/>
      </c>
      <c r="L46" s="41">
        <f>IF(AND(D46&lt;&gt;"",H46&lt;&gt;""),(D46-H46)/H46,"")</f>
        <v/>
      </c>
      <c r="M46" s="42">
        <f>IFERROR(RANK(D46,('📊 Исходные данные'!E45,'📊 Исходные данные'!F45,'📊 Исходные данные'!G45,'📊 Исходные данные'!H45,'📊 Исходные данные'!I45,'📊 Исходные данные'!J45,'📊 Исходные данные'!K45)),"")</f>
        <v/>
      </c>
      <c r="N46" s="39">
        <f>IF(M46="","-",IF(M46=1,"Дороже всех",IF(M46=2,"2-й по цене",IF(M46&lt;=4,"Средний","Ниже конкурентов"))))</f>
        <v/>
      </c>
      <c r="O46" s="41">
        <f>IF(AND(C46&gt;0,D46&gt;0),(D46-C46)/C46,"")</f>
        <v/>
      </c>
      <c r="P46" s="41">
        <f>IF(AND(C46&gt;0,D46&gt;0),(D46-C46)/D46,"")</f>
        <v/>
      </c>
      <c r="Q46" s="40">
        <f>IF(AND(C46&gt;0,D46&gt;0),D46-C46,"")</f>
        <v/>
      </c>
      <c r="R46" s="39">
        <f>IF(P46="","-",IF(P46&lt;0.1,"Низкая(&lt;10%)",IF(P46&lt;0.2,"Средняя(10-20%)","Хорошая(&gt;20%)")))</f>
        <v/>
      </c>
      <c r="S46" s="39">
        <f>IF(OR(H46="",C46=""),"-",IF((H46-C46)/H46&lt;0.05,"КРИТИЧНО",IF((H46-C46)/H46&lt;0.15,"УМЕРЕННЫЙ","НИЗКИЙ")))</f>
        <v/>
      </c>
      <c r="T46" s="43" t="n"/>
      <c r="U46" s="40">
        <f>IF(T46&gt;0,T46*D46,"")</f>
        <v/>
      </c>
      <c r="V46" s="40">
        <f>IF(T46&gt;0,T46*Q46,"")</f>
        <v/>
      </c>
      <c r="W46" s="41">
        <f>IF(U46&gt;0,V46/U46,"")</f>
        <v/>
      </c>
      <c r="X46" s="40">
        <f>IF(F46&lt;&gt;"",F46,"")</f>
        <v/>
      </c>
      <c r="Y46" s="41">
        <f>IF(AND(X46&lt;&gt;"",C46&gt;0),(X46-C46)/C46,"")</f>
        <v/>
      </c>
      <c r="Z46" s="41">
        <f>IF(AND(X46&lt;&gt;"",X46&gt;0),(X46-C46)/X46,"")</f>
        <v/>
      </c>
      <c r="AA46" s="40">
        <f>IF(AND(X46&lt;&gt;"",C46&gt;0),X46-C46,"")</f>
        <v/>
      </c>
      <c r="AB46" s="41">
        <f>IF(AND(X46&lt;&gt;"",D46&gt;0),(X46-D46)/D46,"")</f>
        <v/>
      </c>
      <c r="AC46" s="41">
        <f>IF(AND(Z46&lt;&gt;"",P46&lt;&gt;""),(Z46-P46)/ABS(IF(P46=0,1,P46)),"")</f>
        <v/>
      </c>
      <c r="AD46" s="40">
        <f>IF(AND(AA46&lt;&gt;"",Q46&lt;&gt;""),AA46-Q46,"")</f>
        <v/>
      </c>
      <c r="AE46" s="40">
        <f>IF(G46&lt;&gt;"",G46,"")</f>
        <v/>
      </c>
      <c r="AF46" s="41">
        <f>IF(AND(AE46&lt;&gt;"",C46&gt;0),(AE46-C46)/C46,"")</f>
        <v/>
      </c>
      <c r="AG46" s="41">
        <f>IF(AND(AE46&lt;&gt;"",AE46&gt;0),(AE46-C46)/AE46,"")</f>
        <v/>
      </c>
      <c r="AH46" s="40">
        <f>IF(AND(AE46&lt;&gt;"",C46&gt;0),AE46-C46,"")</f>
        <v/>
      </c>
      <c r="AI46" s="41">
        <f>IF(AND(AE46&lt;&gt;"",D46&gt;0),(AE46-D46)/D46,"")</f>
        <v/>
      </c>
      <c r="AJ46" s="41">
        <f>IF(AND(AG46&lt;&gt;"",P46&lt;&gt;""),(AG46-P46)/ABS(IF(P46=0,1,P46)),"")</f>
        <v/>
      </c>
      <c r="AK46" s="40">
        <f>IF(AND(AH46&lt;&gt;"",Q46&lt;&gt;""),AH46-Q46,"")</f>
        <v/>
      </c>
      <c r="AL46" s="40">
        <f>IF(H46&lt;&gt;"",H46,"")</f>
        <v/>
      </c>
      <c r="AM46" s="41">
        <f>IF(AND(AL46&lt;&gt;"",C46&gt;0),(AL46-C46)/C46,"")</f>
        <v/>
      </c>
      <c r="AN46" s="41">
        <f>IF(AND(AL46&lt;&gt;"",AL46&gt;0),(AL46-C46)/AL46,"")</f>
        <v/>
      </c>
      <c r="AO46" s="40">
        <f>IF(AND(AL46&lt;&gt;"",C46&gt;0),AL46-C46,"")</f>
        <v/>
      </c>
      <c r="AP46" s="41">
        <f>IF(AND(AL46&lt;&gt;"",D46&gt;0),(AL46-D46)/D46,"")</f>
        <v/>
      </c>
      <c r="AQ46" s="41">
        <f>IF(AND(AN46&lt;&gt;"",P46&lt;&gt;""),(AN46-P46)/ABS(IF(P46=0,1,P46)),"")</f>
        <v/>
      </c>
      <c r="AR46" s="40">
        <f>IF(AND(AO46&lt;&gt;"",Q46&lt;&gt;""),AO46-Q46,"")</f>
        <v/>
      </c>
      <c r="AS46" s="44" t="n"/>
      <c r="AT46" s="41">
        <f>IF(AND(AS46&gt;0,C46&gt;0),(AS46-C46)/C46,"")</f>
        <v/>
      </c>
      <c r="AU46" s="41">
        <f>IF(AND(AS46&gt;0,AS46&gt;0),(AS46-C46)/AS46,"")</f>
        <v/>
      </c>
      <c r="AV46" s="40">
        <f>IF(AND(AS46&gt;0,C46&gt;0),AS46-C46,"")</f>
        <v/>
      </c>
      <c r="AW46" s="41">
        <f>IF(AND(AS46&gt;0,D46&gt;0),(AS46-D46)/D46,"")</f>
        <v/>
      </c>
      <c r="AX46" s="41">
        <f>IF(AND(AU46&lt;&gt;"",P46&lt;&gt;""),(AU46-P46)/ABS(IF(P46=0,1,P46)),"")</f>
        <v/>
      </c>
      <c r="AY46" s="40">
        <f>IF(AND(AV46&lt;&gt;"",Q46&lt;&gt;""),AV46-Q46,"")</f>
        <v/>
      </c>
      <c r="AZ46" s="45" t="n"/>
      <c r="BA46" s="40">
        <f>IF(AND(AZ46&gt;0,C46&gt;0),C46/(1-AZ46),"")</f>
        <v/>
      </c>
      <c r="BB46" s="41">
        <f>IF(AND(BA46&lt;&gt;"",C46&gt;0),(BA46-C46)/C46,"")</f>
        <v/>
      </c>
      <c r="BC46" s="41">
        <f>IF(BA46&lt;&gt;"",AZ46,"")</f>
        <v/>
      </c>
      <c r="BD46" s="40">
        <f>IF(AND(BA46&lt;&gt;"",C46&gt;0),BA46-C46,"")</f>
        <v/>
      </c>
      <c r="BE46" s="41">
        <f>IF(AND(BA46&lt;&gt;"",D46&gt;0),(BA46-D46)/D46,"")</f>
        <v/>
      </c>
      <c r="BF46" s="41">
        <f>IF(AND(BC46&lt;&gt;"",P46&lt;&gt;""),(BC46-P46)/ABS(IF(P46=0,1,P46)),"")</f>
        <v/>
      </c>
      <c r="BG46" s="40">
        <f>IF(AND(BD46&lt;&gt;"",Q46&lt;&gt;""),BD46-Q46,"")</f>
        <v/>
      </c>
      <c r="BH46" s="40">
        <f>IF(AND(T46&gt;0,X46&lt;&gt;""),T46*X46,"")</f>
        <v/>
      </c>
      <c r="BI46" s="40">
        <f>IF(AND(T46&gt;0,AA46&lt;&gt;""),T46*AA46,"")</f>
        <v/>
      </c>
      <c r="BJ46" s="40">
        <f>IF(AND(T46&gt;0,AE46&lt;&gt;""),T46*AE46,"")</f>
        <v/>
      </c>
      <c r="BK46" s="40">
        <f>IF(AND(T46&gt;0,AH46&lt;&gt;""),T46*AH46,"")</f>
        <v/>
      </c>
      <c r="BL46" s="40">
        <f>IF(AND(T46&gt;0,AL46&lt;&gt;""),T46*AL46,"")</f>
        <v/>
      </c>
      <c r="BM46" s="40">
        <f>IF(AND(T46&gt;0,AO46&lt;&gt;""),T46*AO46,"")</f>
        <v/>
      </c>
      <c r="BN46" s="40">
        <f>IF(AND(T46&gt;0,AS46&gt;0),T46*AS46,"")</f>
        <v/>
      </c>
      <c r="BO46" s="40">
        <f>IF(AND(T46&gt;0,AV46&lt;&gt;""),T46*AV46,"")</f>
        <v/>
      </c>
      <c r="BP46" s="40">
        <f>IF(AND(T46&gt;0,BA46&lt;&gt;""),T46*BA46,"")</f>
        <v/>
      </c>
      <c r="BQ46" s="40">
        <f>IF(AND(T46&gt;0,BD46&lt;&gt;""),T46*BD46,"")</f>
        <v/>
      </c>
      <c r="BR46" s="46">
        <f>IF(AND(T46&gt;0,V46&gt;0,AA46&lt;&gt;0),V46/AA46-T46,"")</f>
        <v/>
      </c>
      <c r="BS46" s="41">
        <f>IF(AND(BR46&lt;&gt;"",T46&gt;0),BR46/T46,"")</f>
        <v/>
      </c>
      <c r="BT46" s="46">
        <f>IF(AND(T46&gt;0,V46&gt;0,AO46&lt;&gt;0),V46/AO46-T46,"")</f>
        <v/>
      </c>
      <c r="BU46" s="41">
        <f>IF(AND(BT46&lt;&gt;"",T46&gt;0),BT46/T46,"")</f>
        <v/>
      </c>
    </row>
    <row r="47">
      <c r="A47" s="36">
        <f>'📊 Исходные данные'!A46</f>
        <v/>
      </c>
      <c r="B47" s="37">
        <f>'📊 Исходные данные'!B46</f>
        <v/>
      </c>
      <c r="C47" s="38">
        <f>'📊 Исходные данные'!C46</f>
        <v/>
      </c>
      <c r="D47" s="38">
        <f>'📊 Исходные данные'!D46</f>
        <v/>
      </c>
      <c r="E47" s="39">
        <f>IF(OR(D47="",F47=""),"-",IF(D47&gt;F47*1.05,"Выше рынка",IF(D47&lt;F47*0.95,"Ниже рынка","На уровне")))</f>
        <v/>
      </c>
      <c r="F47" s="40">
        <f>IFERROR(AVERAGE('📊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G47" s="40">
        <f>IFERROR(MEDIAN('📊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H47" s="40">
        <f>IFERROR(MIN('📊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I47" s="40">
        <f>IFERROR(MAX('📊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данные'!K46),"")</f>
        <v/>
      </c>
      <c r="J47" s="41">
        <f>IF(AND(D47&lt;&gt;"",F47&lt;&gt;""),(D47-F47)/F47,"")</f>
        <v/>
      </c>
      <c r="K47" s="41">
        <f>IF(AND(D47&lt;&gt;"",G47&lt;&gt;""),(D47-G47)/G47,"")</f>
        <v/>
      </c>
      <c r="L47" s="41">
        <f>IF(AND(D47&lt;&gt;"",H47&lt;&gt;""),(D47-H47)/H47,"")</f>
        <v/>
      </c>
      <c r="M47" s="42">
        <f>IFERROR(RANK(D47,('📊 Исходные данные'!E46,'📊 Исходные данные'!F46,'📊 Исходные данные'!G46,'📊 Исходные данные'!H46,'📊 Исходные данные'!I46,'📊 Исходные данные'!J46,'📊 Исходные данные'!K46)),"")</f>
        <v/>
      </c>
      <c r="N47" s="39">
        <f>IF(M47="","-",IF(M47=1,"Дороже всех",IF(M47=2,"2-й по цене",IF(M47&lt;=4,"Средний","Ниже конкурентов"))))</f>
        <v/>
      </c>
      <c r="O47" s="41">
        <f>IF(AND(C47&gt;0,D47&gt;0),(D47-C47)/C47,"")</f>
        <v/>
      </c>
      <c r="P47" s="41">
        <f>IF(AND(C47&gt;0,D47&gt;0),(D47-C47)/D47,"")</f>
        <v/>
      </c>
      <c r="Q47" s="40">
        <f>IF(AND(C47&gt;0,D47&gt;0),D47-C47,"")</f>
        <v/>
      </c>
      <c r="R47" s="39">
        <f>IF(P47="","-",IF(P47&lt;0.1,"Низкая(&lt;10%)",IF(P47&lt;0.2,"Средняя(10-20%)","Хорошая(&gt;20%)")))</f>
        <v/>
      </c>
      <c r="S47" s="39">
        <f>IF(OR(H47="",C47=""),"-",IF((H47-C47)/H47&lt;0.05,"КРИТИЧНО",IF((H47-C47)/H47&lt;0.15,"УМЕРЕННЫЙ","НИЗКИЙ")))</f>
        <v/>
      </c>
      <c r="T47" s="43" t="n"/>
      <c r="U47" s="40">
        <f>IF(T47&gt;0,T47*D47,"")</f>
        <v/>
      </c>
      <c r="V47" s="40">
        <f>IF(T47&gt;0,T47*Q47,"")</f>
        <v/>
      </c>
      <c r="W47" s="41">
        <f>IF(U47&gt;0,V47/U47,"")</f>
        <v/>
      </c>
      <c r="X47" s="40">
        <f>IF(F47&lt;&gt;"",F47,"")</f>
        <v/>
      </c>
      <c r="Y47" s="41">
        <f>IF(AND(X47&lt;&gt;"",C47&gt;0),(X47-C47)/C47,"")</f>
        <v/>
      </c>
      <c r="Z47" s="41">
        <f>IF(AND(X47&lt;&gt;"",X47&gt;0),(X47-C47)/X47,"")</f>
        <v/>
      </c>
      <c r="AA47" s="40">
        <f>IF(AND(X47&lt;&gt;"",C47&gt;0),X47-C47,"")</f>
        <v/>
      </c>
      <c r="AB47" s="41">
        <f>IF(AND(X47&lt;&gt;"",D47&gt;0),(X47-D47)/D47,"")</f>
        <v/>
      </c>
      <c r="AC47" s="41">
        <f>IF(AND(Z47&lt;&gt;"",P47&lt;&gt;""),(Z47-P47)/ABS(IF(P47=0,1,P47)),"")</f>
        <v/>
      </c>
      <c r="AD47" s="40">
        <f>IF(AND(AA47&lt;&gt;"",Q47&lt;&gt;""),AA47-Q47,"")</f>
        <v/>
      </c>
      <c r="AE47" s="40">
        <f>IF(G47&lt;&gt;"",G47,"")</f>
        <v/>
      </c>
      <c r="AF47" s="41">
        <f>IF(AND(AE47&lt;&gt;"",C47&gt;0),(AE47-C47)/C47,"")</f>
        <v/>
      </c>
      <c r="AG47" s="41">
        <f>IF(AND(AE47&lt;&gt;"",AE47&gt;0),(AE47-C47)/AE47,"")</f>
        <v/>
      </c>
      <c r="AH47" s="40">
        <f>IF(AND(AE47&lt;&gt;"",C47&gt;0),AE47-C47,"")</f>
        <v/>
      </c>
      <c r="AI47" s="41">
        <f>IF(AND(AE47&lt;&gt;"",D47&gt;0),(AE47-D47)/D47,"")</f>
        <v/>
      </c>
      <c r="AJ47" s="41">
        <f>IF(AND(AG47&lt;&gt;"",P47&lt;&gt;""),(AG47-P47)/ABS(IF(P47=0,1,P47)),"")</f>
        <v/>
      </c>
      <c r="AK47" s="40">
        <f>IF(AND(AH47&lt;&gt;"",Q47&lt;&gt;""),AH47-Q47,"")</f>
        <v/>
      </c>
      <c r="AL47" s="40">
        <f>IF(H47&lt;&gt;"",H47,"")</f>
        <v/>
      </c>
      <c r="AM47" s="41">
        <f>IF(AND(AL47&lt;&gt;"",C47&gt;0),(AL47-C47)/C47,"")</f>
        <v/>
      </c>
      <c r="AN47" s="41">
        <f>IF(AND(AL47&lt;&gt;"",AL47&gt;0),(AL47-C47)/AL47,"")</f>
        <v/>
      </c>
      <c r="AO47" s="40">
        <f>IF(AND(AL47&lt;&gt;"",C47&gt;0),AL47-C47,"")</f>
        <v/>
      </c>
      <c r="AP47" s="41">
        <f>IF(AND(AL47&lt;&gt;"",D47&gt;0),(AL47-D47)/D47,"")</f>
        <v/>
      </c>
      <c r="AQ47" s="41">
        <f>IF(AND(AN47&lt;&gt;"",P47&lt;&gt;""),(AN47-P47)/ABS(IF(P47=0,1,P47)),"")</f>
        <v/>
      </c>
      <c r="AR47" s="40">
        <f>IF(AND(AO47&lt;&gt;"",Q47&lt;&gt;""),AO47-Q47,"")</f>
        <v/>
      </c>
      <c r="AS47" s="44" t="n"/>
      <c r="AT47" s="41">
        <f>IF(AND(AS47&gt;0,C47&gt;0),(AS47-C47)/C47,"")</f>
        <v/>
      </c>
      <c r="AU47" s="41">
        <f>IF(AND(AS47&gt;0,AS47&gt;0),(AS47-C47)/AS47,"")</f>
        <v/>
      </c>
      <c r="AV47" s="40">
        <f>IF(AND(AS47&gt;0,C47&gt;0),AS47-C47,"")</f>
        <v/>
      </c>
      <c r="AW47" s="41">
        <f>IF(AND(AS47&gt;0,D47&gt;0),(AS47-D47)/D47,"")</f>
        <v/>
      </c>
      <c r="AX47" s="41">
        <f>IF(AND(AU47&lt;&gt;"",P47&lt;&gt;""),(AU47-P47)/ABS(IF(P47=0,1,P47)),"")</f>
        <v/>
      </c>
      <c r="AY47" s="40">
        <f>IF(AND(AV47&lt;&gt;"",Q47&lt;&gt;""),AV47-Q47,"")</f>
        <v/>
      </c>
      <c r="AZ47" s="45" t="n"/>
      <c r="BA47" s="40">
        <f>IF(AND(AZ47&gt;0,C47&gt;0),C47/(1-AZ47),"")</f>
        <v/>
      </c>
      <c r="BB47" s="41">
        <f>IF(AND(BA47&lt;&gt;"",C47&gt;0),(BA47-C47)/C47,"")</f>
        <v/>
      </c>
      <c r="BC47" s="41">
        <f>IF(BA47&lt;&gt;"",AZ47,"")</f>
        <v/>
      </c>
      <c r="BD47" s="40">
        <f>IF(AND(BA47&lt;&gt;"",C47&gt;0),BA47-C47,"")</f>
        <v/>
      </c>
      <c r="BE47" s="41">
        <f>IF(AND(BA47&lt;&gt;"",D47&gt;0),(BA47-D47)/D47,"")</f>
        <v/>
      </c>
      <c r="BF47" s="41">
        <f>IF(AND(BC47&lt;&gt;"",P47&lt;&gt;""),(BC47-P47)/ABS(IF(P47=0,1,P47)),"")</f>
        <v/>
      </c>
      <c r="BG47" s="40">
        <f>IF(AND(BD47&lt;&gt;"",Q47&lt;&gt;""),BD47-Q47,"")</f>
        <v/>
      </c>
      <c r="BH47" s="40">
        <f>IF(AND(T47&gt;0,X47&lt;&gt;""),T47*X47,"")</f>
        <v/>
      </c>
      <c r="BI47" s="40">
        <f>IF(AND(T47&gt;0,AA47&lt;&gt;""),T47*AA47,"")</f>
        <v/>
      </c>
      <c r="BJ47" s="40">
        <f>IF(AND(T47&gt;0,AE47&lt;&gt;""),T47*AE47,"")</f>
        <v/>
      </c>
      <c r="BK47" s="40">
        <f>IF(AND(T47&gt;0,AH47&lt;&gt;""),T47*AH47,"")</f>
        <v/>
      </c>
      <c r="BL47" s="40">
        <f>IF(AND(T47&gt;0,AL47&lt;&gt;""),T47*AL47,"")</f>
        <v/>
      </c>
      <c r="BM47" s="40">
        <f>IF(AND(T47&gt;0,AO47&lt;&gt;""),T47*AO47,"")</f>
        <v/>
      </c>
      <c r="BN47" s="40">
        <f>IF(AND(T47&gt;0,AS47&gt;0),T47*AS47,"")</f>
        <v/>
      </c>
      <c r="BO47" s="40">
        <f>IF(AND(T47&gt;0,AV47&lt;&gt;""),T47*AV47,"")</f>
        <v/>
      </c>
      <c r="BP47" s="40">
        <f>IF(AND(T47&gt;0,BA47&lt;&gt;""),T47*BA47,"")</f>
        <v/>
      </c>
      <c r="BQ47" s="40">
        <f>IF(AND(T47&gt;0,BD47&lt;&gt;""),T47*BD47,"")</f>
        <v/>
      </c>
      <c r="BR47" s="46">
        <f>IF(AND(T47&gt;0,V47&gt;0,AA47&lt;&gt;0),V47/AA47-T47,"")</f>
        <v/>
      </c>
      <c r="BS47" s="41">
        <f>IF(AND(BR47&lt;&gt;"",T47&gt;0),BR47/T47,"")</f>
        <v/>
      </c>
      <c r="BT47" s="46">
        <f>IF(AND(T47&gt;0,V47&gt;0,AO47&lt;&gt;0),V47/AO47-T47,"")</f>
        <v/>
      </c>
      <c r="BU47" s="41">
        <f>IF(AND(BT47&lt;&gt;"",T47&gt;0),BT47/T47,"")</f>
        <v/>
      </c>
    </row>
    <row r="48">
      <c r="A48" s="36">
        <f>'📊 Исходные данные'!A47</f>
        <v/>
      </c>
      <c r="B48" s="37">
        <f>'📊 Исходные данные'!B47</f>
        <v/>
      </c>
      <c r="C48" s="38">
        <f>'📊 Исходные данные'!C47</f>
        <v/>
      </c>
      <c r="D48" s="38">
        <f>'📊 Исходные данные'!D47</f>
        <v/>
      </c>
      <c r="E48" s="39">
        <f>IF(OR(D48="",F48=""),"-",IF(D48&gt;F48*1.05,"Выше рынка",IF(D48&lt;F48*0.95,"Ниже рынка","На уровне")))</f>
        <v/>
      </c>
      <c r="F48" s="40">
        <f>IFERROR(AVERAGE('📊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G48" s="40">
        <f>IFERROR(MEDIAN('📊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H48" s="40">
        <f>IFERROR(MIN('📊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I48" s="40">
        <f>IFERROR(MAX('📊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данные'!K47),"")</f>
        <v/>
      </c>
      <c r="J48" s="41">
        <f>IF(AND(D48&lt;&gt;"",F48&lt;&gt;""),(D48-F48)/F48,"")</f>
        <v/>
      </c>
      <c r="K48" s="41">
        <f>IF(AND(D48&lt;&gt;"",G48&lt;&gt;""),(D48-G48)/G48,"")</f>
        <v/>
      </c>
      <c r="L48" s="41">
        <f>IF(AND(D48&lt;&gt;"",H48&lt;&gt;""),(D48-H48)/H48,"")</f>
        <v/>
      </c>
      <c r="M48" s="42">
        <f>IFERROR(RANK(D48,('📊 Исходные данные'!E47,'📊 Исходные данные'!F47,'📊 Исходные данные'!G47,'📊 Исходные данные'!H47,'📊 Исходные данные'!I47,'📊 Исходные данные'!J47,'📊 Исходные данные'!K47)),"")</f>
        <v/>
      </c>
      <c r="N48" s="39">
        <f>IF(M48="","-",IF(M48=1,"Дороже всех",IF(M48=2,"2-й по цене",IF(M48&lt;=4,"Средний","Ниже конкурентов"))))</f>
        <v/>
      </c>
      <c r="O48" s="41">
        <f>IF(AND(C48&gt;0,D48&gt;0),(D48-C48)/C48,"")</f>
        <v/>
      </c>
      <c r="P48" s="41">
        <f>IF(AND(C48&gt;0,D48&gt;0),(D48-C48)/D48,"")</f>
        <v/>
      </c>
      <c r="Q48" s="40">
        <f>IF(AND(C48&gt;0,D48&gt;0),D48-C48,"")</f>
        <v/>
      </c>
      <c r="R48" s="39">
        <f>IF(P48="","-",IF(P48&lt;0.1,"Низкая(&lt;10%)",IF(P48&lt;0.2,"Средняя(10-20%)","Хорошая(&gt;20%)")))</f>
        <v/>
      </c>
      <c r="S48" s="39">
        <f>IF(OR(H48="",C48=""),"-",IF((H48-C48)/H48&lt;0.05,"КРИТИЧНО",IF((H48-C48)/H48&lt;0.15,"УМЕРЕННЫЙ","НИЗКИЙ")))</f>
        <v/>
      </c>
      <c r="T48" s="43" t="n"/>
      <c r="U48" s="40">
        <f>IF(T48&gt;0,T48*D48,"")</f>
        <v/>
      </c>
      <c r="V48" s="40">
        <f>IF(T48&gt;0,T48*Q48,"")</f>
        <v/>
      </c>
      <c r="W48" s="41">
        <f>IF(U48&gt;0,V48/U48,"")</f>
        <v/>
      </c>
      <c r="X48" s="40">
        <f>IF(F48&lt;&gt;"",F48,"")</f>
        <v/>
      </c>
      <c r="Y48" s="41">
        <f>IF(AND(X48&lt;&gt;"",C48&gt;0),(X48-C48)/C48,"")</f>
        <v/>
      </c>
      <c r="Z48" s="41">
        <f>IF(AND(X48&lt;&gt;"",X48&gt;0),(X48-C48)/X48,"")</f>
        <v/>
      </c>
      <c r="AA48" s="40">
        <f>IF(AND(X48&lt;&gt;"",C48&gt;0),X48-C48,"")</f>
        <v/>
      </c>
      <c r="AB48" s="41">
        <f>IF(AND(X48&lt;&gt;"",D48&gt;0),(X48-D48)/D48,"")</f>
        <v/>
      </c>
      <c r="AC48" s="41">
        <f>IF(AND(Z48&lt;&gt;"",P48&lt;&gt;""),(Z48-P48)/ABS(IF(P48=0,1,P48)),"")</f>
        <v/>
      </c>
      <c r="AD48" s="40">
        <f>IF(AND(AA48&lt;&gt;"",Q48&lt;&gt;""),AA48-Q48,"")</f>
        <v/>
      </c>
      <c r="AE48" s="40">
        <f>IF(G48&lt;&gt;"",G48,"")</f>
        <v/>
      </c>
      <c r="AF48" s="41">
        <f>IF(AND(AE48&lt;&gt;"",C48&gt;0),(AE48-C48)/C48,"")</f>
        <v/>
      </c>
      <c r="AG48" s="41">
        <f>IF(AND(AE48&lt;&gt;"",AE48&gt;0),(AE48-C48)/AE48,"")</f>
        <v/>
      </c>
      <c r="AH48" s="40">
        <f>IF(AND(AE48&lt;&gt;"",C48&gt;0),AE48-C48,"")</f>
        <v/>
      </c>
      <c r="AI48" s="41">
        <f>IF(AND(AE48&lt;&gt;"",D48&gt;0),(AE48-D48)/D48,"")</f>
        <v/>
      </c>
      <c r="AJ48" s="41">
        <f>IF(AND(AG48&lt;&gt;"",P48&lt;&gt;""),(AG48-P48)/ABS(IF(P48=0,1,P48)),"")</f>
        <v/>
      </c>
      <c r="AK48" s="40">
        <f>IF(AND(AH48&lt;&gt;"",Q48&lt;&gt;""),AH48-Q48,"")</f>
        <v/>
      </c>
      <c r="AL48" s="40">
        <f>IF(H48&lt;&gt;"",H48,"")</f>
        <v/>
      </c>
      <c r="AM48" s="41">
        <f>IF(AND(AL48&lt;&gt;"",C48&gt;0),(AL48-C48)/C48,"")</f>
        <v/>
      </c>
      <c r="AN48" s="41">
        <f>IF(AND(AL48&lt;&gt;"",AL48&gt;0),(AL48-C48)/AL48,"")</f>
        <v/>
      </c>
      <c r="AO48" s="40">
        <f>IF(AND(AL48&lt;&gt;"",C48&gt;0),AL48-C48,"")</f>
        <v/>
      </c>
      <c r="AP48" s="41">
        <f>IF(AND(AL48&lt;&gt;"",D48&gt;0),(AL48-D48)/D48,"")</f>
        <v/>
      </c>
      <c r="AQ48" s="41">
        <f>IF(AND(AN48&lt;&gt;"",P48&lt;&gt;""),(AN48-P48)/ABS(IF(P48=0,1,P48)),"")</f>
        <v/>
      </c>
      <c r="AR48" s="40">
        <f>IF(AND(AO48&lt;&gt;"",Q48&lt;&gt;""),AO48-Q48,"")</f>
        <v/>
      </c>
      <c r="AS48" s="44" t="n"/>
      <c r="AT48" s="41">
        <f>IF(AND(AS48&gt;0,C48&gt;0),(AS48-C48)/C48,"")</f>
        <v/>
      </c>
      <c r="AU48" s="41">
        <f>IF(AND(AS48&gt;0,AS48&gt;0),(AS48-C48)/AS48,"")</f>
        <v/>
      </c>
      <c r="AV48" s="40">
        <f>IF(AND(AS48&gt;0,C48&gt;0),AS48-C48,"")</f>
        <v/>
      </c>
      <c r="AW48" s="41">
        <f>IF(AND(AS48&gt;0,D48&gt;0),(AS48-D48)/D48,"")</f>
        <v/>
      </c>
      <c r="AX48" s="41">
        <f>IF(AND(AU48&lt;&gt;"",P48&lt;&gt;""),(AU48-P48)/ABS(IF(P48=0,1,P48)),"")</f>
        <v/>
      </c>
      <c r="AY48" s="40">
        <f>IF(AND(AV48&lt;&gt;"",Q48&lt;&gt;""),AV48-Q48,"")</f>
        <v/>
      </c>
      <c r="AZ48" s="45" t="n"/>
      <c r="BA48" s="40">
        <f>IF(AND(AZ48&gt;0,C48&gt;0),C48/(1-AZ48),"")</f>
        <v/>
      </c>
      <c r="BB48" s="41">
        <f>IF(AND(BA48&lt;&gt;"",C48&gt;0),(BA48-C48)/C48,"")</f>
        <v/>
      </c>
      <c r="BC48" s="41">
        <f>IF(BA48&lt;&gt;"",AZ48,"")</f>
        <v/>
      </c>
      <c r="BD48" s="40">
        <f>IF(AND(BA48&lt;&gt;"",C48&gt;0),BA48-C48,"")</f>
        <v/>
      </c>
      <c r="BE48" s="41">
        <f>IF(AND(BA48&lt;&gt;"",D48&gt;0),(BA48-D48)/D48,"")</f>
        <v/>
      </c>
      <c r="BF48" s="41">
        <f>IF(AND(BC48&lt;&gt;"",P48&lt;&gt;""),(BC48-P48)/ABS(IF(P48=0,1,P48)),"")</f>
        <v/>
      </c>
      <c r="BG48" s="40">
        <f>IF(AND(BD48&lt;&gt;"",Q48&lt;&gt;""),BD48-Q48,"")</f>
        <v/>
      </c>
      <c r="BH48" s="40">
        <f>IF(AND(T48&gt;0,X48&lt;&gt;""),T48*X48,"")</f>
        <v/>
      </c>
      <c r="BI48" s="40">
        <f>IF(AND(T48&gt;0,AA48&lt;&gt;""),T48*AA48,"")</f>
        <v/>
      </c>
      <c r="BJ48" s="40">
        <f>IF(AND(T48&gt;0,AE48&lt;&gt;""),T48*AE48,"")</f>
        <v/>
      </c>
      <c r="BK48" s="40">
        <f>IF(AND(T48&gt;0,AH48&lt;&gt;""),T48*AH48,"")</f>
        <v/>
      </c>
      <c r="BL48" s="40">
        <f>IF(AND(T48&gt;0,AL48&lt;&gt;""),T48*AL48,"")</f>
        <v/>
      </c>
      <c r="BM48" s="40">
        <f>IF(AND(T48&gt;0,AO48&lt;&gt;""),T48*AO48,"")</f>
        <v/>
      </c>
      <c r="BN48" s="40">
        <f>IF(AND(T48&gt;0,AS48&gt;0),T48*AS48,"")</f>
        <v/>
      </c>
      <c r="BO48" s="40">
        <f>IF(AND(T48&gt;0,AV48&lt;&gt;""),T48*AV48,"")</f>
        <v/>
      </c>
      <c r="BP48" s="40">
        <f>IF(AND(T48&gt;0,BA48&lt;&gt;""),T48*BA48,"")</f>
        <v/>
      </c>
      <c r="BQ48" s="40">
        <f>IF(AND(T48&gt;0,BD48&lt;&gt;""),T48*BD48,"")</f>
        <v/>
      </c>
      <c r="BR48" s="46">
        <f>IF(AND(T48&gt;0,V48&gt;0,AA48&lt;&gt;0),V48/AA48-T48,"")</f>
        <v/>
      </c>
      <c r="BS48" s="41">
        <f>IF(AND(BR48&lt;&gt;"",T48&gt;0),BR48/T48,"")</f>
        <v/>
      </c>
      <c r="BT48" s="46">
        <f>IF(AND(T48&gt;0,V48&gt;0,AO48&lt;&gt;0),V48/AO48-T48,"")</f>
        <v/>
      </c>
      <c r="BU48" s="41">
        <f>IF(AND(BT48&lt;&gt;"",T48&gt;0),BT48/T48,"")</f>
        <v/>
      </c>
    </row>
    <row r="49">
      <c r="A49" s="36">
        <f>'📊 Исходные данные'!A48</f>
        <v/>
      </c>
      <c r="B49" s="37">
        <f>'📊 Исходные данные'!B48</f>
        <v/>
      </c>
      <c r="C49" s="38">
        <f>'📊 Исходные данные'!C48</f>
        <v/>
      </c>
      <c r="D49" s="38">
        <f>'📊 Исходные данные'!D48</f>
        <v/>
      </c>
      <c r="E49" s="39">
        <f>IF(OR(D49="",F49=""),"-",IF(D49&gt;F49*1.05,"Выше рынка",IF(D49&lt;F49*0.95,"Ниже рынка","На уровне")))</f>
        <v/>
      </c>
      <c r="F49" s="40">
        <f>IFERROR(AVERAGE('📊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G49" s="40">
        <f>IFERROR(MEDIAN('📊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H49" s="40">
        <f>IFERROR(MIN('📊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I49" s="40">
        <f>IFERROR(MAX('📊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данные'!K48),"")</f>
        <v/>
      </c>
      <c r="J49" s="41">
        <f>IF(AND(D49&lt;&gt;"",F49&lt;&gt;""),(D49-F49)/F49,"")</f>
        <v/>
      </c>
      <c r="K49" s="41">
        <f>IF(AND(D49&lt;&gt;"",G49&lt;&gt;""),(D49-G49)/G49,"")</f>
        <v/>
      </c>
      <c r="L49" s="41">
        <f>IF(AND(D49&lt;&gt;"",H49&lt;&gt;""),(D49-H49)/H49,"")</f>
        <v/>
      </c>
      <c r="M49" s="42">
        <f>IFERROR(RANK(D49,('📊 Исходные данные'!E48,'📊 Исходные данные'!F48,'📊 Исходные данные'!G48,'📊 Исходные данные'!H48,'📊 Исходные данные'!I48,'📊 Исходные данные'!J48,'📊 Исходные данные'!K48)),"")</f>
        <v/>
      </c>
      <c r="N49" s="39">
        <f>IF(M49="","-",IF(M49=1,"Дороже всех",IF(M49=2,"2-й по цене",IF(M49&lt;=4,"Средний","Ниже конкурентов"))))</f>
        <v/>
      </c>
      <c r="O49" s="41">
        <f>IF(AND(C49&gt;0,D49&gt;0),(D49-C49)/C49,"")</f>
        <v/>
      </c>
      <c r="P49" s="41">
        <f>IF(AND(C49&gt;0,D49&gt;0),(D49-C49)/D49,"")</f>
        <v/>
      </c>
      <c r="Q49" s="40">
        <f>IF(AND(C49&gt;0,D49&gt;0),D49-C49,"")</f>
        <v/>
      </c>
      <c r="R49" s="39">
        <f>IF(P49="","-",IF(P49&lt;0.1,"Низкая(&lt;10%)",IF(P49&lt;0.2,"Средняя(10-20%)","Хорошая(&gt;20%)")))</f>
        <v/>
      </c>
      <c r="S49" s="39">
        <f>IF(OR(H49="",C49=""),"-",IF((H49-C49)/H49&lt;0.05,"КРИТИЧНО",IF((H49-C49)/H49&lt;0.15,"УМЕРЕННЫЙ","НИЗКИЙ")))</f>
        <v/>
      </c>
      <c r="T49" s="43" t="n"/>
      <c r="U49" s="40">
        <f>IF(T49&gt;0,T49*D49,"")</f>
        <v/>
      </c>
      <c r="V49" s="40">
        <f>IF(T49&gt;0,T49*Q49,"")</f>
        <v/>
      </c>
      <c r="W49" s="41">
        <f>IF(U49&gt;0,V49/U49,"")</f>
        <v/>
      </c>
      <c r="X49" s="40">
        <f>IF(F49&lt;&gt;"",F49,"")</f>
        <v/>
      </c>
      <c r="Y49" s="41">
        <f>IF(AND(X49&lt;&gt;"",C49&gt;0),(X49-C49)/C49,"")</f>
        <v/>
      </c>
      <c r="Z49" s="41">
        <f>IF(AND(X49&lt;&gt;"",X49&gt;0),(X49-C49)/X49,"")</f>
        <v/>
      </c>
      <c r="AA49" s="40">
        <f>IF(AND(X49&lt;&gt;"",C49&gt;0),X49-C49,"")</f>
        <v/>
      </c>
      <c r="AB49" s="41">
        <f>IF(AND(X49&lt;&gt;"",D49&gt;0),(X49-D49)/D49,"")</f>
        <v/>
      </c>
      <c r="AC49" s="41">
        <f>IF(AND(Z49&lt;&gt;"",P49&lt;&gt;""),(Z49-P49)/ABS(IF(P49=0,1,P49)),"")</f>
        <v/>
      </c>
      <c r="AD49" s="40">
        <f>IF(AND(AA49&lt;&gt;"",Q49&lt;&gt;""),AA49-Q49,"")</f>
        <v/>
      </c>
      <c r="AE49" s="40">
        <f>IF(G49&lt;&gt;"",G49,"")</f>
        <v/>
      </c>
      <c r="AF49" s="41">
        <f>IF(AND(AE49&lt;&gt;"",C49&gt;0),(AE49-C49)/C49,"")</f>
        <v/>
      </c>
      <c r="AG49" s="41">
        <f>IF(AND(AE49&lt;&gt;"",AE49&gt;0),(AE49-C49)/AE49,"")</f>
        <v/>
      </c>
      <c r="AH49" s="40">
        <f>IF(AND(AE49&lt;&gt;"",C49&gt;0),AE49-C49,"")</f>
        <v/>
      </c>
      <c r="AI49" s="41">
        <f>IF(AND(AE49&lt;&gt;"",D49&gt;0),(AE49-D49)/D49,"")</f>
        <v/>
      </c>
      <c r="AJ49" s="41">
        <f>IF(AND(AG49&lt;&gt;"",P49&lt;&gt;""),(AG49-P49)/ABS(IF(P49=0,1,P49)),"")</f>
        <v/>
      </c>
      <c r="AK49" s="40">
        <f>IF(AND(AH49&lt;&gt;"",Q49&lt;&gt;""),AH49-Q49,"")</f>
        <v/>
      </c>
      <c r="AL49" s="40">
        <f>IF(H49&lt;&gt;"",H49,"")</f>
        <v/>
      </c>
      <c r="AM49" s="41">
        <f>IF(AND(AL49&lt;&gt;"",C49&gt;0),(AL49-C49)/C49,"")</f>
        <v/>
      </c>
      <c r="AN49" s="41">
        <f>IF(AND(AL49&lt;&gt;"",AL49&gt;0),(AL49-C49)/AL49,"")</f>
        <v/>
      </c>
      <c r="AO49" s="40">
        <f>IF(AND(AL49&lt;&gt;"",C49&gt;0),AL49-C49,"")</f>
        <v/>
      </c>
      <c r="AP49" s="41">
        <f>IF(AND(AL49&lt;&gt;"",D49&gt;0),(AL49-D49)/D49,"")</f>
        <v/>
      </c>
      <c r="AQ49" s="41">
        <f>IF(AND(AN49&lt;&gt;"",P49&lt;&gt;""),(AN49-P49)/ABS(IF(P49=0,1,P49)),"")</f>
        <v/>
      </c>
      <c r="AR49" s="40">
        <f>IF(AND(AO49&lt;&gt;"",Q49&lt;&gt;""),AO49-Q49,"")</f>
        <v/>
      </c>
      <c r="AS49" s="44" t="n"/>
      <c r="AT49" s="41">
        <f>IF(AND(AS49&gt;0,C49&gt;0),(AS49-C49)/C49,"")</f>
        <v/>
      </c>
      <c r="AU49" s="41">
        <f>IF(AND(AS49&gt;0,AS49&gt;0),(AS49-C49)/AS49,"")</f>
        <v/>
      </c>
      <c r="AV49" s="40">
        <f>IF(AND(AS49&gt;0,C49&gt;0),AS49-C49,"")</f>
        <v/>
      </c>
      <c r="AW49" s="41">
        <f>IF(AND(AS49&gt;0,D49&gt;0),(AS49-D49)/D49,"")</f>
        <v/>
      </c>
      <c r="AX49" s="41">
        <f>IF(AND(AU49&lt;&gt;"",P49&lt;&gt;""),(AU49-P49)/ABS(IF(P49=0,1,P49)),"")</f>
        <v/>
      </c>
      <c r="AY49" s="40">
        <f>IF(AND(AV49&lt;&gt;"",Q49&lt;&gt;""),AV49-Q49,"")</f>
        <v/>
      </c>
      <c r="AZ49" s="45" t="n"/>
      <c r="BA49" s="40">
        <f>IF(AND(AZ49&gt;0,C49&gt;0),C49/(1-AZ49),"")</f>
        <v/>
      </c>
      <c r="BB49" s="41">
        <f>IF(AND(BA49&lt;&gt;"",C49&gt;0),(BA49-C49)/C49,"")</f>
        <v/>
      </c>
      <c r="BC49" s="41">
        <f>IF(BA49&lt;&gt;"",AZ49,"")</f>
        <v/>
      </c>
      <c r="BD49" s="40">
        <f>IF(AND(BA49&lt;&gt;"",C49&gt;0),BA49-C49,"")</f>
        <v/>
      </c>
      <c r="BE49" s="41">
        <f>IF(AND(BA49&lt;&gt;"",D49&gt;0),(BA49-D49)/D49,"")</f>
        <v/>
      </c>
      <c r="BF49" s="41">
        <f>IF(AND(BC49&lt;&gt;"",P49&lt;&gt;""),(BC49-P49)/ABS(IF(P49=0,1,P49)),"")</f>
        <v/>
      </c>
      <c r="BG49" s="40">
        <f>IF(AND(BD49&lt;&gt;"",Q49&lt;&gt;""),BD49-Q49,"")</f>
        <v/>
      </c>
      <c r="BH49" s="40">
        <f>IF(AND(T49&gt;0,X49&lt;&gt;""),T49*X49,"")</f>
        <v/>
      </c>
      <c r="BI49" s="40">
        <f>IF(AND(T49&gt;0,AA49&lt;&gt;""),T49*AA49,"")</f>
        <v/>
      </c>
      <c r="BJ49" s="40">
        <f>IF(AND(T49&gt;0,AE49&lt;&gt;""),T49*AE49,"")</f>
        <v/>
      </c>
      <c r="BK49" s="40">
        <f>IF(AND(T49&gt;0,AH49&lt;&gt;""),T49*AH49,"")</f>
        <v/>
      </c>
      <c r="BL49" s="40">
        <f>IF(AND(T49&gt;0,AL49&lt;&gt;""),T49*AL49,"")</f>
        <v/>
      </c>
      <c r="BM49" s="40">
        <f>IF(AND(T49&gt;0,AO49&lt;&gt;""),T49*AO49,"")</f>
        <v/>
      </c>
      <c r="BN49" s="40">
        <f>IF(AND(T49&gt;0,AS49&gt;0),T49*AS49,"")</f>
        <v/>
      </c>
      <c r="BO49" s="40">
        <f>IF(AND(T49&gt;0,AV49&lt;&gt;""),T49*AV49,"")</f>
        <v/>
      </c>
      <c r="BP49" s="40">
        <f>IF(AND(T49&gt;0,BA49&lt;&gt;""),T49*BA49,"")</f>
        <v/>
      </c>
      <c r="BQ49" s="40">
        <f>IF(AND(T49&gt;0,BD49&lt;&gt;""),T49*BD49,"")</f>
        <v/>
      </c>
      <c r="BR49" s="46">
        <f>IF(AND(T49&gt;0,V49&gt;0,AA49&lt;&gt;0),V49/AA49-T49,"")</f>
        <v/>
      </c>
      <c r="BS49" s="41">
        <f>IF(AND(BR49&lt;&gt;"",T49&gt;0),BR49/T49,"")</f>
        <v/>
      </c>
      <c r="BT49" s="46">
        <f>IF(AND(T49&gt;0,V49&gt;0,AO49&lt;&gt;0),V49/AO49-T49,"")</f>
        <v/>
      </c>
      <c r="BU49" s="41">
        <f>IF(AND(BT49&lt;&gt;"",T49&gt;0),BT49/T49,"")</f>
        <v/>
      </c>
    </row>
    <row r="50">
      <c r="A50" s="36">
        <f>'📊 Исходные данные'!A49</f>
        <v/>
      </c>
      <c r="B50" s="37">
        <f>'📊 Исходные данные'!B49</f>
        <v/>
      </c>
      <c r="C50" s="38">
        <f>'📊 Исходные данные'!C49</f>
        <v/>
      </c>
      <c r="D50" s="38">
        <f>'📊 Исходные данные'!D49</f>
        <v/>
      </c>
      <c r="E50" s="39">
        <f>IF(OR(D50="",F50=""),"-",IF(D50&gt;F50*1.05,"Выше рынка",IF(D50&lt;F50*0.95,"Ниже рынка","На уровне")))</f>
        <v/>
      </c>
      <c r="F50" s="40">
        <f>IFERROR(AVERAGE('📊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G50" s="40">
        <f>IFERROR(MEDIAN('📊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H50" s="40">
        <f>IFERROR(MIN('📊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I50" s="40">
        <f>IFERROR(MAX('📊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данные'!K49),"")</f>
        <v/>
      </c>
      <c r="J50" s="41">
        <f>IF(AND(D50&lt;&gt;"",F50&lt;&gt;""),(D50-F50)/F50,"")</f>
        <v/>
      </c>
      <c r="K50" s="41">
        <f>IF(AND(D50&lt;&gt;"",G50&lt;&gt;""),(D50-G50)/G50,"")</f>
        <v/>
      </c>
      <c r="L50" s="41">
        <f>IF(AND(D50&lt;&gt;"",H50&lt;&gt;""),(D50-H50)/H50,"")</f>
        <v/>
      </c>
      <c r="M50" s="42">
        <f>IFERROR(RANK(D50,('📊 Исходные данные'!E49,'📊 Исходные данные'!F49,'📊 Исходные данные'!G49,'📊 Исходные данные'!H49,'📊 Исходные данные'!I49,'📊 Исходные данные'!J49,'📊 Исходные данные'!K49)),"")</f>
        <v/>
      </c>
      <c r="N50" s="39">
        <f>IF(M50="","-",IF(M50=1,"Дороже всех",IF(M50=2,"2-й по цене",IF(M50&lt;=4,"Средний","Ниже конкурентов"))))</f>
        <v/>
      </c>
      <c r="O50" s="41">
        <f>IF(AND(C50&gt;0,D50&gt;0),(D50-C50)/C50,"")</f>
        <v/>
      </c>
      <c r="P50" s="41">
        <f>IF(AND(C50&gt;0,D50&gt;0),(D50-C50)/D50,"")</f>
        <v/>
      </c>
      <c r="Q50" s="40">
        <f>IF(AND(C50&gt;0,D50&gt;0),D50-C50,"")</f>
        <v/>
      </c>
      <c r="R50" s="39">
        <f>IF(P50="","-",IF(P50&lt;0.1,"Низкая(&lt;10%)",IF(P50&lt;0.2,"Средняя(10-20%)","Хорошая(&gt;20%)")))</f>
        <v/>
      </c>
      <c r="S50" s="39">
        <f>IF(OR(H50="",C50=""),"-",IF((H50-C50)/H50&lt;0.05,"КРИТИЧНО",IF((H50-C50)/H50&lt;0.15,"УМЕРЕННЫЙ","НИЗКИЙ")))</f>
        <v/>
      </c>
      <c r="T50" s="43" t="n"/>
      <c r="U50" s="40">
        <f>IF(T50&gt;0,T50*D50,"")</f>
        <v/>
      </c>
      <c r="V50" s="40">
        <f>IF(T50&gt;0,T50*Q50,"")</f>
        <v/>
      </c>
      <c r="W50" s="41">
        <f>IF(U50&gt;0,V50/U50,"")</f>
        <v/>
      </c>
      <c r="X50" s="40">
        <f>IF(F50&lt;&gt;"",F50,"")</f>
        <v/>
      </c>
      <c r="Y50" s="41">
        <f>IF(AND(X50&lt;&gt;"",C50&gt;0),(X50-C50)/C50,"")</f>
        <v/>
      </c>
      <c r="Z50" s="41">
        <f>IF(AND(X50&lt;&gt;"",X50&gt;0),(X50-C50)/X50,"")</f>
        <v/>
      </c>
      <c r="AA50" s="40">
        <f>IF(AND(X50&lt;&gt;"",C50&gt;0),X50-C50,"")</f>
        <v/>
      </c>
      <c r="AB50" s="41">
        <f>IF(AND(X50&lt;&gt;"",D50&gt;0),(X50-D50)/D50,"")</f>
        <v/>
      </c>
      <c r="AC50" s="41">
        <f>IF(AND(Z50&lt;&gt;"",P50&lt;&gt;""),(Z50-P50)/ABS(IF(P50=0,1,P50)),"")</f>
        <v/>
      </c>
      <c r="AD50" s="40">
        <f>IF(AND(AA50&lt;&gt;"",Q50&lt;&gt;""),AA50-Q50,"")</f>
        <v/>
      </c>
      <c r="AE50" s="40">
        <f>IF(G50&lt;&gt;"",G50,"")</f>
        <v/>
      </c>
      <c r="AF50" s="41">
        <f>IF(AND(AE50&lt;&gt;"",C50&gt;0),(AE50-C50)/C50,"")</f>
        <v/>
      </c>
      <c r="AG50" s="41">
        <f>IF(AND(AE50&lt;&gt;"",AE50&gt;0),(AE50-C50)/AE50,"")</f>
        <v/>
      </c>
      <c r="AH50" s="40">
        <f>IF(AND(AE50&lt;&gt;"",C50&gt;0),AE50-C50,"")</f>
        <v/>
      </c>
      <c r="AI50" s="41">
        <f>IF(AND(AE50&lt;&gt;"",D50&gt;0),(AE50-D50)/D50,"")</f>
        <v/>
      </c>
      <c r="AJ50" s="41">
        <f>IF(AND(AG50&lt;&gt;"",P50&lt;&gt;""),(AG50-P50)/ABS(IF(P50=0,1,P50)),"")</f>
        <v/>
      </c>
      <c r="AK50" s="40">
        <f>IF(AND(AH50&lt;&gt;"",Q50&lt;&gt;""),AH50-Q50,"")</f>
        <v/>
      </c>
      <c r="AL50" s="40">
        <f>IF(H50&lt;&gt;"",H50,"")</f>
        <v/>
      </c>
      <c r="AM50" s="41">
        <f>IF(AND(AL50&lt;&gt;"",C50&gt;0),(AL50-C50)/C50,"")</f>
        <v/>
      </c>
      <c r="AN50" s="41">
        <f>IF(AND(AL50&lt;&gt;"",AL50&gt;0),(AL50-C50)/AL50,"")</f>
        <v/>
      </c>
      <c r="AO50" s="40">
        <f>IF(AND(AL50&lt;&gt;"",C50&gt;0),AL50-C50,"")</f>
        <v/>
      </c>
      <c r="AP50" s="41">
        <f>IF(AND(AL50&lt;&gt;"",D50&gt;0),(AL50-D50)/D50,"")</f>
        <v/>
      </c>
      <c r="AQ50" s="41">
        <f>IF(AND(AN50&lt;&gt;"",P50&lt;&gt;""),(AN50-P50)/ABS(IF(P50=0,1,P50)),"")</f>
        <v/>
      </c>
      <c r="AR50" s="40">
        <f>IF(AND(AO50&lt;&gt;"",Q50&lt;&gt;""),AO50-Q50,"")</f>
        <v/>
      </c>
      <c r="AS50" s="44" t="n"/>
      <c r="AT50" s="41">
        <f>IF(AND(AS50&gt;0,C50&gt;0),(AS50-C50)/C50,"")</f>
        <v/>
      </c>
      <c r="AU50" s="41">
        <f>IF(AND(AS50&gt;0,AS50&gt;0),(AS50-C50)/AS50,"")</f>
        <v/>
      </c>
      <c r="AV50" s="40">
        <f>IF(AND(AS50&gt;0,C50&gt;0),AS50-C50,"")</f>
        <v/>
      </c>
      <c r="AW50" s="41">
        <f>IF(AND(AS50&gt;0,D50&gt;0),(AS50-D50)/D50,"")</f>
        <v/>
      </c>
      <c r="AX50" s="41">
        <f>IF(AND(AU50&lt;&gt;"",P50&lt;&gt;""),(AU50-P50)/ABS(IF(P50=0,1,P50)),"")</f>
        <v/>
      </c>
      <c r="AY50" s="40">
        <f>IF(AND(AV50&lt;&gt;"",Q50&lt;&gt;""),AV50-Q50,"")</f>
        <v/>
      </c>
      <c r="AZ50" s="45" t="n"/>
      <c r="BA50" s="40">
        <f>IF(AND(AZ50&gt;0,C50&gt;0),C50/(1-AZ50),"")</f>
        <v/>
      </c>
      <c r="BB50" s="41">
        <f>IF(AND(BA50&lt;&gt;"",C50&gt;0),(BA50-C50)/C50,"")</f>
        <v/>
      </c>
      <c r="BC50" s="41">
        <f>IF(BA50&lt;&gt;"",AZ50,"")</f>
        <v/>
      </c>
      <c r="BD50" s="40">
        <f>IF(AND(BA50&lt;&gt;"",C50&gt;0),BA50-C50,"")</f>
        <v/>
      </c>
      <c r="BE50" s="41">
        <f>IF(AND(BA50&lt;&gt;"",D50&gt;0),(BA50-D50)/D50,"")</f>
        <v/>
      </c>
      <c r="BF50" s="41">
        <f>IF(AND(BC50&lt;&gt;"",P50&lt;&gt;""),(BC50-P50)/ABS(IF(P50=0,1,P50)),"")</f>
        <v/>
      </c>
      <c r="BG50" s="40">
        <f>IF(AND(BD50&lt;&gt;"",Q50&lt;&gt;""),BD50-Q50,"")</f>
        <v/>
      </c>
      <c r="BH50" s="40">
        <f>IF(AND(T50&gt;0,X50&lt;&gt;""),T50*X50,"")</f>
        <v/>
      </c>
      <c r="BI50" s="40">
        <f>IF(AND(T50&gt;0,AA50&lt;&gt;""),T50*AA50,"")</f>
        <v/>
      </c>
      <c r="BJ50" s="40">
        <f>IF(AND(T50&gt;0,AE50&lt;&gt;""),T50*AE50,"")</f>
        <v/>
      </c>
      <c r="BK50" s="40">
        <f>IF(AND(T50&gt;0,AH50&lt;&gt;""),T50*AH50,"")</f>
        <v/>
      </c>
      <c r="BL50" s="40">
        <f>IF(AND(T50&gt;0,AL50&lt;&gt;""),T50*AL50,"")</f>
        <v/>
      </c>
      <c r="BM50" s="40">
        <f>IF(AND(T50&gt;0,AO50&lt;&gt;""),T50*AO50,"")</f>
        <v/>
      </c>
      <c r="BN50" s="40">
        <f>IF(AND(T50&gt;0,AS50&gt;0),T50*AS50,"")</f>
        <v/>
      </c>
      <c r="BO50" s="40">
        <f>IF(AND(T50&gt;0,AV50&lt;&gt;""),T50*AV50,"")</f>
        <v/>
      </c>
      <c r="BP50" s="40">
        <f>IF(AND(T50&gt;0,BA50&lt;&gt;""),T50*BA50,"")</f>
        <v/>
      </c>
      <c r="BQ50" s="40">
        <f>IF(AND(T50&gt;0,BD50&lt;&gt;""),T50*BD50,"")</f>
        <v/>
      </c>
      <c r="BR50" s="46">
        <f>IF(AND(T50&gt;0,V50&gt;0,AA50&lt;&gt;0),V50/AA50-T50,"")</f>
        <v/>
      </c>
      <c r="BS50" s="41">
        <f>IF(AND(BR50&lt;&gt;"",T50&gt;0),BR50/T50,"")</f>
        <v/>
      </c>
      <c r="BT50" s="46">
        <f>IF(AND(T50&gt;0,V50&gt;0,AO50&lt;&gt;0),V50/AO50-T50,"")</f>
        <v/>
      </c>
      <c r="BU50" s="41">
        <f>IF(AND(BT50&lt;&gt;"",T50&gt;0),BT50/T50,"")</f>
        <v/>
      </c>
    </row>
    <row r="51">
      <c r="A51" s="36">
        <f>'📊 Исходные данные'!A50</f>
        <v/>
      </c>
      <c r="B51" s="37">
        <f>'📊 Исходные данные'!B50</f>
        <v/>
      </c>
      <c r="C51" s="38">
        <f>'📊 Исходные данные'!C50</f>
        <v/>
      </c>
      <c r="D51" s="38">
        <f>'📊 Исходные данные'!D50</f>
        <v/>
      </c>
      <c r="E51" s="39">
        <f>IF(OR(D51="",F51=""),"-",IF(D51&gt;F51*1.05,"Выше рынка",IF(D51&lt;F51*0.95,"Ниже рынка","На уровне")))</f>
        <v/>
      </c>
      <c r="F51" s="40">
        <f>IFERROR(AVERAGE('📊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G51" s="40">
        <f>IFERROR(MEDIAN('📊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H51" s="40">
        <f>IFERROR(MIN('📊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I51" s="40">
        <f>IFERROR(MAX('📊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данные'!K50),"")</f>
        <v/>
      </c>
      <c r="J51" s="41">
        <f>IF(AND(D51&lt;&gt;"",F51&lt;&gt;""),(D51-F51)/F51,"")</f>
        <v/>
      </c>
      <c r="K51" s="41">
        <f>IF(AND(D51&lt;&gt;"",G51&lt;&gt;""),(D51-G51)/G51,"")</f>
        <v/>
      </c>
      <c r="L51" s="41">
        <f>IF(AND(D51&lt;&gt;"",H51&lt;&gt;""),(D51-H51)/H51,"")</f>
        <v/>
      </c>
      <c r="M51" s="42">
        <f>IFERROR(RANK(D51,('📊 Исходные данные'!E50,'📊 Исходные данные'!F50,'📊 Исходные данные'!G50,'📊 Исходные данные'!H50,'📊 Исходные данные'!I50,'📊 Исходные данные'!J50,'📊 Исходные данные'!K50)),"")</f>
        <v/>
      </c>
      <c r="N51" s="39">
        <f>IF(M51="","-",IF(M51=1,"Дороже всех",IF(M51=2,"2-й по цене",IF(M51&lt;=4,"Средний","Ниже конкурентов"))))</f>
        <v/>
      </c>
      <c r="O51" s="41">
        <f>IF(AND(C51&gt;0,D51&gt;0),(D51-C51)/C51,"")</f>
        <v/>
      </c>
      <c r="P51" s="41">
        <f>IF(AND(C51&gt;0,D51&gt;0),(D51-C51)/D51,"")</f>
        <v/>
      </c>
      <c r="Q51" s="40">
        <f>IF(AND(C51&gt;0,D51&gt;0),D51-C51,"")</f>
        <v/>
      </c>
      <c r="R51" s="39">
        <f>IF(P51="","-",IF(P51&lt;0.1,"Низкая(&lt;10%)",IF(P51&lt;0.2,"Средняя(10-20%)","Хорошая(&gt;20%)")))</f>
        <v/>
      </c>
      <c r="S51" s="39">
        <f>IF(OR(H51="",C51=""),"-",IF((H51-C51)/H51&lt;0.05,"КРИТИЧНО",IF((H51-C51)/H51&lt;0.15,"УМЕРЕННЫЙ","НИЗКИЙ")))</f>
        <v/>
      </c>
      <c r="T51" s="43" t="n"/>
      <c r="U51" s="40">
        <f>IF(T51&gt;0,T51*D51,"")</f>
        <v/>
      </c>
      <c r="V51" s="40">
        <f>IF(T51&gt;0,T51*Q51,"")</f>
        <v/>
      </c>
      <c r="W51" s="41">
        <f>IF(U51&gt;0,V51/U51,"")</f>
        <v/>
      </c>
      <c r="X51" s="40">
        <f>IF(F51&lt;&gt;"",F51,"")</f>
        <v/>
      </c>
      <c r="Y51" s="41">
        <f>IF(AND(X51&lt;&gt;"",C51&gt;0),(X51-C51)/C51,"")</f>
        <v/>
      </c>
      <c r="Z51" s="41">
        <f>IF(AND(X51&lt;&gt;"",X51&gt;0),(X51-C51)/X51,"")</f>
        <v/>
      </c>
      <c r="AA51" s="40">
        <f>IF(AND(X51&lt;&gt;"",C51&gt;0),X51-C51,"")</f>
        <v/>
      </c>
      <c r="AB51" s="41">
        <f>IF(AND(X51&lt;&gt;"",D51&gt;0),(X51-D51)/D51,"")</f>
        <v/>
      </c>
      <c r="AC51" s="41">
        <f>IF(AND(Z51&lt;&gt;"",P51&lt;&gt;""),(Z51-P51)/ABS(IF(P51=0,1,P51)),"")</f>
        <v/>
      </c>
      <c r="AD51" s="40">
        <f>IF(AND(AA51&lt;&gt;"",Q51&lt;&gt;""),AA51-Q51,"")</f>
        <v/>
      </c>
      <c r="AE51" s="40">
        <f>IF(G51&lt;&gt;"",G51,"")</f>
        <v/>
      </c>
      <c r="AF51" s="41">
        <f>IF(AND(AE51&lt;&gt;"",C51&gt;0),(AE51-C51)/C51,"")</f>
        <v/>
      </c>
      <c r="AG51" s="41">
        <f>IF(AND(AE51&lt;&gt;"",AE51&gt;0),(AE51-C51)/AE51,"")</f>
        <v/>
      </c>
      <c r="AH51" s="40">
        <f>IF(AND(AE51&lt;&gt;"",C51&gt;0),AE51-C51,"")</f>
        <v/>
      </c>
      <c r="AI51" s="41">
        <f>IF(AND(AE51&lt;&gt;"",D51&gt;0),(AE51-D51)/D51,"")</f>
        <v/>
      </c>
      <c r="AJ51" s="41">
        <f>IF(AND(AG51&lt;&gt;"",P51&lt;&gt;""),(AG51-P51)/ABS(IF(P51=0,1,P51)),"")</f>
        <v/>
      </c>
      <c r="AK51" s="40">
        <f>IF(AND(AH51&lt;&gt;"",Q51&lt;&gt;""),AH51-Q51,"")</f>
        <v/>
      </c>
      <c r="AL51" s="40">
        <f>IF(H51&lt;&gt;"",H51,"")</f>
        <v/>
      </c>
      <c r="AM51" s="41">
        <f>IF(AND(AL51&lt;&gt;"",C51&gt;0),(AL51-C51)/C51,"")</f>
        <v/>
      </c>
      <c r="AN51" s="41">
        <f>IF(AND(AL51&lt;&gt;"",AL51&gt;0),(AL51-C51)/AL51,"")</f>
        <v/>
      </c>
      <c r="AO51" s="40">
        <f>IF(AND(AL51&lt;&gt;"",C51&gt;0),AL51-C51,"")</f>
        <v/>
      </c>
      <c r="AP51" s="41">
        <f>IF(AND(AL51&lt;&gt;"",D51&gt;0),(AL51-D51)/D51,"")</f>
        <v/>
      </c>
      <c r="AQ51" s="41">
        <f>IF(AND(AN51&lt;&gt;"",P51&lt;&gt;""),(AN51-P51)/ABS(IF(P51=0,1,P51)),"")</f>
        <v/>
      </c>
      <c r="AR51" s="40">
        <f>IF(AND(AO51&lt;&gt;"",Q51&lt;&gt;""),AO51-Q51,"")</f>
        <v/>
      </c>
      <c r="AS51" s="44" t="n"/>
      <c r="AT51" s="41">
        <f>IF(AND(AS51&gt;0,C51&gt;0),(AS51-C51)/C51,"")</f>
        <v/>
      </c>
      <c r="AU51" s="41">
        <f>IF(AND(AS51&gt;0,AS51&gt;0),(AS51-C51)/AS51,"")</f>
        <v/>
      </c>
      <c r="AV51" s="40">
        <f>IF(AND(AS51&gt;0,C51&gt;0),AS51-C51,"")</f>
        <v/>
      </c>
      <c r="AW51" s="41">
        <f>IF(AND(AS51&gt;0,D51&gt;0),(AS51-D51)/D51,"")</f>
        <v/>
      </c>
      <c r="AX51" s="41">
        <f>IF(AND(AU51&lt;&gt;"",P51&lt;&gt;""),(AU51-P51)/ABS(IF(P51=0,1,P51)),"")</f>
        <v/>
      </c>
      <c r="AY51" s="40">
        <f>IF(AND(AV51&lt;&gt;"",Q51&lt;&gt;""),AV51-Q51,"")</f>
        <v/>
      </c>
      <c r="AZ51" s="45" t="n"/>
      <c r="BA51" s="40">
        <f>IF(AND(AZ51&gt;0,C51&gt;0),C51/(1-AZ51),"")</f>
        <v/>
      </c>
      <c r="BB51" s="41">
        <f>IF(AND(BA51&lt;&gt;"",C51&gt;0),(BA51-C51)/C51,"")</f>
        <v/>
      </c>
      <c r="BC51" s="41">
        <f>IF(BA51&lt;&gt;"",AZ51,"")</f>
        <v/>
      </c>
      <c r="BD51" s="40">
        <f>IF(AND(BA51&lt;&gt;"",C51&gt;0),BA51-C51,"")</f>
        <v/>
      </c>
      <c r="BE51" s="41">
        <f>IF(AND(BA51&lt;&gt;"",D51&gt;0),(BA51-D51)/D51,"")</f>
        <v/>
      </c>
      <c r="BF51" s="41">
        <f>IF(AND(BC51&lt;&gt;"",P51&lt;&gt;""),(BC51-P51)/ABS(IF(P51=0,1,P51)),"")</f>
        <v/>
      </c>
      <c r="BG51" s="40">
        <f>IF(AND(BD51&lt;&gt;"",Q51&lt;&gt;""),BD51-Q51,"")</f>
        <v/>
      </c>
      <c r="BH51" s="40">
        <f>IF(AND(T51&gt;0,X51&lt;&gt;""),T51*X51,"")</f>
        <v/>
      </c>
      <c r="BI51" s="40">
        <f>IF(AND(T51&gt;0,AA51&lt;&gt;""),T51*AA51,"")</f>
        <v/>
      </c>
      <c r="BJ51" s="40">
        <f>IF(AND(T51&gt;0,AE51&lt;&gt;""),T51*AE51,"")</f>
        <v/>
      </c>
      <c r="BK51" s="40">
        <f>IF(AND(T51&gt;0,AH51&lt;&gt;""),T51*AH51,"")</f>
        <v/>
      </c>
      <c r="BL51" s="40">
        <f>IF(AND(T51&gt;0,AL51&lt;&gt;""),T51*AL51,"")</f>
        <v/>
      </c>
      <c r="BM51" s="40">
        <f>IF(AND(T51&gt;0,AO51&lt;&gt;""),T51*AO51,"")</f>
        <v/>
      </c>
      <c r="BN51" s="40">
        <f>IF(AND(T51&gt;0,AS51&gt;0),T51*AS51,"")</f>
        <v/>
      </c>
      <c r="BO51" s="40">
        <f>IF(AND(T51&gt;0,AV51&lt;&gt;""),T51*AV51,"")</f>
        <v/>
      </c>
      <c r="BP51" s="40">
        <f>IF(AND(T51&gt;0,BA51&lt;&gt;""),T51*BA51,"")</f>
        <v/>
      </c>
      <c r="BQ51" s="40">
        <f>IF(AND(T51&gt;0,BD51&lt;&gt;""),T51*BD51,"")</f>
        <v/>
      </c>
      <c r="BR51" s="46">
        <f>IF(AND(T51&gt;0,V51&gt;0,AA51&lt;&gt;0),V51/AA51-T51,"")</f>
        <v/>
      </c>
      <c r="BS51" s="41">
        <f>IF(AND(BR51&lt;&gt;"",T51&gt;0),BR51/T51,"")</f>
        <v/>
      </c>
      <c r="BT51" s="46">
        <f>IF(AND(T51&gt;0,V51&gt;0,AO51&lt;&gt;0),V51/AO51-T51,"")</f>
        <v/>
      </c>
      <c r="BU51" s="41">
        <f>IF(AND(BT51&lt;&gt;"",T51&gt;0),BT51/T51,"")</f>
        <v/>
      </c>
    </row>
    <row r="52">
      <c r="A52" s="36">
        <f>'📊 Исходные данные'!A51</f>
        <v/>
      </c>
      <c r="B52" s="37">
        <f>'📊 Исходные данные'!B51</f>
        <v/>
      </c>
      <c r="C52" s="38">
        <f>'📊 Исходные данные'!C51</f>
        <v/>
      </c>
      <c r="D52" s="38">
        <f>'📊 Исходные данные'!D51</f>
        <v/>
      </c>
      <c r="E52" s="39">
        <f>IF(OR(D52="",F52=""),"-",IF(D52&gt;F52*1.05,"Выше рынка",IF(D52&lt;F52*0.95,"Ниже рынка","На уровне")))</f>
        <v/>
      </c>
      <c r="F52" s="40">
        <f>IFERROR(AVERAGE('📊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G52" s="40">
        <f>IFERROR(MEDIAN('📊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H52" s="40">
        <f>IFERROR(MIN('📊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I52" s="40">
        <f>IFERROR(MAX('📊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данные'!K51),"")</f>
        <v/>
      </c>
      <c r="J52" s="41">
        <f>IF(AND(D52&lt;&gt;"",F52&lt;&gt;""),(D52-F52)/F52,"")</f>
        <v/>
      </c>
      <c r="K52" s="41">
        <f>IF(AND(D52&lt;&gt;"",G52&lt;&gt;""),(D52-G52)/G52,"")</f>
        <v/>
      </c>
      <c r="L52" s="41">
        <f>IF(AND(D52&lt;&gt;"",H52&lt;&gt;""),(D52-H52)/H52,"")</f>
        <v/>
      </c>
      <c r="M52" s="42">
        <f>IFERROR(RANK(D52,('📊 Исходные данные'!E51,'📊 Исходные данные'!F51,'📊 Исходные данные'!G51,'📊 Исходные данные'!H51,'📊 Исходные данные'!I51,'📊 Исходные данные'!J51,'📊 Исходные данные'!K51)),"")</f>
        <v/>
      </c>
      <c r="N52" s="39">
        <f>IF(M52="","-",IF(M52=1,"Дороже всех",IF(M52=2,"2-й по цене",IF(M52&lt;=4,"Средний","Ниже конкурентов"))))</f>
        <v/>
      </c>
      <c r="O52" s="41">
        <f>IF(AND(C52&gt;0,D52&gt;0),(D52-C52)/C52,"")</f>
        <v/>
      </c>
      <c r="P52" s="41">
        <f>IF(AND(C52&gt;0,D52&gt;0),(D52-C52)/D52,"")</f>
        <v/>
      </c>
      <c r="Q52" s="40">
        <f>IF(AND(C52&gt;0,D52&gt;0),D52-C52,"")</f>
        <v/>
      </c>
      <c r="R52" s="39">
        <f>IF(P52="","-",IF(P52&lt;0.1,"Низкая(&lt;10%)",IF(P52&lt;0.2,"Средняя(10-20%)","Хорошая(&gt;20%)")))</f>
        <v/>
      </c>
      <c r="S52" s="39">
        <f>IF(OR(H52="",C52=""),"-",IF((H52-C52)/H52&lt;0.05,"КРИТИЧНО",IF((H52-C52)/H52&lt;0.15,"УМЕРЕННЫЙ","НИЗКИЙ")))</f>
        <v/>
      </c>
      <c r="T52" s="43" t="n"/>
      <c r="U52" s="40">
        <f>IF(T52&gt;0,T52*D52,"")</f>
        <v/>
      </c>
      <c r="V52" s="40">
        <f>IF(T52&gt;0,T52*Q52,"")</f>
        <v/>
      </c>
      <c r="W52" s="41">
        <f>IF(U52&gt;0,V52/U52,"")</f>
        <v/>
      </c>
      <c r="X52" s="40">
        <f>IF(F52&lt;&gt;"",F52,"")</f>
        <v/>
      </c>
      <c r="Y52" s="41">
        <f>IF(AND(X52&lt;&gt;"",C52&gt;0),(X52-C52)/C52,"")</f>
        <v/>
      </c>
      <c r="Z52" s="41">
        <f>IF(AND(X52&lt;&gt;"",X52&gt;0),(X52-C52)/X52,"")</f>
        <v/>
      </c>
      <c r="AA52" s="40">
        <f>IF(AND(X52&lt;&gt;"",C52&gt;0),X52-C52,"")</f>
        <v/>
      </c>
      <c r="AB52" s="41">
        <f>IF(AND(X52&lt;&gt;"",D52&gt;0),(X52-D52)/D52,"")</f>
        <v/>
      </c>
      <c r="AC52" s="41">
        <f>IF(AND(Z52&lt;&gt;"",P52&lt;&gt;""),(Z52-P52)/ABS(IF(P52=0,1,P52)),"")</f>
        <v/>
      </c>
      <c r="AD52" s="40">
        <f>IF(AND(AA52&lt;&gt;"",Q52&lt;&gt;""),AA52-Q52,"")</f>
        <v/>
      </c>
      <c r="AE52" s="40">
        <f>IF(G52&lt;&gt;"",G52,"")</f>
        <v/>
      </c>
      <c r="AF52" s="41">
        <f>IF(AND(AE52&lt;&gt;"",C52&gt;0),(AE52-C52)/C52,"")</f>
        <v/>
      </c>
      <c r="AG52" s="41">
        <f>IF(AND(AE52&lt;&gt;"",AE52&gt;0),(AE52-C52)/AE52,"")</f>
        <v/>
      </c>
      <c r="AH52" s="40">
        <f>IF(AND(AE52&lt;&gt;"",C52&gt;0),AE52-C52,"")</f>
        <v/>
      </c>
      <c r="AI52" s="41">
        <f>IF(AND(AE52&lt;&gt;"",D52&gt;0),(AE52-D52)/D52,"")</f>
        <v/>
      </c>
      <c r="AJ52" s="41">
        <f>IF(AND(AG52&lt;&gt;"",P52&lt;&gt;""),(AG52-P52)/ABS(IF(P52=0,1,P52)),"")</f>
        <v/>
      </c>
      <c r="AK52" s="40">
        <f>IF(AND(AH52&lt;&gt;"",Q52&lt;&gt;""),AH52-Q52,"")</f>
        <v/>
      </c>
      <c r="AL52" s="40">
        <f>IF(H52&lt;&gt;"",H52,"")</f>
        <v/>
      </c>
      <c r="AM52" s="41">
        <f>IF(AND(AL52&lt;&gt;"",C52&gt;0),(AL52-C52)/C52,"")</f>
        <v/>
      </c>
      <c r="AN52" s="41">
        <f>IF(AND(AL52&lt;&gt;"",AL52&gt;0),(AL52-C52)/AL52,"")</f>
        <v/>
      </c>
      <c r="AO52" s="40">
        <f>IF(AND(AL52&lt;&gt;"",C52&gt;0),AL52-C52,"")</f>
        <v/>
      </c>
      <c r="AP52" s="41">
        <f>IF(AND(AL52&lt;&gt;"",D52&gt;0),(AL52-D52)/D52,"")</f>
        <v/>
      </c>
      <c r="AQ52" s="41">
        <f>IF(AND(AN52&lt;&gt;"",P52&lt;&gt;""),(AN52-P52)/ABS(IF(P52=0,1,P52)),"")</f>
        <v/>
      </c>
      <c r="AR52" s="40">
        <f>IF(AND(AO52&lt;&gt;"",Q52&lt;&gt;""),AO52-Q52,"")</f>
        <v/>
      </c>
      <c r="AS52" s="44" t="n"/>
      <c r="AT52" s="41">
        <f>IF(AND(AS52&gt;0,C52&gt;0),(AS52-C52)/C52,"")</f>
        <v/>
      </c>
      <c r="AU52" s="41">
        <f>IF(AND(AS52&gt;0,AS52&gt;0),(AS52-C52)/AS52,"")</f>
        <v/>
      </c>
      <c r="AV52" s="40">
        <f>IF(AND(AS52&gt;0,C52&gt;0),AS52-C52,"")</f>
        <v/>
      </c>
      <c r="AW52" s="41">
        <f>IF(AND(AS52&gt;0,D52&gt;0),(AS52-D52)/D52,"")</f>
        <v/>
      </c>
      <c r="AX52" s="41">
        <f>IF(AND(AU52&lt;&gt;"",P52&lt;&gt;""),(AU52-P52)/ABS(IF(P52=0,1,P52)),"")</f>
        <v/>
      </c>
      <c r="AY52" s="40">
        <f>IF(AND(AV52&lt;&gt;"",Q52&lt;&gt;""),AV52-Q52,"")</f>
        <v/>
      </c>
      <c r="AZ52" s="45" t="n"/>
      <c r="BA52" s="40">
        <f>IF(AND(AZ52&gt;0,C52&gt;0),C52/(1-AZ52),"")</f>
        <v/>
      </c>
      <c r="BB52" s="41">
        <f>IF(AND(BA52&lt;&gt;"",C52&gt;0),(BA52-C52)/C52,"")</f>
        <v/>
      </c>
      <c r="BC52" s="41">
        <f>IF(BA52&lt;&gt;"",AZ52,"")</f>
        <v/>
      </c>
      <c r="BD52" s="40">
        <f>IF(AND(BA52&lt;&gt;"",C52&gt;0),BA52-C52,"")</f>
        <v/>
      </c>
      <c r="BE52" s="41">
        <f>IF(AND(BA52&lt;&gt;"",D52&gt;0),(BA52-D52)/D52,"")</f>
        <v/>
      </c>
      <c r="BF52" s="41">
        <f>IF(AND(BC52&lt;&gt;"",P52&lt;&gt;""),(BC52-P52)/ABS(IF(P52=0,1,P52)),"")</f>
        <v/>
      </c>
      <c r="BG52" s="40">
        <f>IF(AND(BD52&lt;&gt;"",Q52&lt;&gt;""),BD52-Q52,"")</f>
        <v/>
      </c>
      <c r="BH52" s="40">
        <f>IF(AND(T52&gt;0,X52&lt;&gt;""),T52*X52,"")</f>
        <v/>
      </c>
      <c r="BI52" s="40">
        <f>IF(AND(T52&gt;0,AA52&lt;&gt;""),T52*AA52,"")</f>
        <v/>
      </c>
      <c r="BJ52" s="40">
        <f>IF(AND(T52&gt;0,AE52&lt;&gt;""),T52*AE52,"")</f>
        <v/>
      </c>
      <c r="BK52" s="40">
        <f>IF(AND(T52&gt;0,AH52&lt;&gt;""),T52*AH52,"")</f>
        <v/>
      </c>
      <c r="BL52" s="40">
        <f>IF(AND(T52&gt;0,AL52&lt;&gt;""),T52*AL52,"")</f>
        <v/>
      </c>
      <c r="BM52" s="40">
        <f>IF(AND(T52&gt;0,AO52&lt;&gt;""),T52*AO52,"")</f>
        <v/>
      </c>
      <c r="BN52" s="40">
        <f>IF(AND(T52&gt;0,AS52&gt;0),T52*AS52,"")</f>
        <v/>
      </c>
      <c r="BO52" s="40">
        <f>IF(AND(T52&gt;0,AV52&lt;&gt;""),T52*AV52,"")</f>
        <v/>
      </c>
      <c r="BP52" s="40">
        <f>IF(AND(T52&gt;0,BA52&lt;&gt;""),T52*BA52,"")</f>
        <v/>
      </c>
      <c r="BQ52" s="40">
        <f>IF(AND(T52&gt;0,BD52&lt;&gt;""),T52*BD52,"")</f>
        <v/>
      </c>
      <c r="BR52" s="46">
        <f>IF(AND(T52&gt;0,V52&gt;0,AA52&lt;&gt;0),V52/AA52-T52,"")</f>
        <v/>
      </c>
      <c r="BS52" s="41">
        <f>IF(AND(BR52&lt;&gt;"",T52&gt;0),BR52/T52,"")</f>
        <v/>
      </c>
      <c r="BT52" s="46">
        <f>IF(AND(T52&gt;0,V52&gt;0,AO52&lt;&gt;0),V52/AO52-T52,"")</f>
        <v/>
      </c>
      <c r="BU52" s="41">
        <f>IF(AND(BT52&lt;&gt;"",T52&gt;0),BT52/T52,"")</f>
        <v/>
      </c>
    </row>
    <row r="53">
      <c r="A53" s="36">
        <f>'📊 Исходные данные'!A52</f>
        <v/>
      </c>
      <c r="B53" s="37">
        <f>'📊 Исходные данные'!B52</f>
        <v/>
      </c>
      <c r="C53" s="38">
        <f>'📊 Исходные данные'!C52</f>
        <v/>
      </c>
      <c r="D53" s="38">
        <f>'📊 Исходные данные'!D52</f>
        <v/>
      </c>
      <c r="E53" s="39">
        <f>IF(OR(D53="",F53=""),"-",IF(D53&gt;F53*1.05,"Выше рынка",IF(D53&lt;F53*0.95,"Ниже рынка","На уровне")))</f>
        <v/>
      </c>
      <c r="F53" s="40">
        <f>IFERROR(AVERAGE('📊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G53" s="40">
        <f>IFERROR(MEDIAN('📊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H53" s="40">
        <f>IFERROR(MIN('📊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I53" s="40">
        <f>IFERROR(MAX('📊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данные'!K52),"")</f>
        <v/>
      </c>
      <c r="J53" s="41">
        <f>IF(AND(D53&lt;&gt;"",F53&lt;&gt;""),(D53-F53)/F53,"")</f>
        <v/>
      </c>
      <c r="K53" s="41">
        <f>IF(AND(D53&lt;&gt;"",G53&lt;&gt;""),(D53-G53)/G53,"")</f>
        <v/>
      </c>
      <c r="L53" s="41">
        <f>IF(AND(D53&lt;&gt;"",H53&lt;&gt;""),(D53-H53)/H53,"")</f>
        <v/>
      </c>
      <c r="M53" s="42">
        <f>IFERROR(RANK(D53,('📊 Исходные данные'!E52,'📊 Исходные данные'!F52,'📊 Исходные данные'!G52,'📊 Исходные данные'!H52,'📊 Исходные данные'!I52,'📊 Исходные данные'!J52,'📊 Исходные данные'!K52)),"")</f>
        <v/>
      </c>
      <c r="N53" s="39">
        <f>IF(M53="","-",IF(M53=1,"Дороже всех",IF(M53=2,"2-й по цене",IF(M53&lt;=4,"Средний","Ниже конкурентов"))))</f>
        <v/>
      </c>
      <c r="O53" s="41">
        <f>IF(AND(C53&gt;0,D53&gt;0),(D53-C53)/C53,"")</f>
        <v/>
      </c>
      <c r="P53" s="41">
        <f>IF(AND(C53&gt;0,D53&gt;0),(D53-C53)/D53,"")</f>
        <v/>
      </c>
      <c r="Q53" s="40">
        <f>IF(AND(C53&gt;0,D53&gt;0),D53-C53,"")</f>
        <v/>
      </c>
      <c r="R53" s="39">
        <f>IF(P53="","-",IF(P53&lt;0.1,"Низкая(&lt;10%)",IF(P53&lt;0.2,"Средняя(10-20%)","Хорошая(&gt;20%)")))</f>
        <v/>
      </c>
      <c r="S53" s="39">
        <f>IF(OR(H53="",C53=""),"-",IF((H53-C53)/H53&lt;0.05,"КРИТИЧНО",IF((H53-C53)/H53&lt;0.15,"УМЕРЕННЫЙ","НИЗКИЙ")))</f>
        <v/>
      </c>
      <c r="T53" s="43" t="n"/>
      <c r="U53" s="40">
        <f>IF(T53&gt;0,T53*D53,"")</f>
        <v/>
      </c>
      <c r="V53" s="40">
        <f>IF(T53&gt;0,T53*Q53,"")</f>
        <v/>
      </c>
      <c r="W53" s="41">
        <f>IF(U53&gt;0,V53/U53,"")</f>
        <v/>
      </c>
      <c r="X53" s="40">
        <f>IF(F53&lt;&gt;"",F53,"")</f>
        <v/>
      </c>
      <c r="Y53" s="41">
        <f>IF(AND(X53&lt;&gt;"",C53&gt;0),(X53-C53)/C53,"")</f>
        <v/>
      </c>
      <c r="Z53" s="41">
        <f>IF(AND(X53&lt;&gt;"",X53&gt;0),(X53-C53)/X53,"")</f>
        <v/>
      </c>
      <c r="AA53" s="40">
        <f>IF(AND(X53&lt;&gt;"",C53&gt;0),X53-C53,"")</f>
        <v/>
      </c>
      <c r="AB53" s="41">
        <f>IF(AND(X53&lt;&gt;"",D53&gt;0),(X53-D53)/D53,"")</f>
        <v/>
      </c>
      <c r="AC53" s="41">
        <f>IF(AND(Z53&lt;&gt;"",P53&lt;&gt;""),(Z53-P53)/ABS(IF(P53=0,1,P53)),"")</f>
        <v/>
      </c>
      <c r="AD53" s="40">
        <f>IF(AND(AA53&lt;&gt;"",Q53&lt;&gt;""),AA53-Q53,"")</f>
        <v/>
      </c>
      <c r="AE53" s="40">
        <f>IF(G53&lt;&gt;"",G53,"")</f>
        <v/>
      </c>
      <c r="AF53" s="41">
        <f>IF(AND(AE53&lt;&gt;"",C53&gt;0),(AE53-C53)/C53,"")</f>
        <v/>
      </c>
      <c r="AG53" s="41">
        <f>IF(AND(AE53&lt;&gt;"",AE53&gt;0),(AE53-C53)/AE53,"")</f>
        <v/>
      </c>
      <c r="AH53" s="40">
        <f>IF(AND(AE53&lt;&gt;"",C53&gt;0),AE53-C53,"")</f>
        <v/>
      </c>
      <c r="AI53" s="41">
        <f>IF(AND(AE53&lt;&gt;"",D53&gt;0),(AE53-D53)/D53,"")</f>
        <v/>
      </c>
      <c r="AJ53" s="41">
        <f>IF(AND(AG53&lt;&gt;"",P53&lt;&gt;""),(AG53-P53)/ABS(IF(P53=0,1,P53)),"")</f>
        <v/>
      </c>
      <c r="AK53" s="40">
        <f>IF(AND(AH53&lt;&gt;"",Q53&lt;&gt;""),AH53-Q53,"")</f>
        <v/>
      </c>
      <c r="AL53" s="40">
        <f>IF(H53&lt;&gt;"",H53,"")</f>
        <v/>
      </c>
      <c r="AM53" s="41">
        <f>IF(AND(AL53&lt;&gt;"",C53&gt;0),(AL53-C53)/C53,"")</f>
        <v/>
      </c>
      <c r="AN53" s="41">
        <f>IF(AND(AL53&lt;&gt;"",AL53&gt;0),(AL53-C53)/AL53,"")</f>
        <v/>
      </c>
      <c r="AO53" s="40">
        <f>IF(AND(AL53&lt;&gt;"",C53&gt;0),AL53-C53,"")</f>
        <v/>
      </c>
      <c r="AP53" s="41">
        <f>IF(AND(AL53&lt;&gt;"",D53&gt;0),(AL53-D53)/D53,"")</f>
        <v/>
      </c>
      <c r="AQ53" s="41">
        <f>IF(AND(AN53&lt;&gt;"",P53&lt;&gt;""),(AN53-P53)/ABS(IF(P53=0,1,P53)),"")</f>
        <v/>
      </c>
      <c r="AR53" s="40">
        <f>IF(AND(AO53&lt;&gt;"",Q53&lt;&gt;""),AO53-Q53,"")</f>
        <v/>
      </c>
      <c r="AS53" s="44" t="n"/>
      <c r="AT53" s="41">
        <f>IF(AND(AS53&gt;0,C53&gt;0),(AS53-C53)/C53,"")</f>
        <v/>
      </c>
      <c r="AU53" s="41">
        <f>IF(AND(AS53&gt;0,AS53&gt;0),(AS53-C53)/AS53,"")</f>
        <v/>
      </c>
      <c r="AV53" s="40">
        <f>IF(AND(AS53&gt;0,C53&gt;0),AS53-C53,"")</f>
        <v/>
      </c>
      <c r="AW53" s="41">
        <f>IF(AND(AS53&gt;0,D53&gt;0),(AS53-D53)/D53,"")</f>
        <v/>
      </c>
      <c r="AX53" s="41">
        <f>IF(AND(AU53&lt;&gt;"",P53&lt;&gt;""),(AU53-P53)/ABS(IF(P53=0,1,P53)),"")</f>
        <v/>
      </c>
      <c r="AY53" s="40">
        <f>IF(AND(AV53&lt;&gt;"",Q53&lt;&gt;""),AV53-Q53,"")</f>
        <v/>
      </c>
      <c r="AZ53" s="45" t="n"/>
      <c r="BA53" s="40">
        <f>IF(AND(AZ53&gt;0,C53&gt;0),C53/(1-AZ53),"")</f>
        <v/>
      </c>
      <c r="BB53" s="41">
        <f>IF(AND(BA53&lt;&gt;"",C53&gt;0),(BA53-C53)/C53,"")</f>
        <v/>
      </c>
      <c r="BC53" s="41">
        <f>IF(BA53&lt;&gt;"",AZ53,"")</f>
        <v/>
      </c>
      <c r="BD53" s="40">
        <f>IF(AND(BA53&lt;&gt;"",C53&gt;0),BA53-C53,"")</f>
        <v/>
      </c>
      <c r="BE53" s="41">
        <f>IF(AND(BA53&lt;&gt;"",D53&gt;0),(BA53-D53)/D53,"")</f>
        <v/>
      </c>
      <c r="BF53" s="41">
        <f>IF(AND(BC53&lt;&gt;"",P53&lt;&gt;""),(BC53-P53)/ABS(IF(P53=0,1,P53)),"")</f>
        <v/>
      </c>
      <c r="BG53" s="40">
        <f>IF(AND(BD53&lt;&gt;"",Q53&lt;&gt;""),BD53-Q53,"")</f>
        <v/>
      </c>
      <c r="BH53" s="40">
        <f>IF(AND(T53&gt;0,X53&lt;&gt;""),T53*X53,"")</f>
        <v/>
      </c>
      <c r="BI53" s="40">
        <f>IF(AND(T53&gt;0,AA53&lt;&gt;""),T53*AA53,"")</f>
        <v/>
      </c>
      <c r="BJ53" s="40">
        <f>IF(AND(T53&gt;0,AE53&lt;&gt;""),T53*AE53,"")</f>
        <v/>
      </c>
      <c r="BK53" s="40">
        <f>IF(AND(T53&gt;0,AH53&lt;&gt;""),T53*AH53,"")</f>
        <v/>
      </c>
      <c r="BL53" s="40">
        <f>IF(AND(T53&gt;0,AL53&lt;&gt;""),T53*AL53,"")</f>
        <v/>
      </c>
      <c r="BM53" s="40">
        <f>IF(AND(T53&gt;0,AO53&lt;&gt;""),T53*AO53,"")</f>
        <v/>
      </c>
      <c r="BN53" s="40">
        <f>IF(AND(T53&gt;0,AS53&gt;0),T53*AS53,"")</f>
        <v/>
      </c>
      <c r="BO53" s="40">
        <f>IF(AND(T53&gt;0,AV53&lt;&gt;""),T53*AV53,"")</f>
        <v/>
      </c>
      <c r="BP53" s="40">
        <f>IF(AND(T53&gt;0,BA53&lt;&gt;""),T53*BA53,"")</f>
        <v/>
      </c>
      <c r="BQ53" s="40">
        <f>IF(AND(T53&gt;0,BD53&lt;&gt;""),T53*BD53,"")</f>
        <v/>
      </c>
      <c r="BR53" s="46">
        <f>IF(AND(T53&gt;0,V53&gt;0,AA53&lt;&gt;0),V53/AA53-T53,"")</f>
        <v/>
      </c>
      <c r="BS53" s="41">
        <f>IF(AND(BR53&lt;&gt;"",T53&gt;0),BR53/T53,"")</f>
        <v/>
      </c>
      <c r="BT53" s="46">
        <f>IF(AND(T53&gt;0,V53&gt;0,AO53&lt;&gt;0),V53/AO53-T53,"")</f>
        <v/>
      </c>
      <c r="BU53" s="41">
        <f>IF(AND(BT53&lt;&gt;"",T53&gt;0),BT53/T53,"")</f>
        <v/>
      </c>
    </row>
    <row r="54">
      <c r="A54" s="36">
        <f>'📊 Исходные данные'!A53</f>
        <v/>
      </c>
      <c r="B54" s="37">
        <f>'📊 Исходные данные'!B53</f>
        <v/>
      </c>
      <c r="C54" s="38">
        <f>'📊 Исходные данные'!C53</f>
        <v/>
      </c>
      <c r="D54" s="38">
        <f>'📊 Исходные данные'!D53</f>
        <v/>
      </c>
      <c r="E54" s="39">
        <f>IF(OR(D54="",F54=""),"-",IF(D54&gt;F54*1.05,"Выше рынка",IF(D54&lt;F54*0.95,"Ниже рынка","На уровне")))</f>
        <v/>
      </c>
      <c r="F54" s="40">
        <f>IFERROR(AVERAGE('📊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G54" s="40">
        <f>IFERROR(MEDIAN('📊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H54" s="40">
        <f>IFERROR(MIN('📊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I54" s="40">
        <f>IFERROR(MAX('📊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данные'!K53),"")</f>
        <v/>
      </c>
      <c r="J54" s="41">
        <f>IF(AND(D54&lt;&gt;"",F54&lt;&gt;""),(D54-F54)/F54,"")</f>
        <v/>
      </c>
      <c r="K54" s="41">
        <f>IF(AND(D54&lt;&gt;"",G54&lt;&gt;""),(D54-G54)/G54,"")</f>
        <v/>
      </c>
      <c r="L54" s="41">
        <f>IF(AND(D54&lt;&gt;"",H54&lt;&gt;""),(D54-H54)/H54,"")</f>
        <v/>
      </c>
      <c r="M54" s="42">
        <f>IFERROR(RANK(D54,('📊 Исходные данные'!E53,'📊 Исходные данные'!F53,'📊 Исходные данные'!G53,'📊 Исходные данные'!H53,'📊 Исходные данные'!I53,'📊 Исходные данные'!J53,'📊 Исходные данные'!K53)),"")</f>
        <v/>
      </c>
      <c r="N54" s="39">
        <f>IF(M54="","-",IF(M54=1,"Дороже всех",IF(M54=2,"2-й по цене",IF(M54&lt;=4,"Средний","Ниже конкурентов"))))</f>
        <v/>
      </c>
      <c r="O54" s="41">
        <f>IF(AND(C54&gt;0,D54&gt;0),(D54-C54)/C54,"")</f>
        <v/>
      </c>
      <c r="P54" s="41">
        <f>IF(AND(C54&gt;0,D54&gt;0),(D54-C54)/D54,"")</f>
        <v/>
      </c>
      <c r="Q54" s="40">
        <f>IF(AND(C54&gt;0,D54&gt;0),D54-C54,"")</f>
        <v/>
      </c>
      <c r="R54" s="39">
        <f>IF(P54="","-",IF(P54&lt;0.1,"Низкая(&lt;10%)",IF(P54&lt;0.2,"Средняя(10-20%)","Хорошая(&gt;20%)")))</f>
        <v/>
      </c>
      <c r="S54" s="39">
        <f>IF(OR(H54="",C54=""),"-",IF((H54-C54)/H54&lt;0.05,"КРИТИЧНО",IF((H54-C54)/H54&lt;0.15,"УМЕРЕННЫЙ","НИЗКИЙ")))</f>
        <v/>
      </c>
      <c r="T54" s="43" t="n"/>
      <c r="U54" s="40">
        <f>IF(T54&gt;0,T54*D54,"")</f>
        <v/>
      </c>
      <c r="V54" s="40">
        <f>IF(T54&gt;0,T54*Q54,"")</f>
        <v/>
      </c>
      <c r="W54" s="41">
        <f>IF(U54&gt;0,V54/U54,"")</f>
        <v/>
      </c>
      <c r="X54" s="40">
        <f>IF(F54&lt;&gt;"",F54,"")</f>
        <v/>
      </c>
      <c r="Y54" s="41">
        <f>IF(AND(X54&lt;&gt;"",C54&gt;0),(X54-C54)/C54,"")</f>
        <v/>
      </c>
      <c r="Z54" s="41">
        <f>IF(AND(X54&lt;&gt;"",X54&gt;0),(X54-C54)/X54,"")</f>
        <v/>
      </c>
      <c r="AA54" s="40">
        <f>IF(AND(X54&lt;&gt;"",C54&gt;0),X54-C54,"")</f>
        <v/>
      </c>
      <c r="AB54" s="41">
        <f>IF(AND(X54&lt;&gt;"",D54&gt;0),(X54-D54)/D54,"")</f>
        <v/>
      </c>
      <c r="AC54" s="41">
        <f>IF(AND(Z54&lt;&gt;"",P54&lt;&gt;""),(Z54-P54)/ABS(IF(P54=0,1,P54)),"")</f>
        <v/>
      </c>
      <c r="AD54" s="40">
        <f>IF(AND(AA54&lt;&gt;"",Q54&lt;&gt;""),AA54-Q54,"")</f>
        <v/>
      </c>
      <c r="AE54" s="40">
        <f>IF(G54&lt;&gt;"",G54,"")</f>
        <v/>
      </c>
      <c r="AF54" s="41">
        <f>IF(AND(AE54&lt;&gt;"",C54&gt;0),(AE54-C54)/C54,"")</f>
        <v/>
      </c>
      <c r="AG54" s="41">
        <f>IF(AND(AE54&lt;&gt;"",AE54&gt;0),(AE54-C54)/AE54,"")</f>
        <v/>
      </c>
      <c r="AH54" s="40">
        <f>IF(AND(AE54&lt;&gt;"",C54&gt;0),AE54-C54,"")</f>
        <v/>
      </c>
      <c r="AI54" s="41">
        <f>IF(AND(AE54&lt;&gt;"",D54&gt;0),(AE54-D54)/D54,"")</f>
        <v/>
      </c>
      <c r="AJ54" s="41">
        <f>IF(AND(AG54&lt;&gt;"",P54&lt;&gt;""),(AG54-P54)/ABS(IF(P54=0,1,P54)),"")</f>
        <v/>
      </c>
      <c r="AK54" s="40">
        <f>IF(AND(AH54&lt;&gt;"",Q54&lt;&gt;""),AH54-Q54,"")</f>
        <v/>
      </c>
      <c r="AL54" s="40">
        <f>IF(H54&lt;&gt;"",H54,"")</f>
        <v/>
      </c>
      <c r="AM54" s="41">
        <f>IF(AND(AL54&lt;&gt;"",C54&gt;0),(AL54-C54)/C54,"")</f>
        <v/>
      </c>
      <c r="AN54" s="41">
        <f>IF(AND(AL54&lt;&gt;"",AL54&gt;0),(AL54-C54)/AL54,"")</f>
        <v/>
      </c>
      <c r="AO54" s="40">
        <f>IF(AND(AL54&lt;&gt;"",C54&gt;0),AL54-C54,"")</f>
        <v/>
      </c>
      <c r="AP54" s="41">
        <f>IF(AND(AL54&lt;&gt;"",D54&gt;0),(AL54-D54)/D54,"")</f>
        <v/>
      </c>
      <c r="AQ54" s="41">
        <f>IF(AND(AN54&lt;&gt;"",P54&lt;&gt;""),(AN54-P54)/ABS(IF(P54=0,1,P54)),"")</f>
        <v/>
      </c>
      <c r="AR54" s="40">
        <f>IF(AND(AO54&lt;&gt;"",Q54&lt;&gt;""),AO54-Q54,"")</f>
        <v/>
      </c>
      <c r="AS54" s="44" t="n"/>
      <c r="AT54" s="41">
        <f>IF(AND(AS54&gt;0,C54&gt;0),(AS54-C54)/C54,"")</f>
        <v/>
      </c>
      <c r="AU54" s="41">
        <f>IF(AND(AS54&gt;0,AS54&gt;0),(AS54-C54)/AS54,"")</f>
        <v/>
      </c>
      <c r="AV54" s="40">
        <f>IF(AND(AS54&gt;0,C54&gt;0),AS54-C54,"")</f>
        <v/>
      </c>
      <c r="AW54" s="41">
        <f>IF(AND(AS54&gt;0,D54&gt;0),(AS54-D54)/D54,"")</f>
        <v/>
      </c>
      <c r="AX54" s="41">
        <f>IF(AND(AU54&lt;&gt;"",P54&lt;&gt;""),(AU54-P54)/ABS(IF(P54=0,1,P54)),"")</f>
        <v/>
      </c>
      <c r="AY54" s="40">
        <f>IF(AND(AV54&lt;&gt;"",Q54&lt;&gt;""),AV54-Q54,"")</f>
        <v/>
      </c>
      <c r="AZ54" s="45" t="n"/>
      <c r="BA54" s="40">
        <f>IF(AND(AZ54&gt;0,C54&gt;0),C54/(1-AZ54),"")</f>
        <v/>
      </c>
      <c r="BB54" s="41">
        <f>IF(AND(BA54&lt;&gt;"",C54&gt;0),(BA54-C54)/C54,"")</f>
        <v/>
      </c>
      <c r="BC54" s="41">
        <f>IF(BA54&lt;&gt;"",AZ54,"")</f>
        <v/>
      </c>
      <c r="BD54" s="40">
        <f>IF(AND(BA54&lt;&gt;"",C54&gt;0),BA54-C54,"")</f>
        <v/>
      </c>
      <c r="BE54" s="41">
        <f>IF(AND(BA54&lt;&gt;"",D54&gt;0),(BA54-D54)/D54,"")</f>
        <v/>
      </c>
      <c r="BF54" s="41">
        <f>IF(AND(BC54&lt;&gt;"",P54&lt;&gt;""),(BC54-P54)/ABS(IF(P54=0,1,P54)),"")</f>
        <v/>
      </c>
      <c r="BG54" s="40">
        <f>IF(AND(BD54&lt;&gt;"",Q54&lt;&gt;""),BD54-Q54,"")</f>
        <v/>
      </c>
      <c r="BH54" s="40">
        <f>IF(AND(T54&gt;0,X54&lt;&gt;""),T54*X54,"")</f>
        <v/>
      </c>
      <c r="BI54" s="40">
        <f>IF(AND(T54&gt;0,AA54&lt;&gt;""),T54*AA54,"")</f>
        <v/>
      </c>
      <c r="BJ54" s="40">
        <f>IF(AND(T54&gt;0,AE54&lt;&gt;""),T54*AE54,"")</f>
        <v/>
      </c>
      <c r="BK54" s="40">
        <f>IF(AND(T54&gt;0,AH54&lt;&gt;""),T54*AH54,"")</f>
        <v/>
      </c>
      <c r="BL54" s="40">
        <f>IF(AND(T54&gt;0,AL54&lt;&gt;""),T54*AL54,"")</f>
        <v/>
      </c>
      <c r="BM54" s="40">
        <f>IF(AND(T54&gt;0,AO54&lt;&gt;""),T54*AO54,"")</f>
        <v/>
      </c>
      <c r="BN54" s="40">
        <f>IF(AND(T54&gt;0,AS54&gt;0),T54*AS54,"")</f>
        <v/>
      </c>
      <c r="BO54" s="40">
        <f>IF(AND(T54&gt;0,AV54&lt;&gt;""),T54*AV54,"")</f>
        <v/>
      </c>
      <c r="BP54" s="40">
        <f>IF(AND(T54&gt;0,BA54&lt;&gt;""),T54*BA54,"")</f>
        <v/>
      </c>
      <c r="BQ54" s="40">
        <f>IF(AND(T54&gt;0,BD54&lt;&gt;""),T54*BD54,"")</f>
        <v/>
      </c>
      <c r="BR54" s="46">
        <f>IF(AND(T54&gt;0,V54&gt;0,AA54&lt;&gt;0),V54/AA54-T54,"")</f>
        <v/>
      </c>
      <c r="BS54" s="41">
        <f>IF(AND(BR54&lt;&gt;"",T54&gt;0),BR54/T54,"")</f>
        <v/>
      </c>
      <c r="BT54" s="46">
        <f>IF(AND(T54&gt;0,V54&gt;0,AO54&lt;&gt;0),V54/AO54-T54,"")</f>
        <v/>
      </c>
      <c r="BU54" s="41">
        <f>IF(AND(BT54&lt;&gt;"",T54&gt;0),BT54/T54,"")</f>
        <v/>
      </c>
    </row>
    <row r="55">
      <c r="A55" s="36">
        <f>'📊 Исходные данные'!A54</f>
        <v/>
      </c>
      <c r="B55" s="37">
        <f>'📊 Исходные данные'!B54</f>
        <v/>
      </c>
      <c r="C55" s="38">
        <f>'📊 Исходные данные'!C54</f>
        <v/>
      </c>
      <c r="D55" s="38">
        <f>'📊 Исходные данные'!D54</f>
        <v/>
      </c>
      <c r="E55" s="39">
        <f>IF(OR(D55="",F55=""),"-",IF(D55&gt;F55*1.05,"Выше рынка",IF(D55&lt;F55*0.95,"Ниже рынка","На уровне")))</f>
        <v/>
      </c>
      <c r="F55" s="40">
        <f>IFERROR(AVERAGE('📊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G55" s="40">
        <f>IFERROR(MEDIAN('📊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H55" s="40">
        <f>IFERROR(MIN('📊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I55" s="40">
        <f>IFERROR(MAX('📊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данные'!K54),"")</f>
        <v/>
      </c>
      <c r="J55" s="41">
        <f>IF(AND(D55&lt;&gt;"",F55&lt;&gt;""),(D55-F55)/F55,"")</f>
        <v/>
      </c>
      <c r="K55" s="41">
        <f>IF(AND(D55&lt;&gt;"",G55&lt;&gt;""),(D55-G55)/G55,"")</f>
        <v/>
      </c>
      <c r="L55" s="41">
        <f>IF(AND(D55&lt;&gt;"",H55&lt;&gt;""),(D55-H55)/H55,"")</f>
        <v/>
      </c>
      <c r="M55" s="42">
        <f>IFERROR(RANK(D55,('📊 Исходные данные'!E54,'📊 Исходные данные'!F54,'📊 Исходные данные'!G54,'📊 Исходные данные'!H54,'📊 Исходные данные'!I54,'📊 Исходные данные'!J54,'📊 Исходные данные'!K54)),"")</f>
        <v/>
      </c>
      <c r="N55" s="39">
        <f>IF(M55="","-",IF(M55=1,"Дороже всех",IF(M55=2,"2-й по цене",IF(M55&lt;=4,"Средний","Ниже конкурентов"))))</f>
        <v/>
      </c>
      <c r="O55" s="41">
        <f>IF(AND(C55&gt;0,D55&gt;0),(D55-C55)/C55,"")</f>
        <v/>
      </c>
      <c r="P55" s="41">
        <f>IF(AND(C55&gt;0,D55&gt;0),(D55-C55)/D55,"")</f>
        <v/>
      </c>
      <c r="Q55" s="40">
        <f>IF(AND(C55&gt;0,D55&gt;0),D55-C55,"")</f>
        <v/>
      </c>
      <c r="R55" s="39">
        <f>IF(P55="","-",IF(P55&lt;0.1,"Низкая(&lt;10%)",IF(P55&lt;0.2,"Средняя(10-20%)","Хорошая(&gt;20%)")))</f>
        <v/>
      </c>
      <c r="S55" s="39">
        <f>IF(OR(H55="",C55=""),"-",IF((H55-C55)/H55&lt;0.05,"КРИТИЧНО",IF((H55-C55)/H55&lt;0.15,"УМЕРЕННЫЙ","НИЗКИЙ")))</f>
        <v/>
      </c>
      <c r="T55" s="43" t="n"/>
      <c r="U55" s="40">
        <f>IF(T55&gt;0,T55*D55,"")</f>
        <v/>
      </c>
      <c r="V55" s="40">
        <f>IF(T55&gt;0,T55*Q55,"")</f>
        <v/>
      </c>
      <c r="W55" s="41">
        <f>IF(U55&gt;0,V55/U55,"")</f>
        <v/>
      </c>
      <c r="X55" s="40">
        <f>IF(F55&lt;&gt;"",F55,"")</f>
        <v/>
      </c>
      <c r="Y55" s="41">
        <f>IF(AND(X55&lt;&gt;"",C55&gt;0),(X55-C55)/C55,"")</f>
        <v/>
      </c>
      <c r="Z55" s="41">
        <f>IF(AND(X55&lt;&gt;"",X55&gt;0),(X55-C55)/X55,"")</f>
        <v/>
      </c>
      <c r="AA55" s="40">
        <f>IF(AND(X55&lt;&gt;"",C55&gt;0),X55-C55,"")</f>
        <v/>
      </c>
      <c r="AB55" s="41">
        <f>IF(AND(X55&lt;&gt;"",D55&gt;0),(X55-D55)/D55,"")</f>
        <v/>
      </c>
      <c r="AC55" s="41">
        <f>IF(AND(Z55&lt;&gt;"",P55&lt;&gt;""),(Z55-P55)/ABS(IF(P55=0,1,P55)),"")</f>
        <v/>
      </c>
      <c r="AD55" s="40">
        <f>IF(AND(AA55&lt;&gt;"",Q55&lt;&gt;""),AA55-Q55,"")</f>
        <v/>
      </c>
      <c r="AE55" s="40">
        <f>IF(G55&lt;&gt;"",G55,"")</f>
        <v/>
      </c>
      <c r="AF55" s="41">
        <f>IF(AND(AE55&lt;&gt;"",C55&gt;0),(AE55-C55)/C55,"")</f>
        <v/>
      </c>
      <c r="AG55" s="41">
        <f>IF(AND(AE55&lt;&gt;"",AE55&gt;0),(AE55-C55)/AE55,"")</f>
        <v/>
      </c>
      <c r="AH55" s="40">
        <f>IF(AND(AE55&lt;&gt;"",C55&gt;0),AE55-C55,"")</f>
        <v/>
      </c>
      <c r="AI55" s="41">
        <f>IF(AND(AE55&lt;&gt;"",D55&gt;0),(AE55-D55)/D55,"")</f>
        <v/>
      </c>
      <c r="AJ55" s="41">
        <f>IF(AND(AG55&lt;&gt;"",P55&lt;&gt;""),(AG55-P55)/ABS(IF(P55=0,1,P55)),"")</f>
        <v/>
      </c>
      <c r="AK55" s="40">
        <f>IF(AND(AH55&lt;&gt;"",Q55&lt;&gt;""),AH55-Q55,"")</f>
        <v/>
      </c>
      <c r="AL55" s="40">
        <f>IF(H55&lt;&gt;"",H55,"")</f>
        <v/>
      </c>
      <c r="AM55" s="41">
        <f>IF(AND(AL55&lt;&gt;"",C55&gt;0),(AL55-C55)/C55,"")</f>
        <v/>
      </c>
      <c r="AN55" s="41">
        <f>IF(AND(AL55&lt;&gt;"",AL55&gt;0),(AL55-C55)/AL55,"")</f>
        <v/>
      </c>
      <c r="AO55" s="40">
        <f>IF(AND(AL55&lt;&gt;"",C55&gt;0),AL55-C55,"")</f>
        <v/>
      </c>
      <c r="AP55" s="41">
        <f>IF(AND(AL55&lt;&gt;"",D55&gt;0),(AL55-D55)/D55,"")</f>
        <v/>
      </c>
      <c r="AQ55" s="41">
        <f>IF(AND(AN55&lt;&gt;"",P55&lt;&gt;""),(AN55-P55)/ABS(IF(P55=0,1,P55)),"")</f>
        <v/>
      </c>
      <c r="AR55" s="40">
        <f>IF(AND(AO55&lt;&gt;"",Q55&lt;&gt;""),AO55-Q55,"")</f>
        <v/>
      </c>
      <c r="AS55" s="44" t="n"/>
      <c r="AT55" s="41">
        <f>IF(AND(AS55&gt;0,C55&gt;0),(AS55-C55)/C55,"")</f>
        <v/>
      </c>
      <c r="AU55" s="41">
        <f>IF(AND(AS55&gt;0,AS55&gt;0),(AS55-C55)/AS55,"")</f>
        <v/>
      </c>
      <c r="AV55" s="40">
        <f>IF(AND(AS55&gt;0,C55&gt;0),AS55-C55,"")</f>
        <v/>
      </c>
      <c r="AW55" s="41">
        <f>IF(AND(AS55&gt;0,D55&gt;0),(AS55-D55)/D55,"")</f>
        <v/>
      </c>
      <c r="AX55" s="41">
        <f>IF(AND(AU55&lt;&gt;"",P55&lt;&gt;""),(AU55-P55)/ABS(IF(P55=0,1,P55)),"")</f>
        <v/>
      </c>
      <c r="AY55" s="40">
        <f>IF(AND(AV55&lt;&gt;"",Q55&lt;&gt;""),AV55-Q55,"")</f>
        <v/>
      </c>
      <c r="AZ55" s="45" t="n"/>
      <c r="BA55" s="40">
        <f>IF(AND(AZ55&gt;0,C55&gt;0),C55/(1-AZ55),"")</f>
        <v/>
      </c>
      <c r="BB55" s="41">
        <f>IF(AND(BA55&lt;&gt;"",C55&gt;0),(BA55-C55)/C55,"")</f>
        <v/>
      </c>
      <c r="BC55" s="41">
        <f>IF(BA55&lt;&gt;"",AZ55,"")</f>
        <v/>
      </c>
      <c r="BD55" s="40">
        <f>IF(AND(BA55&lt;&gt;"",C55&gt;0),BA55-C55,"")</f>
        <v/>
      </c>
      <c r="BE55" s="41">
        <f>IF(AND(BA55&lt;&gt;"",D55&gt;0),(BA55-D55)/D55,"")</f>
        <v/>
      </c>
      <c r="BF55" s="41">
        <f>IF(AND(BC55&lt;&gt;"",P55&lt;&gt;""),(BC55-P55)/ABS(IF(P55=0,1,P55)),"")</f>
        <v/>
      </c>
      <c r="BG55" s="40">
        <f>IF(AND(BD55&lt;&gt;"",Q55&lt;&gt;""),BD55-Q55,"")</f>
        <v/>
      </c>
      <c r="BH55" s="40">
        <f>IF(AND(T55&gt;0,X55&lt;&gt;""),T55*X55,"")</f>
        <v/>
      </c>
      <c r="BI55" s="40">
        <f>IF(AND(T55&gt;0,AA55&lt;&gt;""),T55*AA55,"")</f>
        <v/>
      </c>
      <c r="BJ55" s="40">
        <f>IF(AND(T55&gt;0,AE55&lt;&gt;""),T55*AE55,"")</f>
        <v/>
      </c>
      <c r="BK55" s="40">
        <f>IF(AND(T55&gt;0,AH55&lt;&gt;""),T55*AH55,"")</f>
        <v/>
      </c>
      <c r="BL55" s="40">
        <f>IF(AND(T55&gt;0,AL55&lt;&gt;""),T55*AL55,"")</f>
        <v/>
      </c>
      <c r="BM55" s="40">
        <f>IF(AND(T55&gt;0,AO55&lt;&gt;""),T55*AO55,"")</f>
        <v/>
      </c>
      <c r="BN55" s="40">
        <f>IF(AND(T55&gt;0,AS55&gt;0),T55*AS55,"")</f>
        <v/>
      </c>
      <c r="BO55" s="40">
        <f>IF(AND(T55&gt;0,AV55&lt;&gt;""),T55*AV55,"")</f>
        <v/>
      </c>
      <c r="BP55" s="40">
        <f>IF(AND(T55&gt;0,BA55&lt;&gt;""),T55*BA55,"")</f>
        <v/>
      </c>
      <c r="BQ55" s="40">
        <f>IF(AND(T55&gt;0,BD55&lt;&gt;""),T55*BD55,"")</f>
        <v/>
      </c>
      <c r="BR55" s="46">
        <f>IF(AND(T55&gt;0,V55&gt;0,AA55&lt;&gt;0),V55/AA55-T55,"")</f>
        <v/>
      </c>
      <c r="BS55" s="41">
        <f>IF(AND(BR55&lt;&gt;"",T55&gt;0),BR55/T55,"")</f>
        <v/>
      </c>
      <c r="BT55" s="46">
        <f>IF(AND(T55&gt;0,V55&gt;0,AO55&lt;&gt;0),V55/AO55-T55,"")</f>
        <v/>
      </c>
      <c r="BU55" s="41">
        <f>IF(AND(BT55&lt;&gt;"",T55&gt;0),BT55/T55,"")</f>
        <v/>
      </c>
    </row>
    <row r="56">
      <c r="A56" s="36">
        <f>'📊 Исходные данные'!A55</f>
        <v/>
      </c>
      <c r="B56" s="37">
        <f>'📊 Исходные данные'!B55</f>
        <v/>
      </c>
      <c r="C56" s="38">
        <f>'📊 Исходные данные'!C55</f>
        <v/>
      </c>
      <c r="D56" s="38">
        <f>'📊 Исходные данные'!D55</f>
        <v/>
      </c>
      <c r="E56" s="39">
        <f>IF(OR(D56="",F56=""),"-",IF(D56&gt;F56*1.05,"Выше рынка",IF(D56&lt;F56*0.95,"Ниже рынка","На уровне")))</f>
        <v/>
      </c>
      <c r="F56" s="40">
        <f>IFERROR(AVERAGE('📊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G56" s="40">
        <f>IFERROR(MEDIAN('📊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H56" s="40">
        <f>IFERROR(MIN('📊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I56" s="40">
        <f>IFERROR(MAX('📊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данные'!K55),"")</f>
        <v/>
      </c>
      <c r="J56" s="41">
        <f>IF(AND(D56&lt;&gt;"",F56&lt;&gt;""),(D56-F56)/F56,"")</f>
        <v/>
      </c>
      <c r="K56" s="41">
        <f>IF(AND(D56&lt;&gt;"",G56&lt;&gt;""),(D56-G56)/G56,"")</f>
        <v/>
      </c>
      <c r="L56" s="41">
        <f>IF(AND(D56&lt;&gt;"",H56&lt;&gt;""),(D56-H56)/H56,"")</f>
        <v/>
      </c>
      <c r="M56" s="42">
        <f>IFERROR(RANK(D56,('📊 Исходные данные'!E55,'📊 Исходные данные'!F55,'📊 Исходные данные'!G55,'📊 Исходные данные'!H55,'📊 Исходные данные'!I55,'📊 Исходные данные'!J55,'📊 Исходные данные'!K55)),"")</f>
        <v/>
      </c>
      <c r="N56" s="39">
        <f>IF(M56="","-",IF(M56=1,"Дороже всех",IF(M56=2,"2-й по цене",IF(M56&lt;=4,"Средний","Ниже конкурентов"))))</f>
        <v/>
      </c>
      <c r="O56" s="41">
        <f>IF(AND(C56&gt;0,D56&gt;0),(D56-C56)/C56,"")</f>
        <v/>
      </c>
      <c r="P56" s="41">
        <f>IF(AND(C56&gt;0,D56&gt;0),(D56-C56)/D56,"")</f>
        <v/>
      </c>
      <c r="Q56" s="40">
        <f>IF(AND(C56&gt;0,D56&gt;0),D56-C56,"")</f>
        <v/>
      </c>
      <c r="R56" s="39">
        <f>IF(P56="","-",IF(P56&lt;0.1,"Низкая(&lt;10%)",IF(P56&lt;0.2,"Средняя(10-20%)","Хорошая(&gt;20%)")))</f>
        <v/>
      </c>
      <c r="S56" s="39">
        <f>IF(OR(H56="",C56=""),"-",IF((H56-C56)/H56&lt;0.05,"КРИТИЧНО",IF((H56-C56)/H56&lt;0.15,"УМЕРЕННЫЙ","НИЗКИЙ")))</f>
        <v/>
      </c>
      <c r="T56" s="43" t="n"/>
      <c r="U56" s="40">
        <f>IF(T56&gt;0,T56*D56,"")</f>
        <v/>
      </c>
      <c r="V56" s="40">
        <f>IF(T56&gt;0,T56*Q56,"")</f>
        <v/>
      </c>
      <c r="W56" s="41">
        <f>IF(U56&gt;0,V56/U56,"")</f>
        <v/>
      </c>
      <c r="X56" s="40">
        <f>IF(F56&lt;&gt;"",F56,"")</f>
        <v/>
      </c>
      <c r="Y56" s="41">
        <f>IF(AND(X56&lt;&gt;"",C56&gt;0),(X56-C56)/C56,"")</f>
        <v/>
      </c>
      <c r="Z56" s="41">
        <f>IF(AND(X56&lt;&gt;"",X56&gt;0),(X56-C56)/X56,"")</f>
        <v/>
      </c>
      <c r="AA56" s="40">
        <f>IF(AND(X56&lt;&gt;"",C56&gt;0),X56-C56,"")</f>
        <v/>
      </c>
      <c r="AB56" s="41">
        <f>IF(AND(X56&lt;&gt;"",D56&gt;0),(X56-D56)/D56,"")</f>
        <v/>
      </c>
      <c r="AC56" s="41">
        <f>IF(AND(Z56&lt;&gt;"",P56&lt;&gt;""),(Z56-P56)/ABS(IF(P56=0,1,P56)),"")</f>
        <v/>
      </c>
      <c r="AD56" s="40">
        <f>IF(AND(AA56&lt;&gt;"",Q56&lt;&gt;""),AA56-Q56,"")</f>
        <v/>
      </c>
      <c r="AE56" s="40">
        <f>IF(G56&lt;&gt;"",G56,"")</f>
        <v/>
      </c>
      <c r="AF56" s="41">
        <f>IF(AND(AE56&lt;&gt;"",C56&gt;0),(AE56-C56)/C56,"")</f>
        <v/>
      </c>
      <c r="AG56" s="41">
        <f>IF(AND(AE56&lt;&gt;"",AE56&gt;0),(AE56-C56)/AE56,"")</f>
        <v/>
      </c>
      <c r="AH56" s="40">
        <f>IF(AND(AE56&lt;&gt;"",C56&gt;0),AE56-C56,"")</f>
        <v/>
      </c>
      <c r="AI56" s="41">
        <f>IF(AND(AE56&lt;&gt;"",D56&gt;0),(AE56-D56)/D56,"")</f>
        <v/>
      </c>
      <c r="AJ56" s="41">
        <f>IF(AND(AG56&lt;&gt;"",P56&lt;&gt;""),(AG56-P56)/ABS(IF(P56=0,1,P56)),"")</f>
        <v/>
      </c>
      <c r="AK56" s="40">
        <f>IF(AND(AH56&lt;&gt;"",Q56&lt;&gt;""),AH56-Q56,"")</f>
        <v/>
      </c>
      <c r="AL56" s="40">
        <f>IF(H56&lt;&gt;"",H56,"")</f>
        <v/>
      </c>
      <c r="AM56" s="41">
        <f>IF(AND(AL56&lt;&gt;"",C56&gt;0),(AL56-C56)/C56,"")</f>
        <v/>
      </c>
      <c r="AN56" s="41">
        <f>IF(AND(AL56&lt;&gt;"",AL56&gt;0),(AL56-C56)/AL56,"")</f>
        <v/>
      </c>
      <c r="AO56" s="40">
        <f>IF(AND(AL56&lt;&gt;"",C56&gt;0),AL56-C56,"")</f>
        <v/>
      </c>
      <c r="AP56" s="41">
        <f>IF(AND(AL56&lt;&gt;"",D56&gt;0),(AL56-D56)/D56,"")</f>
        <v/>
      </c>
      <c r="AQ56" s="41">
        <f>IF(AND(AN56&lt;&gt;"",P56&lt;&gt;""),(AN56-P56)/ABS(IF(P56=0,1,P56)),"")</f>
        <v/>
      </c>
      <c r="AR56" s="40">
        <f>IF(AND(AO56&lt;&gt;"",Q56&lt;&gt;""),AO56-Q56,"")</f>
        <v/>
      </c>
      <c r="AS56" s="44" t="n"/>
      <c r="AT56" s="41">
        <f>IF(AND(AS56&gt;0,C56&gt;0),(AS56-C56)/C56,"")</f>
        <v/>
      </c>
      <c r="AU56" s="41">
        <f>IF(AND(AS56&gt;0,AS56&gt;0),(AS56-C56)/AS56,"")</f>
        <v/>
      </c>
      <c r="AV56" s="40">
        <f>IF(AND(AS56&gt;0,C56&gt;0),AS56-C56,"")</f>
        <v/>
      </c>
      <c r="AW56" s="41">
        <f>IF(AND(AS56&gt;0,D56&gt;0),(AS56-D56)/D56,"")</f>
        <v/>
      </c>
      <c r="AX56" s="41">
        <f>IF(AND(AU56&lt;&gt;"",P56&lt;&gt;""),(AU56-P56)/ABS(IF(P56=0,1,P56)),"")</f>
        <v/>
      </c>
      <c r="AY56" s="40">
        <f>IF(AND(AV56&lt;&gt;"",Q56&lt;&gt;""),AV56-Q56,"")</f>
        <v/>
      </c>
      <c r="AZ56" s="45" t="n"/>
      <c r="BA56" s="40">
        <f>IF(AND(AZ56&gt;0,C56&gt;0),C56/(1-AZ56),"")</f>
        <v/>
      </c>
      <c r="BB56" s="41">
        <f>IF(AND(BA56&lt;&gt;"",C56&gt;0),(BA56-C56)/C56,"")</f>
        <v/>
      </c>
      <c r="BC56" s="41">
        <f>IF(BA56&lt;&gt;"",AZ56,"")</f>
        <v/>
      </c>
      <c r="BD56" s="40">
        <f>IF(AND(BA56&lt;&gt;"",C56&gt;0),BA56-C56,"")</f>
        <v/>
      </c>
      <c r="BE56" s="41">
        <f>IF(AND(BA56&lt;&gt;"",D56&gt;0),(BA56-D56)/D56,"")</f>
        <v/>
      </c>
      <c r="BF56" s="41">
        <f>IF(AND(BC56&lt;&gt;"",P56&lt;&gt;""),(BC56-P56)/ABS(IF(P56=0,1,P56)),"")</f>
        <v/>
      </c>
      <c r="BG56" s="40">
        <f>IF(AND(BD56&lt;&gt;"",Q56&lt;&gt;""),BD56-Q56,"")</f>
        <v/>
      </c>
      <c r="BH56" s="40">
        <f>IF(AND(T56&gt;0,X56&lt;&gt;""),T56*X56,"")</f>
        <v/>
      </c>
      <c r="BI56" s="40">
        <f>IF(AND(T56&gt;0,AA56&lt;&gt;""),T56*AA56,"")</f>
        <v/>
      </c>
      <c r="BJ56" s="40">
        <f>IF(AND(T56&gt;0,AE56&lt;&gt;""),T56*AE56,"")</f>
        <v/>
      </c>
      <c r="BK56" s="40">
        <f>IF(AND(T56&gt;0,AH56&lt;&gt;""),T56*AH56,"")</f>
        <v/>
      </c>
      <c r="BL56" s="40">
        <f>IF(AND(T56&gt;0,AL56&lt;&gt;""),T56*AL56,"")</f>
        <v/>
      </c>
      <c r="BM56" s="40">
        <f>IF(AND(T56&gt;0,AO56&lt;&gt;""),T56*AO56,"")</f>
        <v/>
      </c>
      <c r="BN56" s="40">
        <f>IF(AND(T56&gt;0,AS56&gt;0),T56*AS56,"")</f>
        <v/>
      </c>
      <c r="BO56" s="40">
        <f>IF(AND(T56&gt;0,AV56&lt;&gt;""),T56*AV56,"")</f>
        <v/>
      </c>
      <c r="BP56" s="40">
        <f>IF(AND(T56&gt;0,BA56&lt;&gt;""),T56*BA56,"")</f>
        <v/>
      </c>
      <c r="BQ56" s="40">
        <f>IF(AND(T56&gt;0,BD56&lt;&gt;""),T56*BD56,"")</f>
        <v/>
      </c>
      <c r="BR56" s="46">
        <f>IF(AND(T56&gt;0,V56&gt;0,AA56&lt;&gt;0),V56/AA56-T56,"")</f>
        <v/>
      </c>
      <c r="BS56" s="41">
        <f>IF(AND(BR56&lt;&gt;"",T56&gt;0),BR56/T56,"")</f>
        <v/>
      </c>
      <c r="BT56" s="46">
        <f>IF(AND(T56&gt;0,V56&gt;0,AO56&lt;&gt;0),V56/AO56-T56,"")</f>
        <v/>
      </c>
      <c r="BU56" s="41">
        <f>IF(AND(BT56&lt;&gt;"",T56&gt;0),BT56/T56,"")</f>
        <v/>
      </c>
    </row>
    <row r="57">
      <c r="A57" s="36">
        <f>'📊 Исходные данные'!A56</f>
        <v/>
      </c>
      <c r="B57" s="37">
        <f>'📊 Исходные данные'!B56</f>
        <v/>
      </c>
      <c r="C57" s="38">
        <f>'📊 Исходные данные'!C56</f>
        <v/>
      </c>
      <c r="D57" s="38">
        <f>'📊 Исходные данные'!D56</f>
        <v/>
      </c>
      <c r="E57" s="39">
        <f>IF(OR(D57="",F57=""),"-",IF(D57&gt;F57*1.05,"Выше рынка",IF(D57&lt;F57*0.95,"Ниже рынка","На уровне")))</f>
        <v/>
      </c>
      <c r="F57" s="40">
        <f>IFERROR(AVERAGE('📊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G57" s="40">
        <f>IFERROR(MEDIAN('📊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H57" s="40">
        <f>IFERROR(MIN('📊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I57" s="40">
        <f>IFERROR(MAX('📊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данные'!K56),"")</f>
        <v/>
      </c>
      <c r="J57" s="41">
        <f>IF(AND(D57&lt;&gt;"",F57&lt;&gt;""),(D57-F57)/F57,"")</f>
        <v/>
      </c>
      <c r="K57" s="41">
        <f>IF(AND(D57&lt;&gt;"",G57&lt;&gt;""),(D57-G57)/G57,"")</f>
        <v/>
      </c>
      <c r="L57" s="41">
        <f>IF(AND(D57&lt;&gt;"",H57&lt;&gt;""),(D57-H57)/H57,"")</f>
        <v/>
      </c>
      <c r="M57" s="42">
        <f>IFERROR(RANK(D57,('📊 Исходные данные'!E56,'📊 Исходные данные'!F56,'📊 Исходные данные'!G56,'📊 Исходные данные'!H56,'📊 Исходные данные'!I56,'📊 Исходные данные'!J56,'📊 Исходные данные'!K56)),"")</f>
        <v/>
      </c>
      <c r="N57" s="39">
        <f>IF(M57="","-",IF(M57=1,"Дороже всех",IF(M57=2,"2-й по цене",IF(M57&lt;=4,"Средний","Ниже конкурентов"))))</f>
        <v/>
      </c>
      <c r="O57" s="41">
        <f>IF(AND(C57&gt;0,D57&gt;0),(D57-C57)/C57,"")</f>
        <v/>
      </c>
      <c r="P57" s="41">
        <f>IF(AND(C57&gt;0,D57&gt;0),(D57-C57)/D57,"")</f>
        <v/>
      </c>
      <c r="Q57" s="40">
        <f>IF(AND(C57&gt;0,D57&gt;0),D57-C57,"")</f>
        <v/>
      </c>
      <c r="R57" s="39">
        <f>IF(P57="","-",IF(P57&lt;0.1,"Низкая(&lt;10%)",IF(P57&lt;0.2,"Средняя(10-20%)","Хорошая(&gt;20%)")))</f>
        <v/>
      </c>
      <c r="S57" s="39">
        <f>IF(OR(H57="",C57=""),"-",IF((H57-C57)/H57&lt;0.05,"КРИТИЧНО",IF((H57-C57)/H57&lt;0.15,"УМЕРЕННЫЙ","НИЗКИЙ")))</f>
        <v/>
      </c>
      <c r="T57" s="43" t="n"/>
      <c r="U57" s="40">
        <f>IF(T57&gt;0,T57*D57,"")</f>
        <v/>
      </c>
      <c r="V57" s="40">
        <f>IF(T57&gt;0,T57*Q57,"")</f>
        <v/>
      </c>
      <c r="W57" s="41">
        <f>IF(U57&gt;0,V57/U57,"")</f>
        <v/>
      </c>
      <c r="X57" s="40">
        <f>IF(F57&lt;&gt;"",F57,"")</f>
        <v/>
      </c>
      <c r="Y57" s="41">
        <f>IF(AND(X57&lt;&gt;"",C57&gt;0),(X57-C57)/C57,"")</f>
        <v/>
      </c>
      <c r="Z57" s="41">
        <f>IF(AND(X57&lt;&gt;"",X57&gt;0),(X57-C57)/X57,"")</f>
        <v/>
      </c>
      <c r="AA57" s="40">
        <f>IF(AND(X57&lt;&gt;"",C57&gt;0),X57-C57,"")</f>
        <v/>
      </c>
      <c r="AB57" s="41">
        <f>IF(AND(X57&lt;&gt;"",D57&gt;0),(X57-D57)/D57,"")</f>
        <v/>
      </c>
      <c r="AC57" s="41">
        <f>IF(AND(Z57&lt;&gt;"",P57&lt;&gt;""),(Z57-P57)/ABS(IF(P57=0,1,P57)),"")</f>
        <v/>
      </c>
      <c r="AD57" s="40">
        <f>IF(AND(AA57&lt;&gt;"",Q57&lt;&gt;""),AA57-Q57,"")</f>
        <v/>
      </c>
      <c r="AE57" s="40">
        <f>IF(G57&lt;&gt;"",G57,"")</f>
        <v/>
      </c>
      <c r="AF57" s="41">
        <f>IF(AND(AE57&lt;&gt;"",C57&gt;0),(AE57-C57)/C57,"")</f>
        <v/>
      </c>
      <c r="AG57" s="41">
        <f>IF(AND(AE57&lt;&gt;"",AE57&gt;0),(AE57-C57)/AE57,"")</f>
        <v/>
      </c>
      <c r="AH57" s="40">
        <f>IF(AND(AE57&lt;&gt;"",C57&gt;0),AE57-C57,"")</f>
        <v/>
      </c>
      <c r="AI57" s="41">
        <f>IF(AND(AE57&lt;&gt;"",D57&gt;0),(AE57-D57)/D57,"")</f>
        <v/>
      </c>
      <c r="AJ57" s="41">
        <f>IF(AND(AG57&lt;&gt;"",P57&lt;&gt;""),(AG57-P57)/ABS(IF(P57=0,1,P57)),"")</f>
        <v/>
      </c>
      <c r="AK57" s="40">
        <f>IF(AND(AH57&lt;&gt;"",Q57&lt;&gt;""),AH57-Q57,"")</f>
        <v/>
      </c>
      <c r="AL57" s="40">
        <f>IF(H57&lt;&gt;"",H57,"")</f>
        <v/>
      </c>
      <c r="AM57" s="41">
        <f>IF(AND(AL57&lt;&gt;"",C57&gt;0),(AL57-C57)/C57,"")</f>
        <v/>
      </c>
      <c r="AN57" s="41">
        <f>IF(AND(AL57&lt;&gt;"",AL57&gt;0),(AL57-C57)/AL57,"")</f>
        <v/>
      </c>
      <c r="AO57" s="40">
        <f>IF(AND(AL57&lt;&gt;"",C57&gt;0),AL57-C57,"")</f>
        <v/>
      </c>
      <c r="AP57" s="41">
        <f>IF(AND(AL57&lt;&gt;"",D57&gt;0),(AL57-D57)/D57,"")</f>
        <v/>
      </c>
      <c r="AQ57" s="41">
        <f>IF(AND(AN57&lt;&gt;"",P57&lt;&gt;""),(AN57-P57)/ABS(IF(P57=0,1,P57)),"")</f>
        <v/>
      </c>
      <c r="AR57" s="40">
        <f>IF(AND(AO57&lt;&gt;"",Q57&lt;&gt;""),AO57-Q57,"")</f>
        <v/>
      </c>
      <c r="AS57" s="44" t="n"/>
      <c r="AT57" s="41">
        <f>IF(AND(AS57&gt;0,C57&gt;0),(AS57-C57)/C57,"")</f>
        <v/>
      </c>
      <c r="AU57" s="41">
        <f>IF(AND(AS57&gt;0,AS57&gt;0),(AS57-C57)/AS57,"")</f>
        <v/>
      </c>
      <c r="AV57" s="40">
        <f>IF(AND(AS57&gt;0,C57&gt;0),AS57-C57,"")</f>
        <v/>
      </c>
      <c r="AW57" s="41">
        <f>IF(AND(AS57&gt;0,D57&gt;0),(AS57-D57)/D57,"")</f>
        <v/>
      </c>
      <c r="AX57" s="41">
        <f>IF(AND(AU57&lt;&gt;"",P57&lt;&gt;""),(AU57-P57)/ABS(IF(P57=0,1,P57)),"")</f>
        <v/>
      </c>
      <c r="AY57" s="40">
        <f>IF(AND(AV57&lt;&gt;"",Q57&lt;&gt;""),AV57-Q57,"")</f>
        <v/>
      </c>
      <c r="AZ57" s="45" t="n"/>
      <c r="BA57" s="40">
        <f>IF(AND(AZ57&gt;0,C57&gt;0),C57/(1-AZ57),"")</f>
        <v/>
      </c>
      <c r="BB57" s="41">
        <f>IF(AND(BA57&lt;&gt;"",C57&gt;0),(BA57-C57)/C57,"")</f>
        <v/>
      </c>
      <c r="BC57" s="41">
        <f>IF(BA57&lt;&gt;"",AZ57,"")</f>
        <v/>
      </c>
      <c r="BD57" s="40">
        <f>IF(AND(BA57&lt;&gt;"",C57&gt;0),BA57-C57,"")</f>
        <v/>
      </c>
      <c r="BE57" s="41">
        <f>IF(AND(BA57&lt;&gt;"",D57&gt;0),(BA57-D57)/D57,"")</f>
        <v/>
      </c>
      <c r="BF57" s="41">
        <f>IF(AND(BC57&lt;&gt;"",P57&lt;&gt;""),(BC57-P57)/ABS(IF(P57=0,1,P57)),"")</f>
        <v/>
      </c>
      <c r="BG57" s="40">
        <f>IF(AND(BD57&lt;&gt;"",Q57&lt;&gt;""),BD57-Q57,"")</f>
        <v/>
      </c>
      <c r="BH57" s="40">
        <f>IF(AND(T57&gt;0,X57&lt;&gt;""),T57*X57,"")</f>
        <v/>
      </c>
      <c r="BI57" s="40">
        <f>IF(AND(T57&gt;0,AA57&lt;&gt;""),T57*AA57,"")</f>
        <v/>
      </c>
      <c r="BJ57" s="40">
        <f>IF(AND(T57&gt;0,AE57&lt;&gt;""),T57*AE57,"")</f>
        <v/>
      </c>
      <c r="BK57" s="40">
        <f>IF(AND(T57&gt;0,AH57&lt;&gt;""),T57*AH57,"")</f>
        <v/>
      </c>
      <c r="BL57" s="40">
        <f>IF(AND(T57&gt;0,AL57&lt;&gt;""),T57*AL57,"")</f>
        <v/>
      </c>
      <c r="BM57" s="40">
        <f>IF(AND(T57&gt;0,AO57&lt;&gt;""),T57*AO57,"")</f>
        <v/>
      </c>
      <c r="BN57" s="40">
        <f>IF(AND(T57&gt;0,AS57&gt;0),T57*AS57,"")</f>
        <v/>
      </c>
      <c r="BO57" s="40">
        <f>IF(AND(T57&gt;0,AV57&lt;&gt;""),T57*AV57,"")</f>
        <v/>
      </c>
      <c r="BP57" s="40">
        <f>IF(AND(T57&gt;0,BA57&lt;&gt;""),T57*BA57,"")</f>
        <v/>
      </c>
      <c r="BQ57" s="40">
        <f>IF(AND(T57&gt;0,BD57&lt;&gt;""),T57*BD57,"")</f>
        <v/>
      </c>
      <c r="BR57" s="46">
        <f>IF(AND(T57&gt;0,V57&gt;0,AA57&lt;&gt;0),V57/AA57-T57,"")</f>
        <v/>
      </c>
      <c r="BS57" s="41">
        <f>IF(AND(BR57&lt;&gt;"",T57&gt;0),BR57/T57,"")</f>
        <v/>
      </c>
      <c r="BT57" s="46">
        <f>IF(AND(T57&gt;0,V57&gt;0,AO57&lt;&gt;0),V57/AO57-T57,"")</f>
        <v/>
      </c>
      <c r="BU57" s="41">
        <f>IF(AND(BT57&lt;&gt;"",T57&gt;0),BT57/T57,"")</f>
        <v/>
      </c>
    </row>
    <row r="58">
      <c r="A58" s="36">
        <f>'📊 Исходные данные'!A57</f>
        <v/>
      </c>
      <c r="B58" s="37">
        <f>'📊 Исходные данные'!B57</f>
        <v/>
      </c>
      <c r="C58" s="38">
        <f>'📊 Исходные данные'!C57</f>
        <v/>
      </c>
      <c r="D58" s="38">
        <f>'📊 Исходные данные'!D57</f>
        <v/>
      </c>
      <c r="E58" s="39">
        <f>IF(OR(D58="",F58=""),"-",IF(D58&gt;F58*1.05,"Выше рынка",IF(D58&lt;F58*0.95,"Ниже рынка","На уровне")))</f>
        <v/>
      </c>
      <c r="F58" s="40">
        <f>IFERROR(AVERAGE('📊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G58" s="40">
        <f>IFERROR(MEDIAN('📊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H58" s="40">
        <f>IFERROR(MIN('📊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I58" s="40">
        <f>IFERROR(MAX('📊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данные'!K57),"")</f>
        <v/>
      </c>
      <c r="J58" s="41">
        <f>IF(AND(D58&lt;&gt;"",F58&lt;&gt;""),(D58-F58)/F58,"")</f>
        <v/>
      </c>
      <c r="K58" s="41">
        <f>IF(AND(D58&lt;&gt;"",G58&lt;&gt;""),(D58-G58)/G58,"")</f>
        <v/>
      </c>
      <c r="L58" s="41">
        <f>IF(AND(D58&lt;&gt;"",H58&lt;&gt;""),(D58-H58)/H58,"")</f>
        <v/>
      </c>
      <c r="M58" s="42">
        <f>IFERROR(RANK(D58,('📊 Исходные данные'!E57,'📊 Исходные данные'!F57,'📊 Исходные данные'!G57,'📊 Исходные данные'!H57,'📊 Исходные данные'!I57,'📊 Исходные данные'!J57,'📊 Исходные данные'!K57)),"")</f>
        <v/>
      </c>
      <c r="N58" s="39">
        <f>IF(M58="","-",IF(M58=1,"Дороже всех",IF(M58=2,"2-й по цене",IF(M58&lt;=4,"Средний","Ниже конкурентов"))))</f>
        <v/>
      </c>
      <c r="O58" s="41">
        <f>IF(AND(C58&gt;0,D58&gt;0),(D58-C58)/C58,"")</f>
        <v/>
      </c>
      <c r="P58" s="41">
        <f>IF(AND(C58&gt;0,D58&gt;0),(D58-C58)/D58,"")</f>
        <v/>
      </c>
      <c r="Q58" s="40">
        <f>IF(AND(C58&gt;0,D58&gt;0),D58-C58,"")</f>
        <v/>
      </c>
      <c r="R58" s="39">
        <f>IF(P58="","-",IF(P58&lt;0.1,"Низкая(&lt;10%)",IF(P58&lt;0.2,"Средняя(10-20%)","Хорошая(&gt;20%)")))</f>
        <v/>
      </c>
      <c r="S58" s="39">
        <f>IF(OR(H58="",C58=""),"-",IF((H58-C58)/H58&lt;0.05,"КРИТИЧНО",IF((H58-C58)/H58&lt;0.15,"УМЕРЕННЫЙ","НИЗКИЙ")))</f>
        <v/>
      </c>
      <c r="T58" s="43" t="n"/>
      <c r="U58" s="40">
        <f>IF(T58&gt;0,T58*D58,"")</f>
        <v/>
      </c>
      <c r="V58" s="40">
        <f>IF(T58&gt;0,T58*Q58,"")</f>
        <v/>
      </c>
      <c r="W58" s="41">
        <f>IF(U58&gt;0,V58/U58,"")</f>
        <v/>
      </c>
      <c r="X58" s="40">
        <f>IF(F58&lt;&gt;"",F58,"")</f>
        <v/>
      </c>
      <c r="Y58" s="41">
        <f>IF(AND(X58&lt;&gt;"",C58&gt;0),(X58-C58)/C58,"")</f>
        <v/>
      </c>
      <c r="Z58" s="41">
        <f>IF(AND(X58&lt;&gt;"",X58&gt;0),(X58-C58)/X58,"")</f>
        <v/>
      </c>
      <c r="AA58" s="40">
        <f>IF(AND(X58&lt;&gt;"",C58&gt;0),X58-C58,"")</f>
        <v/>
      </c>
      <c r="AB58" s="41">
        <f>IF(AND(X58&lt;&gt;"",D58&gt;0),(X58-D58)/D58,"")</f>
        <v/>
      </c>
      <c r="AC58" s="41">
        <f>IF(AND(Z58&lt;&gt;"",P58&lt;&gt;""),(Z58-P58)/ABS(IF(P58=0,1,P58)),"")</f>
        <v/>
      </c>
      <c r="AD58" s="40">
        <f>IF(AND(AA58&lt;&gt;"",Q58&lt;&gt;""),AA58-Q58,"")</f>
        <v/>
      </c>
      <c r="AE58" s="40">
        <f>IF(G58&lt;&gt;"",G58,"")</f>
        <v/>
      </c>
      <c r="AF58" s="41">
        <f>IF(AND(AE58&lt;&gt;"",C58&gt;0),(AE58-C58)/C58,"")</f>
        <v/>
      </c>
      <c r="AG58" s="41">
        <f>IF(AND(AE58&lt;&gt;"",AE58&gt;0),(AE58-C58)/AE58,"")</f>
        <v/>
      </c>
      <c r="AH58" s="40">
        <f>IF(AND(AE58&lt;&gt;"",C58&gt;0),AE58-C58,"")</f>
        <v/>
      </c>
      <c r="AI58" s="41">
        <f>IF(AND(AE58&lt;&gt;"",D58&gt;0),(AE58-D58)/D58,"")</f>
        <v/>
      </c>
      <c r="AJ58" s="41">
        <f>IF(AND(AG58&lt;&gt;"",P58&lt;&gt;""),(AG58-P58)/ABS(IF(P58=0,1,P58)),"")</f>
        <v/>
      </c>
      <c r="AK58" s="40">
        <f>IF(AND(AH58&lt;&gt;"",Q58&lt;&gt;""),AH58-Q58,"")</f>
        <v/>
      </c>
      <c r="AL58" s="40">
        <f>IF(H58&lt;&gt;"",H58,"")</f>
        <v/>
      </c>
      <c r="AM58" s="41">
        <f>IF(AND(AL58&lt;&gt;"",C58&gt;0),(AL58-C58)/C58,"")</f>
        <v/>
      </c>
      <c r="AN58" s="41">
        <f>IF(AND(AL58&lt;&gt;"",AL58&gt;0),(AL58-C58)/AL58,"")</f>
        <v/>
      </c>
      <c r="AO58" s="40">
        <f>IF(AND(AL58&lt;&gt;"",C58&gt;0),AL58-C58,"")</f>
        <v/>
      </c>
      <c r="AP58" s="41">
        <f>IF(AND(AL58&lt;&gt;"",D58&gt;0),(AL58-D58)/D58,"")</f>
        <v/>
      </c>
      <c r="AQ58" s="41">
        <f>IF(AND(AN58&lt;&gt;"",P58&lt;&gt;""),(AN58-P58)/ABS(IF(P58=0,1,P58)),"")</f>
        <v/>
      </c>
      <c r="AR58" s="40">
        <f>IF(AND(AO58&lt;&gt;"",Q58&lt;&gt;""),AO58-Q58,"")</f>
        <v/>
      </c>
      <c r="AS58" s="44" t="n"/>
      <c r="AT58" s="41">
        <f>IF(AND(AS58&gt;0,C58&gt;0),(AS58-C58)/C58,"")</f>
        <v/>
      </c>
      <c r="AU58" s="41">
        <f>IF(AND(AS58&gt;0,AS58&gt;0),(AS58-C58)/AS58,"")</f>
        <v/>
      </c>
      <c r="AV58" s="40">
        <f>IF(AND(AS58&gt;0,C58&gt;0),AS58-C58,"")</f>
        <v/>
      </c>
      <c r="AW58" s="41">
        <f>IF(AND(AS58&gt;0,D58&gt;0),(AS58-D58)/D58,"")</f>
        <v/>
      </c>
      <c r="AX58" s="41">
        <f>IF(AND(AU58&lt;&gt;"",P58&lt;&gt;""),(AU58-P58)/ABS(IF(P58=0,1,P58)),"")</f>
        <v/>
      </c>
      <c r="AY58" s="40">
        <f>IF(AND(AV58&lt;&gt;"",Q58&lt;&gt;""),AV58-Q58,"")</f>
        <v/>
      </c>
      <c r="AZ58" s="45" t="n"/>
      <c r="BA58" s="40">
        <f>IF(AND(AZ58&gt;0,C58&gt;0),C58/(1-AZ58),"")</f>
        <v/>
      </c>
      <c r="BB58" s="41">
        <f>IF(AND(BA58&lt;&gt;"",C58&gt;0),(BA58-C58)/C58,"")</f>
        <v/>
      </c>
      <c r="BC58" s="41">
        <f>IF(BA58&lt;&gt;"",AZ58,"")</f>
        <v/>
      </c>
      <c r="BD58" s="40">
        <f>IF(AND(BA58&lt;&gt;"",C58&gt;0),BA58-C58,"")</f>
        <v/>
      </c>
      <c r="BE58" s="41">
        <f>IF(AND(BA58&lt;&gt;"",D58&gt;0),(BA58-D58)/D58,"")</f>
        <v/>
      </c>
      <c r="BF58" s="41">
        <f>IF(AND(BC58&lt;&gt;"",P58&lt;&gt;""),(BC58-P58)/ABS(IF(P58=0,1,P58)),"")</f>
        <v/>
      </c>
      <c r="BG58" s="40">
        <f>IF(AND(BD58&lt;&gt;"",Q58&lt;&gt;""),BD58-Q58,"")</f>
        <v/>
      </c>
      <c r="BH58" s="40">
        <f>IF(AND(T58&gt;0,X58&lt;&gt;""),T58*X58,"")</f>
        <v/>
      </c>
      <c r="BI58" s="40">
        <f>IF(AND(T58&gt;0,AA58&lt;&gt;""),T58*AA58,"")</f>
        <v/>
      </c>
      <c r="BJ58" s="40">
        <f>IF(AND(T58&gt;0,AE58&lt;&gt;""),T58*AE58,"")</f>
        <v/>
      </c>
      <c r="BK58" s="40">
        <f>IF(AND(T58&gt;0,AH58&lt;&gt;""),T58*AH58,"")</f>
        <v/>
      </c>
      <c r="BL58" s="40">
        <f>IF(AND(T58&gt;0,AL58&lt;&gt;""),T58*AL58,"")</f>
        <v/>
      </c>
      <c r="BM58" s="40">
        <f>IF(AND(T58&gt;0,AO58&lt;&gt;""),T58*AO58,"")</f>
        <v/>
      </c>
      <c r="BN58" s="40">
        <f>IF(AND(T58&gt;0,AS58&gt;0),T58*AS58,"")</f>
        <v/>
      </c>
      <c r="BO58" s="40">
        <f>IF(AND(T58&gt;0,AV58&lt;&gt;""),T58*AV58,"")</f>
        <v/>
      </c>
      <c r="BP58" s="40">
        <f>IF(AND(T58&gt;0,BA58&lt;&gt;""),T58*BA58,"")</f>
        <v/>
      </c>
      <c r="BQ58" s="40">
        <f>IF(AND(T58&gt;0,BD58&lt;&gt;""),T58*BD58,"")</f>
        <v/>
      </c>
      <c r="BR58" s="46">
        <f>IF(AND(T58&gt;0,V58&gt;0,AA58&lt;&gt;0),V58/AA58-T58,"")</f>
        <v/>
      </c>
      <c r="BS58" s="41">
        <f>IF(AND(BR58&lt;&gt;"",T58&gt;0),BR58/T58,"")</f>
        <v/>
      </c>
      <c r="BT58" s="46">
        <f>IF(AND(T58&gt;0,V58&gt;0,AO58&lt;&gt;0),V58/AO58-T58,"")</f>
        <v/>
      </c>
      <c r="BU58" s="41">
        <f>IF(AND(BT58&lt;&gt;"",T58&gt;0),BT58/T58,"")</f>
        <v/>
      </c>
    </row>
    <row r="59">
      <c r="A59" s="36">
        <f>'📊 Исходные данные'!A58</f>
        <v/>
      </c>
      <c r="B59" s="37">
        <f>'📊 Исходные данные'!B58</f>
        <v/>
      </c>
      <c r="C59" s="38">
        <f>'📊 Исходные данные'!C58</f>
        <v/>
      </c>
      <c r="D59" s="38">
        <f>'📊 Исходные данные'!D58</f>
        <v/>
      </c>
      <c r="E59" s="39">
        <f>IF(OR(D59="",F59=""),"-",IF(D59&gt;F59*1.05,"Выше рынка",IF(D59&lt;F59*0.95,"Ниже рынка","На уровне")))</f>
        <v/>
      </c>
      <c r="F59" s="40">
        <f>IFERROR(AVERAGE('📊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G59" s="40">
        <f>IFERROR(MEDIAN('📊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H59" s="40">
        <f>IFERROR(MIN('📊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I59" s="40">
        <f>IFERROR(MAX('📊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данные'!K58),"")</f>
        <v/>
      </c>
      <c r="J59" s="41">
        <f>IF(AND(D59&lt;&gt;"",F59&lt;&gt;""),(D59-F59)/F59,"")</f>
        <v/>
      </c>
      <c r="K59" s="41">
        <f>IF(AND(D59&lt;&gt;"",G59&lt;&gt;""),(D59-G59)/G59,"")</f>
        <v/>
      </c>
      <c r="L59" s="41">
        <f>IF(AND(D59&lt;&gt;"",H59&lt;&gt;""),(D59-H59)/H59,"")</f>
        <v/>
      </c>
      <c r="M59" s="42">
        <f>IFERROR(RANK(D59,('📊 Исходные данные'!E58,'📊 Исходные данные'!F58,'📊 Исходные данные'!G58,'📊 Исходные данные'!H58,'📊 Исходные данные'!I58,'📊 Исходные данные'!J58,'📊 Исходные данные'!K58)),"")</f>
        <v/>
      </c>
      <c r="N59" s="39">
        <f>IF(M59="","-",IF(M59=1,"Дороже всех",IF(M59=2,"2-й по цене",IF(M59&lt;=4,"Средний","Ниже конкурентов"))))</f>
        <v/>
      </c>
      <c r="O59" s="41">
        <f>IF(AND(C59&gt;0,D59&gt;0),(D59-C59)/C59,"")</f>
        <v/>
      </c>
      <c r="P59" s="41">
        <f>IF(AND(C59&gt;0,D59&gt;0),(D59-C59)/D59,"")</f>
        <v/>
      </c>
      <c r="Q59" s="40">
        <f>IF(AND(C59&gt;0,D59&gt;0),D59-C59,"")</f>
        <v/>
      </c>
      <c r="R59" s="39">
        <f>IF(P59="","-",IF(P59&lt;0.1,"Низкая(&lt;10%)",IF(P59&lt;0.2,"Средняя(10-20%)","Хорошая(&gt;20%)")))</f>
        <v/>
      </c>
      <c r="S59" s="39">
        <f>IF(OR(H59="",C59=""),"-",IF((H59-C59)/H59&lt;0.05,"КРИТИЧНО",IF((H59-C59)/H59&lt;0.15,"УМЕРЕННЫЙ","НИЗКИЙ")))</f>
        <v/>
      </c>
      <c r="T59" s="43" t="n"/>
      <c r="U59" s="40">
        <f>IF(T59&gt;0,T59*D59,"")</f>
        <v/>
      </c>
      <c r="V59" s="40">
        <f>IF(T59&gt;0,T59*Q59,"")</f>
        <v/>
      </c>
      <c r="W59" s="41">
        <f>IF(U59&gt;0,V59/U59,"")</f>
        <v/>
      </c>
      <c r="X59" s="40">
        <f>IF(F59&lt;&gt;"",F59,"")</f>
        <v/>
      </c>
      <c r="Y59" s="41">
        <f>IF(AND(X59&lt;&gt;"",C59&gt;0),(X59-C59)/C59,"")</f>
        <v/>
      </c>
      <c r="Z59" s="41">
        <f>IF(AND(X59&lt;&gt;"",X59&gt;0),(X59-C59)/X59,"")</f>
        <v/>
      </c>
      <c r="AA59" s="40">
        <f>IF(AND(X59&lt;&gt;"",C59&gt;0),X59-C59,"")</f>
        <v/>
      </c>
      <c r="AB59" s="41">
        <f>IF(AND(X59&lt;&gt;"",D59&gt;0),(X59-D59)/D59,"")</f>
        <v/>
      </c>
      <c r="AC59" s="41">
        <f>IF(AND(Z59&lt;&gt;"",P59&lt;&gt;""),(Z59-P59)/ABS(IF(P59=0,1,P59)),"")</f>
        <v/>
      </c>
      <c r="AD59" s="40">
        <f>IF(AND(AA59&lt;&gt;"",Q59&lt;&gt;""),AA59-Q59,"")</f>
        <v/>
      </c>
      <c r="AE59" s="40">
        <f>IF(G59&lt;&gt;"",G59,"")</f>
        <v/>
      </c>
      <c r="AF59" s="41">
        <f>IF(AND(AE59&lt;&gt;"",C59&gt;0),(AE59-C59)/C59,"")</f>
        <v/>
      </c>
      <c r="AG59" s="41">
        <f>IF(AND(AE59&lt;&gt;"",AE59&gt;0),(AE59-C59)/AE59,"")</f>
        <v/>
      </c>
      <c r="AH59" s="40">
        <f>IF(AND(AE59&lt;&gt;"",C59&gt;0),AE59-C59,"")</f>
        <v/>
      </c>
      <c r="AI59" s="41">
        <f>IF(AND(AE59&lt;&gt;"",D59&gt;0),(AE59-D59)/D59,"")</f>
        <v/>
      </c>
      <c r="AJ59" s="41">
        <f>IF(AND(AG59&lt;&gt;"",P59&lt;&gt;""),(AG59-P59)/ABS(IF(P59=0,1,P59)),"")</f>
        <v/>
      </c>
      <c r="AK59" s="40">
        <f>IF(AND(AH59&lt;&gt;"",Q59&lt;&gt;""),AH59-Q59,"")</f>
        <v/>
      </c>
      <c r="AL59" s="40">
        <f>IF(H59&lt;&gt;"",H59,"")</f>
        <v/>
      </c>
      <c r="AM59" s="41">
        <f>IF(AND(AL59&lt;&gt;"",C59&gt;0),(AL59-C59)/C59,"")</f>
        <v/>
      </c>
      <c r="AN59" s="41">
        <f>IF(AND(AL59&lt;&gt;"",AL59&gt;0),(AL59-C59)/AL59,"")</f>
        <v/>
      </c>
      <c r="AO59" s="40">
        <f>IF(AND(AL59&lt;&gt;"",C59&gt;0),AL59-C59,"")</f>
        <v/>
      </c>
      <c r="AP59" s="41">
        <f>IF(AND(AL59&lt;&gt;"",D59&gt;0),(AL59-D59)/D59,"")</f>
        <v/>
      </c>
      <c r="AQ59" s="41">
        <f>IF(AND(AN59&lt;&gt;"",P59&lt;&gt;""),(AN59-P59)/ABS(IF(P59=0,1,P59)),"")</f>
        <v/>
      </c>
      <c r="AR59" s="40">
        <f>IF(AND(AO59&lt;&gt;"",Q59&lt;&gt;""),AO59-Q59,"")</f>
        <v/>
      </c>
      <c r="AS59" s="44" t="n"/>
      <c r="AT59" s="41">
        <f>IF(AND(AS59&gt;0,C59&gt;0),(AS59-C59)/C59,"")</f>
        <v/>
      </c>
      <c r="AU59" s="41">
        <f>IF(AND(AS59&gt;0,AS59&gt;0),(AS59-C59)/AS59,"")</f>
        <v/>
      </c>
      <c r="AV59" s="40">
        <f>IF(AND(AS59&gt;0,C59&gt;0),AS59-C59,"")</f>
        <v/>
      </c>
      <c r="AW59" s="41">
        <f>IF(AND(AS59&gt;0,D59&gt;0),(AS59-D59)/D59,"")</f>
        <v/>
      </c>
      <c r="AX59" s="41">
        <f>IF(AND(AU59&lt;&gt;"",P59&lt;&gt;""),(AU59-P59)/ABS(IF(P59=0,1,P59)),"")</f>
        <v/>
      </c>
      <c r="AY59" s="40">
        <f>IF(AND(AV59&lt;&gt;"",Q59&lt;&gt;""),AV59-Q59,"")</f>
        <v/>
      </c>
      <c r="AZ59" s="45" t="n"/>
      <c r="BA59" s="40">
        <f>IF(AND(AZ59&gt;0,C59&gt;0),C59/(1-AZ59),"")</f>
        <v/>
      </c>
      <c r="BB59" s="41">
        <f>IF(AND(BA59&lt;&gt;"",C59&gt;0),(BA59-C59)/C59,"")</f>
        <v/>
      </c>
      <c r="BC59" s="41">
        <f>IF(BA59&lt;&gt;"",AZ59,"")</f>
        <v/>
      </c>
      <c r="BD59" s="40">
        <f>IF(AND(BA59&lt;&gt;"",C59&gt;0),BA59-C59,"")</f>
        <v/>
      </c>
      <c r="BE59" s="41">
        <f>IF(AND(BA59&lt;&gt;"",D59&gt;0),(BA59-D59)/D59,"")</f>
        <v/>
      </c>
      <c r="BF59" s="41">
        <f>IF(AND(BC59&lt;&gt;"",P59&lt;&gt;""),(BC59-P59)/ABS(IF(P59=0,1,P59)),"")</f>
        <v/>
      </c>
      <c r="BG59" s="40">
        <f>IF(AND(BD59&lt;&gt;"",Q59&lt;&gt;""),BD59-Q59,"")</f>
        <v/>
      </c>
      <c r="BH59" s="40">
        <f>IF(AND(T59&gt;0,X59&lt;&gt;""),T59*X59,"")</f>
        <v/>
      </c>
      <c r="BI59" s="40">
        <f>IF(AND(T59&gt;0,AA59&lt;&gt;""),T59*AA59,"")</f>
        <v/>
      </c>
      <c r="BJ59" s="40">
        <f>IF(AND(T59&gt;0,AE59&lt;&gt;""),T59*AE59,"")</f>
        <v/>
      </c>
      <c r="BK59" s="40">
        <f>IF(AND(T59&gt;0,AH59&lt;&gt;""),T59*AH59,"")</f>
        <v/>
      </c>
      <c r="BL59" s="40">
        <f>IF(AND(T59&gt;0,AL59&lt;&gt;""),T59*AL59,"")</f>
        <v/>
      </c>
      <c r="BM59" s="40">
        <f>IF(AND(T59&gt;0,AO59&lt;&gt;""),T59*AO59,"")</f>
        <v/>
      </c>
      <c r="BN59" s="40">
        <f>IF(AND(T59&gt;0,AS59&gt;0),T59*AS59,"")</f>
        <v/>
      </c>
      <c r="BO59" s="40">
        <f>IF(AND(T59&gt;0,AV59&lt;&gt;""),T59*AV59,"")</f>
        <v/>
      </c>
      <c r="BP59" s="40">
        <f>IF(AND(T59&gt;0,BA59&lt;&gt;""),T59*BA59,"")</f>
        <v/>
      </c>
      <c r="BQ59" s="40">
        <f>IF(AND(T59&gt;0,BD59&lt;&gt;""),T59*BD59,"")</f>
        <v/>
      </c>
      <c r="BR59" s="46">
        <f>IF(AND(T59&gt;0,V59&gt;0,AA59&lt;&gt;0),V59/AA59-T59,"")</f>
        <v/>
      </c>
      <c r="BS59" s="41">
        <f>IF(AND(BR59&lt;&gt;"",T59&gt;0),BR59/T59,"")</f>
        <v/>
      </c>
      <c r="BT59" s="46">
        <f>IF(AND(T59&gt;0,V59&gt;0,AO59&lt;&gt;0),V59/AO59-T59,"")</f>
        <v/>
      </c>
      <c r="BU59" s="41">
        <f>IF(AND(BT59&lt;&gt;"",T59&gt;0),BT59/T59,"")</f>
        <v/>
      </c>
    </row>
    <row r="60">
      <c r="A60" s="36">
        <f>'📊 Исходные данные'!A59</f>
        <v/>
      </c>
      <c r="B60" s="37">
        <f>'📊 Исходные данные'!B59</f>
        <v/>
      </c>
      <c r="C60" s="38">
        <f>'📊 Исходные данные'!C59</f>
        <v/>
      </c>
      <c r="D60" s="38">
        <f>'📊 Исходные данные'!D59</f>
        <v/>
      </c>
      <c r="E60" s="39">
        <f>IF(OR(D60="",F60=""),"-",IF(D60&gt;F60*1.05,"Выше рынка",IF(D60&lt;F60*0.95,"Ниже рынка","На уровне")))</f>
        <v/>
      </c>
      <c r="F60" s="40">
        <f>IFERROR(AVERAGE('📊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G60" s="40">
        <f>IFERROR(MEDIAN('📊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H60" s="40">
        <f>IFERROR(MIN('📊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I60" s="40">
        <f>IFERROR(MAX('📊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данные'!K59),"")</f>
        <v/>
      </c>
      <c r="J60" s="41">
        <f>IF(AND(D60&lt;&gt;"",F60&lt;&gt;""),(D60-F60)/F60,"")</f>
        <v/>
      </c>
      <c r="K60" s="41">
        <f>IF(AND(D60&lt;&gt;"",G60&lt;&gt;""),(D60-G60)/G60,"")</f>
        <v/>
      </c>
      <c r="L60" s="41">
        <f>IF(AND(D60&lt;&gt;"",H60&lt;&gt;""),(D60-H60)/H60,"")</f>
        <v/>
      </c>
      <c r="M60" s="42">
        <f>IFERROR(RANK(D60,('📊 Исходные данные'!E59,'📊 Исходные данные'!F59,'📊 Исходные данные'!G59,'📊 Исходные данные'!H59,'📊 Исходные данные'!I59,'📊 Исходные данные'!J59,'📊 Исходные данные'!K59)),"")</f>
        <v/>
      </c>
      <c r="N60" s="39">
        <f>IF(M60="","-",IF(M60=1,"Дороже всех",IF(M60=2,"2-й по цене",IF(M60&lt;=4,"Средний","Ниже конкурентов"))))</f>
        <v/>
      </c>
      <c r="O60" s="41">
        <f>IF(AND(C60&gt;0,D60&gt;0),(D60-C60)/C60,"")</f>
        <v/>
      </c>
      <c r="P60" s="41">
        <f>IF(AND(C60&gt;0,D60&gt;0),(D60-C60)/D60,"")</f>
        <v/>
      </c>
      <c r="Q60" s="40">
        <f>IF(AND(C60&gt;0,D60&gt;0),D60-C60,"")</f>
        <v/>
      </c>
      <c r="R60" s="39">
        <f>IF(P60="","-",IF(P60&lt;0.1,"Низкая(&lt;10%)",IF(P60&lt;0.2,"Средняя(10-20%)","Хорошая(&gt;20%)")))</f>
        <v/>
      </c>
      <c r="S60" s="39">
        <f>IF(OR(H60="",C60=""),"-",IF((H60-C60)/H60&lt;0.05,"КРИТИЧНО",IF((H60-C60)/H60&lt;0.15,"УМЕРЕННЫЙ","НИЗКИЙ")))</f>
        <v/>
      </c>
      <c r="T60" s="43" t="n"/>
      <c r="U60" s="40">
        <f>IF(T60&gt;0,T60*D60,"")</f>
        <v/>
      </c>
      <c r="V60" s="40">
        <f>IF(T60&gt;0,T60*Q60,"")</f>
        <v/>
      </c>
      <c r="W60" s="41">
        <f>IF(U60&gt;0,V60/U60,"")</f>
        <v/>
      </c>
      <c r="X60" s="40">
        <f>IF(F60&lt;&gt;"",F60,"")</f>
        <v/>
      </c>
      <c r="Y60" s="41">
        <f>IF(AND(X60&lt;&gt;"",C60&gt;0),(X60-C60)/C60,"")</f>
        <v/>
      </c>
      <c r="Z60" s="41">
        <f>IF(AND(X60&lt;&gt;"",X60&gt;0),(X60-C60)/X60,"")</f>
        <v/>
      </c>
      <c r="AA60" s="40">
        <f>IF(AND(X60&lt;&gt;"",C60&gt;0),X60-C60,"")</f>
        <v/>
      </c>
      <c r="AB60" s="41">
        <f>IF(AND(X60&lt;&gt;"",D60&gt;0),(X60-D60)/D60,"")</f>
        <v/>
      </c>
      <c r="AC60" s="41">
        <f>IF(AND(Z60&lt;&gt;"",P60&lt;&gt;""),(Z60-P60)/ABS(IF(P60=0,1,P60)),"")</f>
        <v/>
      </c>
      <c r="AD60" s="40">
        <f>IF(AND(AA60&lt;&gt;"",Q60&lt;&gt;""),AA60-Q60,"")</f>
        <v/>
      </c>
      <c r="AE60" s="40">
        <f>IF(G60&lt;&gt;"",G60,"")</f>
        <v/>
      </c>
      <c r="AF60" s="41">
        <f>IF(AND(AE60&lt;&gt;"",C60&gt;0),(AE60-C60)/C60,"")</f>
        <v/>
      </c>
      <c r="AG60" s="41">
        <f>IF(AND(AE60&lt;&gt;"",AE60&gt;0),(AE60-C60)/AE60,"")</f>
        <v/>
      </c>
      <c r="AH60" s="40">
        <f>IF(AND(AE60&lt;&gt;"",C60&gt;0),AE60-C60,"")</f>
        <v/>
      </c>
      <c r="AI60" s="41">
        <f>IF(AND(AE60&lt;&gt;"",D60&gt;0),(AE60-D60)/D60,"")</f>
        <v/>
      </c>
      <c r="AJ60" s="41">
        <f>IF(AND(AG60&lt;&gt;"",P60&lt;&gt;""),(AG60-P60)/ABS(IF(P60=0,1,P60)),"")</f>
        <v/>
      </c>
      <c r="AK60" s="40">
        <f>IF(AND(AH60&lt;&gt;"",Q60&lt;&gt;""),AH60-Q60,"")</f>
        <v/>
      </c>
      <c r="AL60" s="40">
        <f>IF(H60&lt;&gt;"",H60,"")</f>
        <v/>
      </c>
      <c r="AM60" s="41">
        <f>IF(AND(AL60&lt;&gt;"",C60&gt;0),(AL60-C60)/C60,"")</f>
        <v/>
      </c>
      <c r="AN60" s="41">
        <f>IF(AND(AL60&lt;&gt;"",AL60&gt;0),(AL60-C60)/AL60,"")</f>
        <v/>
      </c>
      <c r="AO60" s="40">
        <f>IF(AND(AL60&lt;&gt;"",C60&gt;0),AL60-C60,"")</f>
        <v/>
      </c>
      <c r="AP60" s="41">
        <f>IF(AND(AL60&lt;&gt;"",D60&gt;0),(AL60-D60)/D60,"")</f>
        <v/>
      </c>
      <c r="AQ60" s="41">
        <f>IF(AND(AN60&lt;&gt;"",P60&lt;&gt;""),(AN60-P60)/ABS(IF(P60=0,1,P60)),"")</f>
        <v/>
      </c>
      <c r="AR60" s="40">
        <f>IF(AND(AO60&lt;&gt;"",Q60&lt;&gt;""),AO60-Q60,"")</f>
        <v/>
      </c>
      <c r="AS60" s="44" t="n"/>
      <c r="AT60" s="41">
        <f>IF(AND(AS60&gt;0,C60&gt;0),(AS60-C60)/C60,"")</f>
        <v/>
      </c>
      <c r="AU60" s="41">
        <f>IF(AND(AS60&gt;0,AS60&gt;0),(AS60-C60)/AS60,"")</f>
        <v/>
      </c>
      <c r="AV60" s="40">
        <f>IF(AND(AS60&gt;0,C60&gt;0),AS60-C60,"")</f>
        <v/>
      </c>
      <c r="AW60" s="41">
        <f>IF(AND(AS60&gt;0,D60&gt;0),(AS60-D60)/D60,"")</f>
        <v/>
      </c>
      <c r="AX60" s="41">
        <f>IF(AND(AU60&lt;&gt;"",P60&lt;&gt;""),(AU60-P60)/ABS(IF(P60=0,1,P60)),"")</f>
        <v/>
      </c>
      <c r="AY60" s="40">
        <f>IF(AND(AV60&lt;&gt;"",Q60&lt;&gt;""),AV60-Q60,"")</f>
        <v/>
      </c>
      <c r="AZ60" s="45" t="n"/>
      <c r="BA60" s="40">
        <f>IF(AND(AZ60&gt;0,C60&gt;0),C60/(1-AZ60),"")</f>
        <v/>
      </c>
      <c r="BB60" s="41">
        <f>IF(AND(BA60&lt;&gt;"",C60&gt;0),(BA60-C60)/C60,"")</f>
        <v/>
      </c>
      <c r="BC60" s="41">
        <f>IF(BA60&lt;&gt;"",AZ60,"")</f>
        <v/>
      </c>
      <c r="BD60" s="40">
        <f>IF(AND(BA60&lt;&gt;"",C60&gt;0),BA60-C60,"")</f>
        <v/>
      </c>
      <c r="BE60" s="41">
        <f>IF(AND(BA60&lt;&gt;"",D60&gt;0),(BA60-D60)/D60,"")</f>
        <v/>
      </c>
      <c r="BF60" s="41">
        <f>IF(AND(BC60&lt;&gt;"",P60&lt;&gt;""),(BC60-P60)/ABS(IF(P60=0,1,P60)),"")</f>
        <v/>
      </c>
      <c r="BG60" s="40">
        <f>IF(AND(BD60&lt;&gt;"",Q60&lt;&gt;""),BD60-Q60,"")</f>
        <v/>
      </c>
      <c r="BH60" s="40">
        <f>IF(AND(T60&gt;0,X60&lt;&gt;""),T60*X60,"")</f>
        <v/>
      </c>
      <c r="BI60" s="40">
        <f>IF(AND(T60&gt;0,AA60&lt;&gt;""),T60*AA60,"")</f>
        <v/>
      </c>
      <c r="BJ60" s="40">
        <f>IF(AND(T60&gt;0,AE60&lt;&gt;""),T60*AE60,"")</f>
        <v/>
      </c>
      <c r="BK60" s="40">
        <f>IF(AND(T60&gt;0,AH60&lt;&gt;""),T60*AH60,"")</f>
        <v/>
      </c>
      <c r="BL60" s="40">
        <f>IF(AND(T60&gt;0,AL60&lt;&gt;""),T60*AL60,"")</f>
        <v/>
      </c>
      <c r="BM60" s="40">
        <f>IF(AND(T60&gt;0,AO60&lt;&gt;""),T60*AO60,"")</f>
        <v/>
      </c>
      <c r="BN60" s="40">
        <f>IF(AND(T60&gt;0,AS60&gt;0),T60*AS60,"")</f>
        <v/>
      </c>
      <c r="BO60" s="40">
        <f>IF(AND(T60&gt;0,AV60&lt;&gt;""),T60*AV60,"")</f>
        <v/>
      </c>
      <c r="BP60" s="40">
        <f>IF(AND(T60&gt;0,BA60&lt;&gt;""),T60*BA60,"")</f>
        <v/>
      </c>
      <c r="BQ60" s="40">
        <f>IF(AND(T60&gt;0,BD60&lt;&gt;""),T60*BD60,"")</f>
        <v/>
      </c>
      <c r="BR60" s="46">
        <f>IF(AND(T60&gt;0,V60&gt;0,AA60&lt;&gt;0),V60/AA60-T60,"")</f>
        <v/>
      </c>
      <c r="BS60" s="41">
        <f>IF(AND(BR60&lt;&gt;"",T60&gt;0),BR60/T60,"")</f>
        <v/>
      </c>
      <c r="BT60" s="46">
        <f>IF(AND(T60&gt;0,V60&gt;0,AO60&lt;&gt;0),V60/AO60-T60,"")</f>
        <v/>
      </c>
      <c r="BU60" s="41">
        <f>IF(AND(BT60&lt;&gt;"",T60&gt;0),BT60/T60,"")</f>
        <v/>
      </c>
    </row>
    <row r="61">
      <c r="A61" s="36">
        <f>'📊 Исходные данные'!A60</f>
        <v/>
      </c>
      <c r="B61" s="37">
        <f>'📊 Исходные данные'!B60</f>
        <v/>
      </c>
      <c r="C61" s="38">
        <f>'📊 Исходные данные'!C60</f>
        <v/>
      </c>
      <c r="D61" s="38">
        <f>'📊 Исходные данные'!D60</f>
        <v/>
      </c>
      <c r="E61" s="39">
        <f>IF(OR(D61="",F61=""),"-",IF(D61&gt;F61*1.05,"Выше рынка",IF(D61&lt;F61*0.95,"Ниже рынка","На уровне")))</f>
        <v/>
      </c>
      <c r="F61" s="40">
        <f>IFERROR(AVERAGE('📊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G61" s="40">
        <f>IFERROR(MEDIAN('📊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H61" s="40">
        <f>IFERROR(MIN('📊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I61" s="40">
        <f>IFERROR(MAX('📊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данные'!K60),"")</f>
        <v/>
      </c>
      <c r="J61" s="41">
        <f>IF(AND(D61&lt;&gt;"",F61&lt;&gt;""),(D61-F61)/F61,"")</f>
        <v/>
      </c>
      <c r="K61" s="41">
        <f>IF(AND(D61&lt;&gt;"",G61&lt;&gt;""),(D61-G61)/G61,"")</f>
        <v/>
      </c>
      <c r="L61" s="41">
        <f>IF(AND(D61&lt;&gt;"",H61&lt;&gt;""),(D61-H61)/H61,"")</f>
        <v/>
      </c>
      <c r="M61" s="42">
        <f>IFERROR(RANK(D61,('📊 Исходные данные'!E60,'📊 Исходные данные'!F60,'📊 Исходные данные'!G60,'📊 Исходные данные'!H60,'📊 Исходные данные'!I60,'📊 Исходные данные'!J60,'📊 Исходные данные'!K60)),"")</f>
        <v/>
      </c>
      <c r="N61" s="39">
        <f>IF(M61="","-",IF(M61=1,"Дороже всех",IF(M61=2,"2-й по цене",IF(M61&lt;=4,"Средний","Ниже конкурентов"))))</f>
        <v/>
      </c>
      <c r="O61" s="41">
        <f>IF(AND(C61&gt;0,D61&gt;0),(D61-C61)/C61,"")</f>
        <v/>
      </c>
      <c r="P61" s="41">
        <f>IF(AND(C61&gt;0,D61&gt;0),(D61-C61)/D61,"")</f>
        <v/>
      </c>
      <c r="Q61" s="40">
        <f>IF(AND(C61&gt;0,D61&gt;0),D61-C61,"")</f>
        <v/>
      </c>
      <c r="R61" s="39">
        <f>IF(P61="","-",IF(P61&lt;0.1,"Низкая(&lt;10%)",IF(P61&lt;0.2,"Средняя(10-20%)","Хорошая(&gt;20%)")))</f>
        <v/>
      </c>
      <c r="S61" s="39">
        <f>IF(OR(H61="",C61=""),"-",IF((H61-C61)/H61&lt;0.05,"КРИТИЧНО",IF((H61-C61)/H61&lt;0.15,"УМЕРЕННЫЙ","НИЗКИЙ")))</f>
        <v/>
      </c>
      <c r="T61" s="43" t="n"/>
      <c r="U61" s="40">
        <f>IF(T61&gt;0,T61*D61,"")</f>
        <v/>
      </c>
      <c r="V61" s="40">
        <f>IF(T61&gt;0,T61*Q61,"")</f>
        <v/>
      </c>
      <c r="W61" s="41">
        <f>IF(U61&gt;0,V61/U61,"")</f>
        <v/>
      </c>
      <c r="X61" s="40">
        <f>IF(F61&lt;&gt;"",F61,"")</f>
        <v/>
      </c>
      <c r="Y61" s="41">
        <f>IF(AND(X61&lt;&gt;"",C61&gt;0),(X61-C61)/C61,"")</f>
        <v/>
      </c>
      <c r="Z61" s="41">
        <f>IF(AND(X61&lt;&gt;"",X61&gt;0),(X61-C61)/X61,"")</f>
        <v/>
      </c>
      <c r="AA61" s="40">
        <f>IF(AND(X61&lt;&gt;"",C61&gt;0),X61-C61,"")</f>
        <v/>
      </c>
      <c r="AB61" s="41">
        <f>IF(AND(X61&lt;&gt;"",D61&gt;0),(X61-D61)/D61,"")</f>
        <v/>
      </c>
      <c r="AC61" s="41">
        <f>IF(AND(Z61&lt;&gt;"",P61&lt;&gt;""),(Z61-P61)/ABS(IF(P61=0,1,P61)),"")</f>
        <v/>
      </c>
      <c r="AD61" s="40">
        <f>IF(AND(AA61&lt;&gt;"",Q61&lt;&gt;""),AA61-Q61,"")</f>
        <v/>
      </c>
      <c r="AE61" s="40">
        <f>IF(G61&lt;&gt;"",G61,"")</f>
        <v/>
      </c>
      <c r="AF61" s="41">
        <f>IF(AND(AE61&lt;&gt;"",C61&gt;0),(AE61-C61)/C61,"")</f>
        <v/>
      </c>
      <c r="AG61" s="41">
        <f>IF(AND(AE61&lt;&gt;"",AE61&gt;0),(AE61-C61)/AE61,"")</f>
        <v/>
      </c>
      <c r="AH61" s="40">
        <f>IF(AND(AE61&lt;&gt;"",C61&gt;0),AE61-C61,"")</f>
        <v/>
      </c>
      <c r="AI61" s="41">
        <f>IF(AND(AE61&lt;&gt;"",D61&gt;0),(AE61-D61)/D61,"")</f>
        <v/>
      </c>
      <c r="AJ61" s="41">
        <f>IF(AND(AG61&lt;&gt;"",P61&lt;&gt;""),(AG61-P61)/ABS(IF(P61=0,1,P61)),"")</f>
        <v/>
      </c>
      <c r="AK61" s="40">
        <f>IF(AND(AH61&lt;&gt;"",Q61&lt;&gt;""),AH61-Q61,"")</f>
        <v/>
      </c>
      <c r="AL61" s="40">
        <f>IF(H61&lt;&gt;"",H61,"")</f>
        <v/>
      </c>
      <c r="AM61" s="41">
        <f>IF(AND(AL61&lt;&gt;"",C61&gt;0),(AL61-C61)/C61,"")</f>
        <v/>
      </c>
      <c r="AN61" s="41">
        <f>IF(AND(AL61&lt;&gt;"",AL61&gt;0),(AL61-C61)/AL61,"")</f>
        <v/>
      </c>
      <c r="AO61" s="40">
        <f>IF(AND(AL61&lt;&gt;"",C61&gt;0),AL61-C61,"")</f>
        <v/>
      </c>
      <c r="AP61" s="41">
        <f>IF(AND(AL61&lt;&gt;"",D61&gt;0),(AL61-D61)/D61,"")</f>
        <v/>
      </c>
      <c r="AQ61" s="41">
        <f>IF(AND(AN61&lt;&gt;"",P61&lt;&gt;""),(AN61-P61)/ABS(IF(P61=0,1,P61)),"")</f>
        <v/>
      </c>
      <c r="AR61" s="40">
        <f>IF(AND(AO61&lt;&gt;"",Q61&lt;&gt;""),AO61-Q61,"")</f>
        <v/>
      </c>
      <c r="AS61" s="44" t="n"/>
      <c r="AT61" s="41">
        <f>IF(AND(AS61&gt;0,C61&gt;0),(AS61-C61)/C61,"")</f>
        <v/>
      </c>
      <c r="AU61" s="41">
        <f>IF(AND(AS61&gt;0,AS61&gt;0),(AS61-C61)/AS61,"")</f>
        <v/>
      </c>
      <c r="AV61" s="40">
        <f>IF(AND(AS61&gt;0,C61&gt;0),AS61-C61,"")</f>
        <v/>
      </c>
      <c r="AW61" s="41">
        <f>IF(AND(AS61&gt;0,D61&gt;0),(AS61-D61)/D61,"")</f>
        <v/>
      </c>
      <c r="AX61" s="41">
        <f>IF(AND(AU61&lt;&gt;"",P61&lt;&gt;""),(AU61-P61)/ABS(IF(P61=0,1,P61)),"")</f>
        <v/>
      </c>
      <c r="AY61" s="40">
        <f>IF(AND(AV61&lt;&gt;"",Q61&lt;&gt;""),AV61-Q61,"")</f>
        <v/>
      </c>
      <c r="AZ61" s="45" t="n"/>
      <c r="BA61" s="40">
        <f>IF(AND(AZ61&gt;0,C61&gt;0),C61/(1-AZ61),"")</f>
        <v/>
      </c>
      <c r="BB61" s="41">
        <f>IF(AND(BA61&lt;&gt;"",C61&gt;0),(BA61-C61)/C61,"")</f>
        <v/>
      </c>
      <c r="BC61" s="41">
        <f>IF(BA61&lt;&gt;"",AZ61,"")</f>
        <v/>
      </c>
      <c r="BD61" s="40">
        <f>IF(AND(BA61&lt;&gt;"",C61&gt;0),BA61-C61,"")</f>
        <v/>
      </c>
      <c r="BE61" s="41">
        <f>IF(AND(BA61&lt;&gt;"",D61&gt;0),(BA61-D61)/D61,"")</f>
        <v/>
      </c>
      <c r="BF61" s="41">
        <f>IF(AND(BC61&lt;&gt;"",P61&lt;&gt;""),(BC61-P61)/ABS(IF(P61=0,1,P61)),"")</f>
        <v/>
      </c>
      <c r="BG61" s="40">
        <f>IF(AND(BD61&lt;&gt;"",Q61&lt;&gt;""),BD61-Q61,"")</f>
        <v/>
      </c>
      <c r="BH61" s="40">
        <f>IF(AND(T61&gt;0,X61&lt;&gt;""),T61*X61,"")</f>
        <v/>
      </c>
      <c r="BI61" s="40">
        <f>IF(AND(T61&gt;0,AA61&lt;&gt;""),T61*AA61,"")</f>
        <v/>
      </c>
      <c r="BJ61" s="40">
        <f>IF(AND(T61&gt;0,AE61&lt;&gt;""),T61*AE61,"")</f>
        <v/>
      </c>
      <c r="BK61" s="40">
        <f>IF(AND(T61&gt;0,AH61&lt;&gt;""),T61*AH61,"")</f>
        <v/>
      </c>
      <c r="BL61" s="40">
        <f>IF(AND(T61&gt;0,AL61&lt;&gt;""),T61*AL61,"")</f>
        <v/>
      </c>
      <c r="BM61" s="40">
        <f>IF(AND(T61&gt;0,AO61&lt;&gt;""),T61*AO61,"")</f>
        <v/>
      </c>
      <c r="BN61" s="40">
        <f>IF(AND(T61&gt;0,AS61&gt;0),T61*AS61,"")</f>
        <v/>
      </c>
      <c r="BO61" s="40">
        <f>IF(AND(T61&gt;0,AV61&lt;&gt;""),T61*AV61,"")</f>
        <v/>
      </c>
      <c r="BP61" s="40">
        <f>IF(AND(T61&gt;0,BA61&lt;&gt;""),T61*BA61,"")</f>
        <v/>
      </c>
      <c r="BQ61" s="40">
        <f>IF(AND(T61&gt;0,BD61&lt;&gt;""),T61*BD61,"")</f>
        <v/>
      </c>
      <c r="BR61" s="46">
        <f>IF(AND(T61&gt;0,V61&gt;0,AA61&lt;&gt;0),V61/AA61-T61,"")</f>
        <v/>
      </c>
      <c r="BS61" s="41">
        <f>IF(AND(BR61&lt;&gt;"",T61&gt;0),BR61/T61,"")</f>
        <v/>
      </c>
      <c r="BT61" s="46">
        <f>IF(AND(T61&gt;0,V61&gt;0,AO61&lt;&gt;0),V61/AO61-T61,"")</f>
        <v/>
      </c>
      <c r="BU61" s="41">
        <f>IF(AND(BT61&lt;&gt;"",T61&gt;0),BT61/T61,"")</f>
        <v/>
      </c>
    </row>
    <row r="62">
      <c r="A62" s="36">
        <f>'📊 Исходные данные'!A61</f>
        <v/>
      </c>
      <c r="B62" s="37">
        <f>'📊 Исходные данные'!B61</f>
        <v/>
      </c>
      <c r="C62" s="38">
        <f>'📊 Исходные данные'!C61</f>
        <v/>
      </c>
      <c r="D62" s="38">
        <f>'📊 Исходные данные'!D61</f>
        <v/>
      </c>
      <c r="E62" s="39">
        <f>IF(OR(D62="",F62=""),"-",IF(D62&gt;F62*1.05,"Выше рынка",IF(D62&lt;F62*0.95,"Ниже рынка","На уровне")))</f>
        <v/>
      </c>
      <c r="F62" s="40">
        <f>IFERROR(AVERAGE('📊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G62" s="40">
        <f>IFERROR(MEDIAN('📊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H62" s="40">
        <f>IFERROR(MIN('📊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I62" s="40">
        <f>IFERROR(MAX('📊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данные'!K61),"")</f>
        <v/>
      </c>
      <c r="J62" s="41">
        <f>IF(AND(D62&lt;&gt;"",F62&lt;&gt;""),(D62-F62)/F62,"")</f>
        <v/>
      </c>
      <c r="K62" s="41">
        <f>IF(AND(D62&lt;&gt;"",G62&lt;&gt;""),(D62-G62)/G62,"")</f>
        <v/>
      </c>
      <c r="L62" s="41">
        <f>IF(AND(D62&lt;&gt;"",H62&lt;&gt;""),(D62-H62)/H62,"")</f>
        <v/>
      </c>
      <c r="M62" s="42">
        <f>IFERROR(RANK(D62,('📊 Исходные данные'!E61,'📊 Исходные данные'!F61,'📊 Исходные данные'!G61,'📊 Исходные данные'!H61,'📊 Исходные данные'!I61,'📊 Исходные данные'!J61,'📊 Исходные данные'!K61)),"")</f>
        <v/>
      </c>
      <c r="N62" s="39">
        <f>IF(M62="","-",IF(M62=1,"Дороже всех",IF(M62=2,"2-й по цене",IF(M62&lt;=4,"Средний","Ниже конкурентов"))))</f>
        <v/>
      </c>
      <c r="O62" s="41">
        <f>IF(AND(C62&gt;0,D62&gt;0),(D62-C62)/C62,"")</f>
        <v/>
      </c>
      <c r="P62" s="41">
        <f>IF(AND(C62&gt;0,D62&gt;0),(D62-C62)/D62,"")</f>
        <v/>
      </c>
      <c r="Q62" s="40">
        <f>IF(AND(C62&gt;0,D62&gt;0),D62-C62,"")</f>
        <v/>
      </c>
      <c r="R62" s="39">
        <f>IF(P62="","-",IF(P62&lt;0.1,"Низкая(&lt;10%)",IF(P62&lt;0.2,"Средняя(10-20%)","Хорошая(&gt;20%)")))</f>
        <v/>
      </c>
      <c r="S62" s="39">
        <f>IF(OR(H62="",C62=""),"-",IF((H62-C62)/H62&lt;0.05,"КРИТИЧНО",IF((H62-C62)/H62&lt;0.15,"УМЕРЕННЫЙ","НИЗКИЙ")))</f>
        <v/>
      </c>
      <c r="T62" s="43" t="n"/>
      <c r="U62" s="40">
        <f>IF(T62&gt;0,T62*D62,"")</f>
        <v/>
      </c>
      <c r="V62" s="40">
        <f>IF(T62&gt;0,T62*Q62,"")</f>
        <v/>
      </c>
      <c r="W62" s="41">
        <f>IF(U62&gt;0,V62/U62,"")</f>
        <v/>
      </c>
      <c r="X62" s="40">
        <f>IF(F62&lt;&gt;"",F62,"")</f>
        <v/>
      </c>
      <c r="Y62" s="41">
        <f>IF(AND(X62&lt;&gt;"",C62&gt;0),(X62-C62)/C62,"")</f>
        <v/>
      </c>
      <c r="Z62" s="41">
        <f>IF(AND(X62&lt;&gt;"",X62&gt;0),(X62-C62)/X62,"")</f>
        <v/>
      </c>
      <c r="AA62" s="40">
        <f>IF(AND(X62&lt;&gt;"",C62&gt;0),X62-C62,"")</f>
        <v/>
      </c>
      <c r="AB62" s="41">
        <f>IF(AND(X62&lt;&gt;"",D62&gt;0),(X62-D62)/D62,"")</f>
        <v/>
      </c>
      <c r="AC62" s="41">
        <f>IF(AND(Z62&lt;&gt;"",P62&lt;&gt;""),(Z62-P62)/ABS(IF(P62=0,1,P62)),"")</f>
        <v/>
      </c>
      <c r="AD62" s="40">
        <f>IF(AND(AA62&lt;&gt;"",Q62&lt;&gt;""),AA62-Q62,"")</f>
        <v/>
      </c>
      <c r="AE62" s="40">
        <f>IF(G62&lt;&gt;"",G62,"")</f>
        <v/>
      </c>
      <c r="AF62" s="41">
        <f>IF(AND(AE62&lt;&gt;"",C62&gt;0),(AE62-C62)/C62,"")</f>
        <v/>
      </c>
      <c r="AG62" s="41">
        <f>IF(AND(AE62&lt;&gt;"",AE62&gt;0),(AE62-C62)/AE62,"")</f>
        <v/>
      </c>
      <c r="AH62" s="40">
        <f>IF(AND(AE62&lt;&gt;"",C62&gt;0),AE62-C62,"")</f>
        <v/>
      </c>
      <c r="AI62" s="41">
        <f>IF(AND(AE62&lt;&gt;"",D62&gt;0),(AE62-D62)/D62,"")</f>
        <v/>
      </c>
      <c r="AJ62" s="41">
        <f>IF(AND(AG62&lt;&gt;"",P62&lt;&gt;""),(AG62-P62)/ABS(IF(P62=0,1,P62)),"")</f>
        <v/>
      </c>
      <c r="AK62" s="40">
        <f>IF(AND(AH62&lt;&gt;"",Q62&lt;&gt;""),AH62-Q62,"")</f>
        <v/>
      </c>
      <c r="AL62" s="40">
        <f>IF(H62&lt;&gt;"",H62,"")</f>
        <v/>
      </c>
      <c r="AM62" s="41">
        <f>IF(AND(AL62&lt;&gt;"",C62&gt;0),(AL62-C62)/C62,"")</f>
        <v/>
      </c>
      <c r="AN62" s="41">
        <f>IF(AND(AL62&lt;&gt;"",AL62&gt;0),(AL62-C62)/AL62,"")</f>
        <v/>
      </c>
      <c r="AO62" s="40">
        <f>IF(AND(AL62&lt;&gt;"",C62&gt;0),AL62-C62,"")</f>
        <v/>
      </c>
      <c r="AP62" s="41">
        <f>IF(AND(AL62&lt;&gt;"",D62&gt;0),(AL62-D62)/D62,"")</f>
        <v/>
      </c>
      <c r="AQ62" s="41">
        <f>IF(AND(AN62&lt;&gt;"",P62&lt;&gt;""),(AN62-P62)/ABS(IF(P62=0,1,P62)),"")</f>
        <v/>
      </c>
      <c r="AR62" s="40">
        <f>IF(AND(AO62&lt;&gt;"",Q62&lt;&gt;""),AO62-Q62,"")</f>
        <v/>
      </c>
      <c r="AS62" s="44" t="n"/>
      <c r="AT62" s="41">
        <f>IF(AND(AS62&gt;0,C62&gt;0),(AS62-C62)/C62,"")</f>
        <v/>
      </c>
      <c r="AU62" s="41">
        <f>IF(AND(AS62&gt;0,AS62&gt;0),(AS62-C62)/AS62,"")</f>
        <v/>
      </c>
      <c r="AV62" s="40">
        <f>IF(AND(AS62&gt;0,C62&gt;0),AS62-C62,"")</f>
        <v/>
      </c>
      <c r="AW62" s="41">
        <f>IF(AND(AS62&gt;0,D62&gt;0),(AS62-D62)/D62,"")</f>
        <v/>
      </c>
      <c r="AX62" s="41">
        <f>IF(AND(AU62&lt;&gt;"",P62&lt;&gt;""),(AU62-P62)/ABS(IF(P62=0,1,P62)),"")</f>
        <v/>
      </c>
      <c r="AY62" s="40">
        <f>IF(AND(AV62&lt;&gt;"",Q62&lt;&gt;""),AV62-Q62,"")</f>
        <v/>
      </c>
      <c r="AZ62" s="45" t="n"/>
      <c r="BA62" s="40">
        <f>IF(AND(AZ62&gt;0,C62&gt;0),C62/(1-AZ62),"")</f>
        <v/>
      </c>
      <c r="BB62" s="41">
        <f>IF(AND(BA62&lt;&gt;"",C62&gt;0),(BA62-C62)/C62,"")</f>
        <v/>
      </c>
      <c r="BC62" s="41">
        <f>IF(BA62&lt;&gt;"",AZ62,"")</f>
        <v/>
      </c>
      <c r="BD62" s="40">
        <f>IF(AND(BA62&lt;&gt;"",C62&gt;0),BA62-C62,"")</f>
        <v/>
      </c>
      <c r="BE62" s="41">
        <f>IF(AND(BA62&lt;&gt;"",D62&gt;0),(BA62-D62)/D62,"")</f>
        <v/>
      </c>
      <c r="BF62" s="41">
        <f>IF(AND(BC62&lt;&gt;"",P62&lt;&gt;""),(BC62-P62)/ABS(IF(P62=0,1,P62)),"")</f>
        <v/>
      </c>
      <c r="BG62" s="40">
        <f>IF(AND(BD62&lt;&gt;"",Q62&lt;&gt;""),BD62-Q62,"")</f>
        <v/>
      </c>
      <c r="BH62" s="40">
        <f>IF(AND(T62&gt;0,X62&lt;&gt;""),T62*X62,"")</f>
        <v/>
      </c>
      <c r="BI62" s="40">
        <f>IF(AND(T62&gt;0,AA62&lt;&gt;""),T62*AA62,"")</f>
        <v/>
      </c>
      <c r="BJ62" s="40">
        <f>IF(AND(T62&gt;0,AE62&lt;&gt;""),T62*AE62,"")</f>
        <v/>
      </c>
      <c r="BK62" s="40">
        <f>IF(AND(T62&gt;0,AH62&lt;&gt;""),T62*AH62,"")</f>
        <v/>
      </c>
      <c r="BL62" s="40">
        <f>IF(AND(T62&gt;0,AL62&lt;&gt;""),T62*AL62,"")</f>
        <v/>
      </c>
      <c r="BM62" s="40">
        <f>IF(AND(T62&gt;0,AO62&lt;&gt;""),T62*AO62,"")</f>
        <v/>
      </c>
      <c r="BN62" s="40">
        <f>IF(AND(T62&gt;0,AS62&gt;0),T62*AS62,"")</f>
        <v/>
      </c>
      <c r="BO62" s="40">
        <f>IF(AND(T62&gt;0,AV62&lt;&gt;""),T62*AV62,"")</f>
        <v/>
      </c>
      <c r="BP62" s="40">
        <f>IF(AND(T62&gt;0,BA62&lt;&gt;""),T62*BA62,"")</f>
        <v/>
      </c>
      <c r="BQ62" s="40">
        <f>IF(AND(T62&gt;0,BD62&lt;&gt;""),T62*BD62,"")</f>
        <v/>
      </c>
      <c r="BR62" s="46">
        <f>IF(AND(T62&gt;0,V62&gt;0,AA62&lt;&gt;0),V62/AA62-T62,"")</f>
        <v/>
      </c>
      <c r="BS62" s="41">
        <f>IF(AND(BR62&lt;&gt;"",T62&gt;0),BR62/T62,"")</f>
        <v/>
      </c>
      <c r="BT62" s="46">
        <f>IF(AND(T62&gt;0,V62&gt;0,AO62&lt;&gt;0),V62/AO62-T62,"")</f>
        <v/>
      </c>
      <c r="BU62" s="41">
        <f>IF(AND(BT62&lt;&gt;"",T62&gt;0),BT62/T62,"")</f>
        <v/>
      </c>
    </row>
    <row r="63">
      <c r="A63" s="36">
        <f>'📊 Исходные данные'!A62</f>
        <v/>
      </c>
      <c r="B63" s="37">
        <f>'📊 Исходные данные'!B62</f>
        <v/>
      </c>
      <c r="C63" s="38">
        <f>'📊 Исходные данные'!C62</f>
        <v/>
      </c>
      <c r="D63" s="38">
        <f>'📊 Исходные данные'!D62</f>
        <v/>
      </c>
      <c r="E63" s="39">
        <f>IF(OR(D63="",F63=""),"-",IF(D63&gt;F63*1.05,"Выше рынка",IF(D63&lt;F63*0.95,"Ниже рынка","На уровне")))</f>
        <v/>
      </c>
      <c r="F63" s="40">
        <f>IFERROR(AVERAGE('📊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G63" s="40">
        <f>IFERROR(MEDIAN('📊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H63" s="40">
        <f>IFERROR(MIN('📊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I63" s="40">
        <f>IFERROR(MAX('📊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данные'!K62),"")</f>
        <v/>
      </c>
      <c r="J63" s="41">
        <f>IF(AND(D63&lt;&gt;"",F63&lt;&gt;""),(D63-F63)/F63,"")</f>
        <v/>
      </c>
      <c r="K63" s="41">
        <f>IF(AND(D63&lt;&gt;"",G63&lt;&gt;""),(D63-G63)/G63,"")</f>
        <v/>
      </c>
      <c r="L63" s="41">
        <f>IF(AND(D63&lt;&gt;"",H63&lt;&gt;""),(D63-H63)/H63,"")</f>
        <v/>
      </c>
      <c r="M63" s="42">
        <f>IFERROR(RANK(D63,('📊 Исходные данные'!E62,'📊 Исходные данные'!F62,'📊 Исходные данные'!G62,'📊 Исходные данные'!H62,'📊 Исходные данные'!I62,'📊 Исходные данные'!J62,'📊 Исходные данные'!K62)),"")</f>
        <v/>
      </c>
      <c r="N63" s="39">
        <f>IF(M63="","-",IF(M63=1,"Дороже всех",IF(M63=2,"2-й по цене",IF(M63&lt;=4,"Средний","Ниже конкурентов"))))</f>
        <v/>
      </c>
      <c r="O63" s="41">
        <f>IF(AND(C63&gt;0,D63&gt;0),(D63-C63)/C63,"")</f>
        <v/>
      </c>
      <c r="P63" s="41">
        <f>IF(AND(C63&gt;0,D63&gt;0),(D63-C63)/D63,"")</f>
        <v/>
      </c>
      <c r="Q63" s="40">
        <f>IF(AND(C63&gt;0,D63&gt;0),D63-C63,"")</f>
        <v/>
      </c>
      <c r="R63" s="39">
        <f>IF(P63="","-",IF(P63&lt;0.1,"Низкая(&lt;10%)",IF(P63&lt;0.2,"Средняя(10-20%)","Хорошая(&gt;20%)")))</f>
        <v/>
      </c>
      <c r="S63" s="39">
        <f>IF(OR(H63="",C63=""),"-",IF((H63-C63)/H63&lt;0.05,"КРИТИЧНО",IF((H63-C63)/H63&lt;0.15,"УМЕРЕННЫЙ","НИЗКИЙ")))</f>
        <v/>
      </c>
      <c r="T63" s="43" t="n"/>
      <c r="U63" s="40">
        <f>IF(T63&gt;0,T63*D63,"")</f>
        <v/>
      </c>
      <c r="V63" s="40">
        <f>IF(T63&gt;0,T63*Q63,"")</f>
        <v/>
      </c>
      <c r="W63" s="41">
        <f>IF(U63&gt;0,V63/U63,"")</f>
        <v/>
      </c>
      <c r="X63" s="40">
        <f>IF(F63&lt;&gt;"",F63,"")</f>
        <v/>
      </c>
      <c r="Y63" s="41">
        <f>IF(AND(X63&lt;&gt;"",C63&gt;0),(X63-C63)/C63,"")</f>
        <v/>
      </c>
      <c r="Z63" s="41">
        <f>IF(AND(X63&lt;&gt;"",X63&gt;0),(X63-C63)/X63,"")</f>
        <v/>
      </c>
      <c r="AA63" s="40">
        <f>IF(AND(X63&lt;&gt;"",C63&gt;0),X63-C63,"")</f>
        <v/>
      </c>
      <c r="AB63" s="41">
        <f>IF(AND(X63&lt;&gt;"",D63&gt;0),(X63-D63)/D63,"")</f>
        <v/>
      </c>
      <c r="AC63" s="41">
        <f>IF(AND(Z63&lt;&gt;"",P63&lt;&gt;""),(Z63-P63)/ABS(IF(P63=0,1,P63)),"")</f>
        <v/>
      </c>
      <c r="AD63" s="40">
        <f>IF(AND(AA63&lt;&gt;"",Q63&lt;&gt;""),AA63-Q63,"")</f>
        <v/>
      </c>
      <c r="AE63" s="40">
        <f>IF(G63&lt;&gt;"",G63,"")</f>
        <v/>
      </c>
      <c r="AF63" s="41">
        <f>IF(AND(AE63&lt;&gt;"",C63&gt;0),(AE63-C63)/C63,"")</f>
        <v/>
      </c>
      <c r="AG63" s="41">
        <f>IF(AND(AE63&lt;&gt;"",AE63&gt;0),(AE63-C63)/AE63,"")</f>
        <v/>
      </c>
      <c r="AH63" s="40">
        <f>IF(AND(AE63&lt;&gt;"",C63&gt;0),AE63-C63,"")</f>
        <v/>
      </c>
      <c r="AI63" s="41">
        <f>IF(AND(AE63&lt;&gt;"",D63&gt;0),(AE63-D63)/D63,"")</f>
        <v/>
      </c>
      <c r="AJ63" s="41">
        <f>IF(AND(AG63&lt;&gt;"",P63&lt;&gt;""),(AG63-P63)/ABS(IF(P63=0,1,P63)),"")</f>
        <v/>
      </c>
      <c r="AK63" s="40">
        <f>IF(AND(AH63&lt;&gt;"",Q63&lt;&gt;""),AH63-Q63,"")</f>
        <v/>
      </c>
      <c r="AL63" s="40">
        <f>IF(H63&lt;&gt;"",H63,"")</f>
        <v/>
      </c>
      <c r="AM63" s="41">
        <f>IF(AND(AL63&lt;&gt;"",C63&gt;0),(AL63-C63)/C63,"")</f>
        <v/>
      </c>
      <c r="AN63" s="41">
        <f>IF(AND(AL63&lt;&gt;"",AL63&gt;0),(AL63-C63)/AL63,"")</f>
        <v/>
      </c>
      <c r="AO63" s="40">
        <f>IF(AND(AL63&lt;&gt;"",C63&gt;0),AL63-C63,"")</f>
        <v/>
      </c>
      <c r="AP63" s="41">
        <f>IF(AND(AL63&lt;&gt;"",D63&gt;0),(AL63-D63)/D63,"")</f>
        <v/>
      </c>
      <c r="AQ63" s="41">
        <f>IF(AND(AN63&lt;&gt;"",P63&lt;&gt;""),(AN63-P63)/ABS(IF(P63=0,1,P63)),"")</f>
        <v/>
      </c>
      <c r="AR63" s="40">
        <f>IF(AND(AO63&lt;&gt;"",Q63&lt;&gt;""),AO63-Q63,"")</f>
        <v/>
      </c>
      <c r="AS63" s="44" t="n"/>
      <c r="AT63" s="41">
        <f>IF(AND(AS63&gt;0,C63&gt;0),(AS63-C63)/C63,"")</f>
        <v/>
      </c>
      <c r="AU63" s="41">
        <f>IF(AND(AS63&gt;0,AS63&gt;0),(AS63-C63)/AS63,"")</f>
        <v/>
      </c>
      <c r="AV63" s="40">
        <f>IF(AND(AS63&gt;0,C63&gt;0),AS63-C63,"")</f>
        <v/>
      </c>
      <c r="AW63" s="41">
        <f>IF(AND(AS63&gt;0,D63&gt;0),(AS63-D63)/D63,"")</f>
        <v/>
      </c>
      <c r="AX63" s="41">
        <f>IF(AND(AU63&lt;&gt;"",P63&lt;&gt;""),(AU63-P63)/ABS(IF(P63=0,1,P63)),"")</f>
        <v/>
      </c>
      <c r="AY63" s="40">
        <f>IF(AND(AV63&lt;&gt;"",Q63&lt;&gt;""),AV63-Q63,"")</f>
        <v/>
      </c>
      <c r="AZ63" s="45" t="n"/>
      <c r="BA63" s="40">
        <f>IF(AND(AZ63&gt;0,C63&gt;0),C63/(1-AZ63),"")</f>
        <v/>
      </c>
      <c r="BB63" s="41">
        <f>IF(AND(BA63&lt;&gt;"",C63&gt;0),(BA63-C63)/C63,"")</f>
        <v/>
      </c>
      <c r="BC63" s="41">
        <f>IF(BA63&lt;&gt;"",AZ63,"")</f>
        <v/>
      </c>
      <c r="BD63" s="40">
        <f>IF(AND(BA63&lt;&gt;"",C63&gt;0),BA63-C63,"")</f>
        <v/>
      </c>
      <c r="BE63" s="41">
        <f>IF(AND(BA63&lt;&gt;"",D63&gt;0),(BA63-D63)/D63,"")</f>
        <v/>
      </c>
      <c r="BF63" s="41">
        <f>IF(AND(BC63&lt;&gt;"",P63&lt;&gt;""),(BC63-P63)/ABS(IF(P63=0,1,P63)),"")</f>
        <v/>
      </c>
      <c r="BG63" s="40">
        <f>IF(AND(BD63&lt;&gt;"",Q63&lt;&gt;""),BD63-Q63,"")</f>
        <v/>
      </c>
      <c r="BH63" s="40">
        <f>IF(AND(T63&gt;0,X63&lt;&gt;""),T63*X63,"")</f>
        <v/>
      </c>
      <c r="BI63" s="40">
        <f>IF(AND(T63&gt;0,AA63&lt;&gt;""),T63*AA63,"")</f>
        <v/>
      </c>
      <c r="BJ63" s="40">
        <f>IF(AND(T63&gt;0,AE63&lt;&gt;""),T63*AE63,"")</f>
        <v/>
      </c>
      <c r="BK63" s="40">
        <f>IF(AND(T63&gt;0,AH63&lt;&gt;""),T63*AH63,"")</f>
        <v/>
      </c>
      <c r="BL63" s="40">
        <f>IF(AND(T63&gt;0,AL63&lt;&gt;""),T63*AL63,"")</f>
        <v/>
      </c>
      <c r="BM63" s="40">
        <f>IF(AND(T63&gt;0,AO63&lt;&gt;""),T63*AO63,"")</f>
        <v/>
      </c>
      <c r="BN63" s="40">
        <f>IF(AND(T63&gt;0,AS63&gt;0),T63*AS63,"")</f>
        <v/>
      </c>
      <c r="BO63" s="40">
        <f>IF(AND(T63&gt;0,AV63&lt;&gt;""),T63*AV63,"")</f>
        <v/>
      </c>
      <c r="BP63" s="40">
        <f>IF(AND(T63&gt;0,BA63&lt;&gt;""),T63*BA63,"")</f>
        <v/>
      </c>
      <c r="BQ63" s="40">
        <f>IF(AND(T63&gt;0,BD63&lt;&gt;""),T63*BD63,"")</f>
        <v/>
      </c>
      <c r="BR63" s="46">
        <f>IF(AND(T63&gt;0,V63&gt;0,AA63&lt;&gt;0),V63/AA63-T63,"")</f>
        <v/>
      </c>
      <c r="BS63" s="41">
        <f>IF(AND(BR63&lt;&gt;"",T63&gt;0),BR63/T63,"")</f>
        <v/>
      </c>
      <c r="BT63" s="46">
        <f>IF(AND(T63&gt;0,V63&gt;0,AO63&lt;&gt;0),V63/AO63-T63,"")</f>
        <v/>
      </c>
      <c r="BU63" s="41">
        <f>IF(AND(BT63&lt;&gt;"",T63&gt;0),BT63/T63,"")</f>
        <v/>
      </c>
    </row>
    <row r="64">
      <c r="A64" s="36">
        <f>'📊 Исходные данные'!A63</f>
        <v/>
      </c>
      <c r="B64" s="37">
        <f>'📊 Исходные данные'!B63</f>
        <v/>
      </c>
      <c r="C64" s="38">
        <f>'📊 Исходные данные'!C63</f>
        <v/>
      </c>
      <c r="D64" s="38">
        <f>'📊 Исходные данные'!D63</f>
        <v/>
      </c>
      <c r="E64" s="39">
        <f>IF(OR(D64="",F64=""),"-",IF(D64&gt;F64*1.05,"Выше рынка",IF(D64&lt;F64*0.95,"Ниже рынка","На уровне")))</f>
        <v/>
      </c>
      <c r="F64" s="40">
        <f>IFERROR(AVERAGE('📊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G64" s="40">
        <f>IFERROR(MEDIAN('📊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H64" s="40">
        <f>IFERROR(MIN('📊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I64" s="40">
        <f>IFERROR(MAX('📊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данные'!K63),"")</f>
        <v/>
      </c>
      <c r="J64" s="41">
        <f>IF(AND(D64&lt;&gt;"",F64&lt;&gt;""),(D64-F64)/F64,"")</f>
        <v/>
      </c>
      <c r="K64" s="41">
        <f>IF(AND(D64&lt;&gt;"",G64&lt;&gt;""),(D64-G64)/G64,"")</f>
        <v/>
      </c>
      <c r="L64" s="41">
        <f>IF(AND(D64&lt;&gt;"",H64&lt;&gt;""),(D64-H64)/H64,"")</f>
        <v/>
      </c>
      <c r="M64" s="42">
        <f>IFERROR(RANK(D64,('📊 Исходные данные'!E63,'📊 Исходные данные'!F63,'📊 Исходные данные'!G63,'📊 Исходные данные'!H63,'📊 Исходные данные'!I63,'📊 Исходные данные'!J63,'📊 Исходные данные'!K63)),"")</f>
        <v/>
      </c>
      <c r="N64" s="39">
        <f>IF(M64="","-",IF(M64=1,"Дороже всех",IF(M64=2,"2-й по цене",IF(M64&lt;=4,"Средний","Ниже конкурентов"))))</f>
        <v/>
      </c>
      <c r="O64" s="41">
        <f>IF(AND(C64&gt;0,D64&gt;0),(D64-C64)/C64,"")</f>
        <v/>
      </c>
      <c r="P64" s="41">
        <f>IF(AND(C64&gt;0,D64&gt;0),(D64-C64)/D64,"")</f>
        <v/>
      </c>
      <c r="Q64" s="40">
        <f>IF(AND(C64&gt;0,D64&gt;0),D64-C64,"")</f>
        <v/>
      </c>
      <c r="R64" s="39">
        <f>IF(P64="","-",IF(P64&lt;0.1,"Низкая(&lt;10%)",IF(P64&lt;0.2,"Средняя(10-20%)","Хорошая(&gt;20%)")))</f>
        <v/>
      </c>
      <c r="S64" s="39">
        <f>IF(OR(H64="",C64=""),"-",IF((H64-C64)/H64&lt;0.05,"КРИТИЧНО",IF((H64-C64)/H64&lt;0.15,"УМЕРЕННЫЙ","НИЗКИЙ")))</f>
        <v/>
      </c>
      <c r="T64" s="43" t="n"/>
      <c r="U64" s="40">
        <f>IF(T64&gt;0,T64*D64,"")</f>
        <v/>
      </c>
      <c r="V64" s="40">
        <f>IF(T64&gt;0,T64*Q64,"")</f>
        <v/>
      </c>
      <c r="W64" s="41">
        <f>IF(U64&gt;0,V64/U64,"")</f>
        <v/>
      </c>
      <c r="X64" s="40">
        <f>IF(F64&lt;&gt;"",F64,"")</f>
        <v/>
      </c>
      <c r="Y64" s="41">
        <f>IF(AND(X64&lt;&gt;"",C64&gt;0),(X64-C64)/C64,"")</f>
        <v/>
      </c>
      <c r="Z64" s="41">
        <f>IF(AND(X64&lt;&gt;"",X64&gt;0),(X64-C64)/X64,"")</f>
        <v/>
      </c>
      <c r="AA64" s="40">
        <f>IF(AND(X64&lt;&gt;"",C64&gt;0),X64-C64,"")</f>
        <v/>
      </c>
      <c r="AB64" s="41">
        <f>IF(AND(X64&lt;&gt;"",D64&gt;0),(X64-D64)/D64,"")</f>
        <v/>
      </c>
      <c r="AC64" s="41">
        <f>IF(AND(Z64&lt;&gt;"",P64&lt;&gt;""),(Z64-P64)/ABS(IF(P64=0,1,P64)),"")</f>
        <v/>
      </c>
      <c r="AD64" s="40">
        <f>IF(AND(AA64&lt;&gt;"",Q64&lt;&gt;""),AA64-Q64,"")</f>
        <v/>
      </c>
      <c r="AE64" s="40">
        <f>IF(G64&lt;&gt;"",G64,"")</f>
        <v/>
      </c>
      <c r="AF64" s="41">
        <f>IF(AND(AE64&lt;&gt;"",C64&gt;0),(AE64-C64)/C64,"")</f>
        <v/>
      </c>
      <c r="AG64" s="41">
        <f>IF(AND(AE64&lt;&gt;"",AE64&gt;0),(AE64-C64)/AE64,"")</f>
        <v/>
      </c>
      <c r="AH64" s="40">
        <f>IF(AND(AE64&lt;&gt;"",C64&gt;0),AE64-C64,"")</f>
        <v/>
      </c>
      <c r="AI64" s="41">
        <f>IF(AND(AE64&lt;&gt;"",D64&gt;0),(AE64-D64)/D64,"")</f>
        <v/>
      </c>
      <c r="AJ64" s="41">
        <f>IF(AND(AG64&lt;&gt;"",P64&lt;&gt;""),(AG64-P64)/ABS(IF(P64=0,1,P64)),"")</f>
        <v/>
      </c>
      <c r="AK64" s="40">
        <f>IF(AND(AH64&lt;&gt;"",Q64&lt;&gt;""),AH64-Q64,"")</f>
        <v/>
      </c>
      <c r="AL64" s="40">
        <f>IF(H64&lt;&gt;"",H64,"")</f>
        <v/>
      </c>
      <c r="AM64" s="41">
        <f>IF(AND(AL64&lt;&gt;"",C64&gt;0),(AL64-C64)/C64,"")</f>
        <v/>
      </c>
      <c r="AN64" s="41">
        <f>IF(AND(AL64&lt;&gt;"",AL64&gt;0),(AL64-C64)/AL64,"")</f>
        <v/>
      </c>
      <c r="AO64" s="40">
        <f>IF(AND(AL64&lt;&gt;"",C64&gt;0),AL64-C64,"")</f>
        <v/>
      </c>
      <c r="AP64" s="41">
        <f>IF(AND(AL64&lt;&gt;"",D64&gt;0),(AL64-D64)/D64,"")</f>
        <v/>
      </c>
      <c r="AQ64" s="41">
        <f>IF(AND(AN64&lt;&gt;"",P64&lt;&gt;""),(AN64-P64)/ABS(IF(P64=0,1,P64)),"")</f>
        <v/>
      </c>
      <c r="AR64" s="40">
        <f>IF(AND(AO64&lt;&gt;"",Q64&lt;&gt;""),AO64-Q64,"")</f>
        <v/>
      </c>
      <c r="AS64" s="44" t="n"/>
      <c r="AT64" s="41">
        <f>IF(AND(AS64&gt;0,C64&gt;0),(AS64-C64)/C64,"")</f>
        <v/>
      </c>
      <c r="AU64" s="41">
        <f>IF(AND(AS64&gt;0,AS64&gt;0),(AS64-C64)/AS64,"")</f>
        <v/>
      </c>
      <c r="AV64" s="40">
        <f>IF(AND(AS64&gt;0,C64&gt;0),AS64-C64,"")</f>
        <v/>
      </c>
      <c r="AW64" s="41">
        <f>IF(AND(AS64&gt;0,D64&gt;0),(AS64-D64)/D64,"")</f>
        <v/>
      </c>
      <c r="AX64" s="41">
        <f>IF(AND(AU64&lt;&gt;"",P64&lt;&gt;""),(AU64-P64)/ABS(IF(P64=0,1,P64)),"")</f>
        <v/>
      </c>
      <c r="AY64" s="40">
        <f>IF(AND(AV64&lt;&gt;"",Q64&lt;&gt;""),AV64-Q64,"")</f>
        <v/>
      </c>
      <c r="AZ64" s="45" t="n"/>
      <c r="BA64" s="40">
        <f>IF(AND(AZ64&gt;0,C64&gt;0),C64/(1-AZ64),"")</f>
        <v/>
      </c>
      <c r="BB64" s="41">
        <f>IF(AND(BA64&lt;&gt;"",C64&gt;0),(BA64-C64)/C64,"")</f>
        <v/>
      </c>
      <c r="BC64" s="41">
        <f>IF(BA64&lt;&gt;"",AZ64,"")</f>
        <v/>
      </c>
      <c r="BD64" s="40">
        <f>IF(AND(BA64&lt;&gt;"",C64&gt;0),BA64-C64,"")</f>
        <v/>
      </c>
      <c r="BE64" s="41">
        <f>IF(AND(BA64&lt;&gt;"",D64&gt;0),(BA64-D64)/D64,"")</f>
        <v/>
      </c>
      <c r="BF64" s="41">
        <f>IF(AND(BC64&lt;&gt;"",P64&lt;&gt;""),(BC64-P64)/ABS(IF(P64=0,1,P64)),"")</f>
        <v/>
      </c>
      <c r="BG64" s="40">
        <f>IF(AND(BD64&lt;&gt;"",Q64&lt;&gt;""),BD64-Q64,"")</f>
        <v/>
      </c>
      <c r="BH64" s="40">
        <f>IF(AND(T64&gt;0,X64&lt;&gt;""),T64*X64,"")</f>
        <v/>
      </c>
      <c r="BI64" s="40">
        <f>IF(AND(T64&gt;0,AA64&lt;&gt;""),T64*AA64,"")</f>
        <v/>
      </c>
      <c r="BJ64" s="40">
        <f>IF(AND(T64&gt;0,AE64&lt;&gt;""),T64*AE64,"")</f>
        <v/>
      </c>
      <c r="BK64" s="40">
        <f>IF(AND(T64&gt;0,AH64&lt;&gt;""),T64*AH64,"")</f>
        <v/>
      </c>
      <c r="BL64" s="40">
        <f>IF(AND(T64&gt;0,AL64&lt;&gt;""),T64*AL64,"")</f>
        <v/>
      </c>
      <c r="BM64" s="40">
        <f>IF(AND(T64&gt;0,AO64&lt;&gt;""),T64*AO64,"")</f>
        <v/>
      </c>
      <c r="BN64" s="40">
        <f>IF(AND(T64&gt;0,AS64&gt;0),T64*AS64,"")</f>
        <v/>
      </c>
      <c r="BO64" s="40">
        <f>IF(AND(T64&gt;0,AV64&lt;&gt;""),T64*AV64,"")</f>
        <v/>
      </c>
      <c r="BP64" s="40">
        <f>IF(AND(T64&gt;0,BA64&lt;&gt;""),T64*BA64,"")</f>
        <v/>
      </c>
      <c r="BQ64" s="40">
        <f>IF(AND(T64&gt;0,BD64&lt;&gt;""),T64*BD64,"")</f>
        <v/>
      </c>
      <c r="BR64" s="46">
        <f>IF(AND(T64&gt;0,V64&gt;0,AA64&lt;&gt;0),V64/AA64-T64,"")</f>
        <v/>
      </c>
      <c r="BS64" s="41">
        <f>IF(AND(BR64&lt;&gt;"",T64&gt;0),BR64/T64,"")</f>
        <v/>
      </c>
      <c r="BT64" s="46">
        <f>IF(AND(T64&gt;0,V64&gt;0,AO64&lt;&gt;0),V64/AO64-T64,"")</f>
        <v/>
      </c>
      <c r="BU64" s="41">
        <f>IF(AND(BT64&lt;&gt;"",T64&gt;0),BT64/T64,"")</f>
        <v/>
      </c>
    </row>
    <row r="65">
      <c r="A65" s="36">
        <f>'📊 Исходные данные'!A64</f>
        <v/>
      </c>
      <c r="B65" s="37">
        <f>'📊 Исходные данные'!B64</f>
        <v/>
      </c>
      <c r="C65" s="38">
        <f>'📊 Исходные данные'!C64</f>
        <v/>
      </c>
      <c r="D65" s="38">
        <f>'📊 Исходные данные'!D64</f>
        <v/>
      </c>
      <c r="E65" s="39">
        <f>IF(OR(D65="",F65=""),"-",IF(D65&gt;F65*1.05,"Выше рынка",IF(D65&lt;F65*0.95,"Ниже рынка","На уровне")))</f>
        <v/>
      </c>
      <c r="F65" s="40">
        <f>IFERROR(AVERAGE('📊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G65" s="40">
        <f>IFERROR(MEDIAN('📊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H65" s="40">
        <f>IFERROR(MIN('📊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I65" s="40">
        <f>IFERROR(MAX('📊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данные'!K64),"")</f>
        <v/>
      </c>
      <c r="J65" s="41">
        <f>IF(AND(D65&lt;&gt;"",F65&lt;&gt;""),(D65-F65)/F65,"")</f>
        <v/>
      </c>
      <c r="K65" s="41">
        <f>IF(AND(D65&lt;&gt;"",G65&lt;&gt;""),(D65-G65)/G65,"")</f>
        <v/>
      </c>
      <c r="L65" s="41">
        <f>IF(AND(D65&lt;&gt;"",H65&lt;&gt;""),(D65-H65)/H65,"")</f>
        <v/>
      </c>
      <c r="M65" s="42">
        <f>IFERROR(RANK(D65,('📊 Исходные данные'!E64,'📊 Исходные данные'!F64,'📊 Исходные данные'!G64,'📊 Исходные данные'!H64,'📊 Исходные данные'!I64,'📊 Исходные данные'!J64,'📊 Исходные данные'!K64)),"")</f>
        <v/>
      </c>
      <c r="N65" s="39">
        <f>IF(M65="","-",IF(M65=1,"Дороже всех",IF(M65=2,"2-й по цене",IF(M65&lt;=4,"Средний","Ниже конкурентов"))))</f>
        <v/>
      </c>
      <c r="O65" s="41">
        <f>IF(AND(C65&gt;0,D65&gt;0),(D65-C65)/C65,"")</f>
        <v/>
      </c>
      <c r="P65" s="41">
        <f>IF(AND(C65&gt;0,D65&gt;0),(D65-C65)/D65,"")</f>
        <v/>
      </c>
      <c r="Q65" s="40">
        <f>IF(AND(C65&gt;0,D65&gt;0),D65-C65,"")</f>
        <v/>
      </c>
      <c r="R65" s="39">
        <f>IF(P65="","-",IF(P65&lt;0.1,"Низкая(&lt;10%)",IF(P65&lt;0.2,"Средняя(10-20%)","Хорошая(&gt;20%)")))</f>
        <v/>
      </c>
      <c r="S65" s="39">
        <f>IF(OR(H65="",C65=""),"-",IF((H65-C65)/H65&lt;0.05,"КРИТИЧНО",IF((H65-C65)/H65&lt;0.15,"УМЕРЕННЫЙ","НИЗКИЙ")))</f>
        <v/>
      </c>
      <c r="T65" s="43" t="n"/>
      <c r="U65" s="40">
        <f>IF(T65&gt;0,T65*D65,"")</f>
        <v/>
      </c>
      <c r="V65" s="40">
        <f>IF(T65&gt;0,T65*Q65,"")</f>
        <v/>
      </c>
      <c r="W65" s="41">
        <f>IF(U65&gt;0,V65/U65,"")</f>
        <v/>
      </c>
      <c r="X65" s="40">
        <f>IF(F65&lt;&gt;"",F65,"")</f>
        <v/>
      </c>
      <c r="Y65" s="41">
        <f>IF(AND(X65&lt;&gt;"",C65&gt;0),(X65-C65)/C65,"")</f>
        <v/>
      </c>
      <c r="Z65" s="41">
        <f>IF(AND(X65&lt;&gt;"",X65&gt;0),(X65-C65)/X65,"")</f>
        <v/>
      </c>
      <c r="AA65" s="40">
        <f>IF(AND(X65&lt;&gt;"",C65&gt;0),X65-C65,"")</f>
        <v/>
      </c>
      <c r="AB65" s="41">
        <f>IF(AND(X65&lt;&gt;"",D65&gt;0),(X65-D65)/D65,"")</f>
        <v/>
      </c>
      <c r="AC65" s="41">
        <f>IF(AND(Z65&lt;&gt;"",P65&lt;&gt;""),(Z65-P65)/ABS(IF(P65=0,1,P65)),"")</f>
        <v/>
      </c>
      <c r="AD65" s="40">
        <f>IF(AND(AA65&lt;&gt;"",Q65&lt;&gt;""),AA65-Q65,"")</f>
        <v/>
      </c>
      <c r="AE65" s="40">
        <f>IF(G65&lt;&gt;"",G65,"")</f>
        <v/>
      </c>
      <c r="AF65" s="41">
        <f>IF(AND(AE65&lt;&gt;"",C65&gt;0),(AE65-C65)/C65,"")</f>
        <v/>
      </c>
      <c r="AG65" s="41">
        <f>IF(AND(AE65&lt;&gt;"",AE65&gt;0),(AE65-C65)/AE65,"")</f>
        <v/>
      </c>
      <c r="AH65" s="40">
        <f>IF(AND(AE65&lt;&gt;"",C65&gt;0),AE65-C65,"")</f>
        <v/>
      </c>
      <c r="AI65" s="41">
        <f>IF(AND(AE65&lt;&gt;"",D65&gt;0),(AE65-D65)/D65,"")</f>
        <v/>
      </c>
      <c r="AJ65" s="41">
        <f>IF(AND(AG65&lt;&gt;"",P65&lt;&gt;""),(AG65-P65)/ABS(IF(P65=0,1,P65)),"")</f>
        <v/>
      </c>
      <c r="AK65" s="40">
        <f>IF(AND(AH65&lt;&gt;"",Q65&lt;&gt;""),AH65-Q65,"")</f>
        <v/>
      </c>
      <c r="AL65" s="40">
        <f>IF(H65&lt;&gt;"",H65,"")</f>
        <v/>
      </c>
      <c r="AM65" s="41">
        <f>IF(AND(AL65&lt;&gt;"",C65&gt;0),(AL65-C65)/C65,"")</f>
        <v/>
      </c>
      <c r="AN65" s="41">
        <f>IF(AND(AL65&lt;&gt;"",AL65&gt;0),(AL65-C65)/AL65,"")</f>
        <v/>
      </c>
      <c r="AO65" s="40">
        <f>IF(AND(AL65&lt;&gt;"",C65&gt;0),AL65-C65,"")</f>
        <v/>
      </c>
      <c r="AP65" s="41">
        <f>IF(AND(AL65&lt;&gt;"",D65&gt;0),(AL65-D65)/D65,"")</f>
        <v/>
      </c>
      <c r="AQ65" s="41">
        <f>IF(AND(AN65&lt;&gt;"",P65&lt;&gt;""),(AN65-P65)/ABS(IF(P65=0,1,P65)),"")</f>
        <v/>
      </c>
      <c r="AR65" s="40">
        <f>IF(AND(AO65&lt;&gt;"",Q65&lt;&gt;""),AO65-Q65,"")</f>
        <v/>
      </c>
      <c r="AS65" s="44" t="n"/>
      <c r="AT65" s="41">
        <f>IF(AND(AS65&gt;0,C65&gt;0),(AS65-C65)/C65,"")</f>
        <v/>
      </c>
      <c r="AU65" s="41">
        <f>IF(AND(AS65&gt;0,AS65&gt;0),(AS65-C65)/AS65,"")</f>
        <v/>
      </c>
      <c r="AV65" s="40">
        <f>IF(AND(AS65&gt;0,C65&gt;0),AS65-C65,"")</f>
        <v/>
      </c>
      <c r="AW65" s="41">
        <f>IF(AND(AS65&gt;0,D65&gt;0),(AS65-D65)/D65,"")</f>
        <v/>
      </c>
      <c r="AX65" s="41">
        <f>IF(AND(AU65&lt;&gt;"",P65&lt;&gt;""),(AU65-P65)/ABS(IF(P65=0,1,P65)),"")</f>
        <v/>
      </c>
      <c r="AY65" s="40">
        <f>IF(AND(AV65&lt;&gt;"",Q65&lt;&gt;""),AV65-Q65,"")</f>
        <v/>
      </c>
      <c r="AZ65" s="45" t="n"/>
      <c r="BA65" s="40">
        <f>IF(AND(AZ65&gt;0,C65&gt;0),C65/(1-AZ65),"")</f>
        <v/>
      </c>
      <c r="BB65" s="41">
        <f>IF(AND(BA65&lt;&gt;"",C65&gt;0),(BA65-C65)/C65,"")</f>
        <v/>
      </c>
      <c r="BC65" s="41">
        <f>IF(BA65&lt;&gt;"",AZ65,"")</f>
        <v/>
      </c>
      <c r="BD65" s="40">
        <f>IF(AND(BA65&lt;&gt;"",C65&gt;0),BA65-C65,"")</f>
        <v/>
      </c>
      <c r="BE65" s="41">
        <f>IF(AND(BA65&lt;&gt;"",D65&gt;0),(BA65-D65)/D65,"")</f>
        <v/>
      </c>
      <c r="BF65" s="41">
        <f>IF(AND(BC65&lt;&gt;"",P65&lt;&gt;""),(BC65-P65)/ABS(IF(P65=0,1,P65)),"")</f>
        <v/>
      </c>
      <c r="BG65" s="40">
        <f>IF(AND(BD65&lt;&gt;"",Q65&lt;&gt;""),BD65-Q65,"")</f>
        <v/>
      </c>
      <c r="BH65" s="40">
        <f>IF(AND(T65&gt;0,X65&lt;&gt;""),T65*X65,"")</f>
        <v/>
      </c>
      <c r="BI65" s="40">
        <f>IF(AND(T65&gt;0,AA65&lt;&gt;""),T65*AA65,"")</f>
        <v/>
      </c>
      <c r="BJ65" s="40">
        <f>IF(AND(T65&gt;0,AE65&lt;&gt;""),T65*AE65,"")</f>
        <v/>
      </c>
      <c r="BK65" s="40">
        <f>IF(AND(T65&gt;0,AH65&lt;&gt;""),T65*AH65,"")</f>
        <v/>
      </c>
      <c r="BL65" s="40">
        <f>IF(AND(T65&gt;0,AL65&lt;&gt;""),T65*AL65,"")</f>
        <v/>
      </c>
      <c r="BM65" s="40">
        <f>IF(AND(T65&gt;0,AO65&lt;&gt;""),T65*AO65,"")</f>
        <v/>
      </c>
      <c r="BN65" s="40">
        <f>IF(AND(T65&gt;0,AS65&gt;0),T65*AS65,"")</f>
        <v/>
      </c>
      <c r="BO65" s="40">
        <f>IF(AND(T65&gt;0,AV65&lt;&gt;""),T65*AV65,"")</f>
        <v/>
      </c>
      <c r="BP65" s="40">
        <f>IF(AND(T65&gt;0,BA65&lt;&gt;""),T65*BA65,"")</f>
        <v/>
      </c>
      <c r="BQ65" s="40">
        <f>IF(AND(T65&gt;0,BD65&lt;&gt;""),T65*BD65,"")</f>
        <v/>
      </c>
      <c r="BR65" s="46">
        <f>IF(AND(T65&gt;0,V65&gt;0,AA65&lt;&gt;0),V65/AA65-T65,"")</f>
        <v/>
      </c>
      <c r="BS65" s="41">
        <f>IF(AND(BR65&lt;&gt;"",T65&gt;0),BR65/T65,"")</f>
        <v/>
      </c>
      <c r="BT65" s="46">
        <f>IF(AND(T65&gt;0,V65&gt;0,AO65&lt;&gt;0),V65/AO65-T65,"")</f>
        <v/>
      </c>
      <c r="BU65" s="41">
        <f>IF(AND(BT65&lt;&gt;"",T65&gt;0),BT65/T65,"")</f>
        <v/>
      </c>
    </row>
    <row r="66">
      <c r="A66" s="36">
        <f>'📊 Исходные данные'!A65</f>
        <v/>
      </c>
      <c r="B66" s="37">
        <f>'📊 Исходные данные'!B65</f>
        <v/>
      </c>
      <c r="C66" s="38">
        <f>'📊 Исходные данные'!C65</f>
        <v/>
      </c>
      <c r="D66" s="38">
        <f>'📊 Исходные данные'!D65</f>
        <v/>
      </c>
      <c r="E66" s="39">
        <f>IF(OR(D66="",F66=""),"-",IF(D66&gt;F66*1.05,"Выше рынка",IF(D66&lt;F66*0.95,"Ниже рынка","На уровне")))</f>
        <v/>
      </c>
      <c r="F66" s="40">
        <f>IFERROR(AVERAGE('📊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G66" s="40">
        <f>IFERROR(MEDIAN('📊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H66" s="40">
        <f>IFERROR(MIN('📊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I66" s="40">
        <f>IFERROR(MAX('📊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данные'!K65),"")</f>
        <v/>
      </c>
      <c r="J66" s="41">
        <f>IF(AND(D66&lt;&gt;"",F66&lt;&gt;""),(D66-F66)/F66,"")</f>
        <v/>
      </c>
      <c r="K66" s="41">
        <f>IF(AND(D66&lt;&gt;"",G66&lt;&gt;""),(D66-G66)/G66,"")</f>
        <v/>
      </c>
      <c r="L66" s="41">
        <f>IF(AND(D66&lt;&gt;"",H66&lt;&gt;""),(D66-H66)/H66,"")</f>
        <v/>
      </c>
      <c r="M66" s="42">
        <f>IFERROR(RANK(D66,('📊 Исходные данные'!E65,'📊 Исходные данные'!F65,'📊 Исходные данные'!G65,'📊 Исходные данные'!H65,'📊 Исходные данные'!I65,'📊 Исходные данные'!J65,'📊 Исходные данные'!K65)),"")</f>
        <v/>
      </c>
      <c r="N66" s="39">
        <f>IF(M66="","-",IF(M66=1,"Дороже всех",IF(M66=2,"2-й по цене",IF(M66&lt;=4,"Средний","Ниже конкурентов"))))</f>
        <v/>
      </c>
      <c r="O66" s="41">
        <f>IF(AND(C66&gt;0,D66&gt;0),(D66-C66)/C66,"")</f>
        <v/>
      </c>
      <c r="P66" s="41">
        <f>IF(AND(C66&gt;0,D66&gt;0),(D66-C66)/D66,"")</f>
        <v/>
      </c>
      <c r="Q66" s="40">
        <f>IF(AND(C66&gt;0,D66&gt;0),D66-C66,"")</f>
        <v/>
      </c>
      <c r="R66" s="39">
        <f>IF(P66="","-",IF(P66&lt;0.1,"Низкая(&lt;10%)",IF(P66&lt;0.2,"Средняя(10-20%)","Хорошая(&gt;20%)")))</f>
        <v/>
      </c>
      <c r="S66" s="39">
        <f>IF(OR(H66="",C66=""),"-",IF((H66-C66)/H66&lt;0.05,"КРИТИЧНО",IF((H66-C66)/H66&lt;0.15,"УМЕРЕННЫЙ","НИЗКИЙ")))</f>
        <v/>
      </c>
      <c r="T66" s="43" t="n"/>
      <c r="U66" s="40">
        <f>IF(T66&gt;0,T66*D66,"")</f>
        <v/>
      </c>
      <c r="V66" s="40">
        <f>IF(T66&gt;0,T66*Q66,"")</f>
        <v/>
      </c>
      <c r="W66" s="41">
        <f>IF(U66&gt;0,V66/U66,"")</f>
        <v/>
      </c>
      <c r="X66" s="40">
        <f>IF(F66&lt;&gt;"",F66,"")</f>
        <v/>
      </c>
      <c r="Y66" s="41">
        <f>IF(AND(X66&lt;&gt;"",C66&gt;0),(X66-C66)/C66,"")</f>
        <v/>
      </c>
      <c r="Z66" s="41">
        <f>IF(AND(X66&lt;&gt;"",X66&gt;0),(X66-C66)/X66,"")</f>
        <v/>
      </c>
      <c r="AA66" s="40">
        <f>IF(AND(X66&lt;&gt;"",C66&gt;0),X66-C66,"")</f>
        <v/>
      </c>
      <c r="AB66" s="41">
        <f>IF(AND(X66&lt;&gt;"",D66&gt;0),(X66-D66)/D66,"")</f>
        <v/>
      </c>
      <c r="AC66" s="41">
        <f>IF(AND(Z66&lt;&gt;"",P66&lt;&gt;""),(Z66-P66)/ABS(IF(P66=0,1,P66)),"")</f>
        <v/>
      </c>
      <c r="AD66" s="40">
        <f>IF(AND(AA66&lt;&gt;"",Q66&lt;&gt;""),AA66-Q66,"")</f>
        <v/>
      </c>
      <c r="AE66" s="40">
        <f>IF(G66&lt;&gt;"",G66,"")</f>
        <v/>
      </c>
      <c r="AF66" s="41">
        <f>IF(AND(AE66&lt;&gt;"",C66&gt;0),(AE66-C66)/C66,"")</f>
        <v/>
      </c>
      <c r="AG66" s="41">
        <f>IF(AND(AE66&lt;&gt;"",AE66&gt;0),(AE66-C66)/AE66,"")</f>
        <v/>
      </c>
      <c r="AH66" s="40">
        <f>IF(AND(AE66&lt;&gt;"",C66&gt;0),AE66-C66,"")</f>
        <v/>
      </c>
      <c r="AI66" s="41">
        <f>IF(AND(AE66&lt;&gt;"",D66&gt;0),(AE66-D66)/D66,"")</f>
        <v/>
      </c>
      <c r="AJ66" s="41">
        <f>IF(AND(AG66&lt;&gt;"",P66&lt;&gt;""),(AG66-P66)/ABS(IF(P66=0,1,P66)),"")</f>
        <v/>
      </c>
      <c r="AK66" s="40">
        <f>IF(AND(AH66&lt;&gt;"",Q66&lt;&gt;""),AH66-Q66,"")</f>
        <v/>
      </c>
      <c r="AL66" s="40">
        <f>IF(H66&lt;&gt;"",H66,"")</f>
        <v/>
      </c>
      <c r="AM66" s="41">
        <f>IF(AND(AL66&lt;&gt;"",C66&gt;0),(AL66-C66)/C66,"")</f>
        <v/>
      </c>
      <c r="AN66" s="41">
        <f>IF(AND(AL66&lt;&gt;"",AL66&gt;0),(AL66-C66)/AL66,"")</f>
        <v/>
      </c>
      <c r="AO66" s="40">
        <f>IF(AND(AL66&lt;&gt;"",C66&gt;0),AL66-C66,"")</f>
        <v/>
      </c>
      <c r="AP66" s="41">
        <f>IF(AND(AL66&lt;&gt;"",D66&gt;0),(AL66-D66)/D66,"")</f>
        <v/>
      </c>
      <c r="AQ66" s="41">
        <f>IF(AND(AN66&lt;&gt;"",P66&lt;&gt;""),(AN66-P66)/ABS(IF(P66=0,1,P66)),"")</f>
        <v/>
      </c>
      <c r="AR66" s="40">
        <f>IF(AND(AO66&lt;&gt;"",Q66&lt;&gt;""),AO66-Q66,"")</f>
        <v/>
      </c>
      <c r="AS66" s="44" t="n"/>
      <c r="AT66" s="41">
        <f>IF(AND(AS66&gt;0,C66&gt;0),(AS66-C66)/C66,"")</f>
        <v/>
      </c>
      <c r="AU66" s="41">
        <f>IF(AND(AS66&gt;0,AS66&gt;0),(AS66-C66)/AS66,"")</f>
        <v/>
      </c>
      <c r="AV66" s="40">
        <f>IF(AND(AS66&gt;0,C66&gt;0),AS66-C66,"")</f>
        <v/>
      </c>
      <c r="AW66" s="41">
        <f>IF(AND(AS66&gt;0,D66&gt;0),(AS66-D66)/D66,"")</f>
        <v/>
      </c>
      <c r="AX66" s="41">
        <f>IF(AND(AU66&lt;&gt;"",P66&lt;&gt;""),(AU66-P66)/ABS(IF(P66=0,1,P66)),"")</f>
        <v/>
      </c>
      <c r="AY66" s="40">
        <f>IF(AND(AV66&lt;&gt;"",Q66&lt;&gt;""),AV66-Q66,"")</f>
        <v/>
      </c>
      <c r="AZ66" s="45" t="n"/>
      <c r="BA66" s="40">
        <f>IF(AND(AZ66&gt;0,C66&gt;0),C66/(1-AZ66),"")</f>
        <v/>
      </c>
      <c r="BB66" s="41">
        <f>IF(AND(BA66&lt;&gt;"",C66&gt;0),(BA66-C66)/C66,"")</f>
        <v/>
      </c>
      <c r="BC66" s="41">
        <f>IF(BA66&lt;&gt;"",AZ66,"")</f>
        <v/>
      </c>
      <c r="BD66" s="40">
        <f>IF(AND(BA66&lt;&gt;"",C66&gt;0),BA66-C66,"")</f>
        <v/>
      </c>
      <c r="BE66" s="41">
        <f>IF(AND(BA66&lt;&gt;"",D66&gt;0),(BA66-D66)/D66,"")</f>
        <v/>
      </c>
      <c r="BF66" s="41">
        <f>IF(AND(BC66&lt;&gt;"",P66&lt;&gt;""),(BC66-P66)/ABS(IF(P66=0,1,P66)),"")</f>
        <v/>
      </c>
      <c r="BG66" s="40">
        <f>IF(AND(BD66&lt;&gt;"",Q66&lt;&gt;""),BD66-Q66,"")</f>
        <v/>
      </c>
      <c r="BH66" s="40">
        <f>IF(AND(T66&gt;0,X66&lt;&gt;""),T66*X66,"")</f>
        <v/>
      </c>
      <c r="BI66" s="40">
        <f>IF(AND(T66&gt;0,AA66&lt;&gt;""),T66*AA66,"")</f>
        <v/>
      </c>
      <c r="BJ66" s="40">
        <f>IF(AND(T66&gt;0,AE66&lt;&gt;""),T66*AE66,"")</f>
        <v/>
      </c>
      <c r="BK66" s="40">
        <f>IF(AND(T66&gt;0,AH66&lt;&gt;""),T66*AH66,"")</f>
        <v/>
      </c>
      <c r="BL66" s="40">
        <f>IF(AND(T66&gt;0,AL66&lt;&gt;""),T66*AL66,"")</f>
        <v/>
      </c>
      <c r="BM66" s="40">
        <f>IF(AND(T66&gt;0,AO66&lt;&gt;""),T66*AO66,"")</f>
        <v/>
      </c>
      <c r="BN66" s="40">
        <f>IF(AND(T66&gt;0,AS66&gt;0),T66*AS66,"")</f>
        <v/>
      </c>
      <c r="BO66" s="40">
        <f>IF(AND(T66&gt;0,AV66&lt;&gt;""),T66*AV66,"")</f>
        <v/>
      </c>
      <c r="BP66" s="40">
        <f>IF(AND(T66&gt;0,BA66&lt;&gt;""),T66*BA66,"")</f>
        <v/>
      </c>
      <c r="BQ66" s="40">
        <f>IF(AND(T66&gt;0,BD66&lt;&gt;""),T66*BD66,"")</f>
        <v/>
      </c>
      <c r="BR66" s="46">
        <f>IF(AND(T66&gt;0,V66&gt;0,AA66&lt;&gt;0),V66/AA66-T66,"")</f>
        <v/>
      </c>
      <c r="BS66" s="41">
        <f>IF(AND(BR66&lt;&gt;"",T66&gt;0),BR66/T66,"")</f>
        <v/>
      </c>
      <c r="BT66" s="46">
        <f>IF(AND(T66&gt;0,V66&gt;0,AO66&lt;&gt;0),V66/AO66-T66,"")</f>
        <v/>
      </c>
      <c r="BU66" s="41">
        <f>IF(AND(BT66&lt;&gt;"",T66&gt;0),BT66/T66,"")</f>
        <v/>
      </c>
    </row>
    <row r="67">
      <c r="A67" s="36">
        <f>'📊 Исходные данные'!A66</f>
        <v/>
      </c>
      <c r="B67" s="37">
        <f>'📊 Исходные данные'!B66</f>
        <v/>
      </c>
      <c r="C67" s="38">
        <f>'📊 Исходные данные'!C66</f>
        <v/>
      </c>
      <c r="D67" s="38">
        <f>'📊 Исходные данные'!D66</f>
        <v/>
      </c>
      <c r="E67" s="39">
        <f>IF(OR(D67="",F67=""),"-",IF(D67&gt;F67*1.05,"Выше рынка",IF(D67&lt;F67*0.95,"Ниже рынка","На уровне")))</f>
        <v/>
      </c>
      <c r="F67" s="40">
        <f>IFERROR(AVERAGE('📊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G67" s="40">
        <f>IFERROR(MEDIAN('📊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H67" s="40">
        <f>IFERROR(MIN('📊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I67" s="40">
        <f>IFERROR(MAX('📊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данные'!K66),"")</f>
        <v/>
      </c>
      <c r="J67" s="41">
        <f>IF(AND(D67&lt;&gt;"",F67&lt;&gt;""),(D67-F67)/F67,"")</f>
        <v/>
      </c>
      <c r="K67" s="41">
        <f>IF(AND(D67&lt;&gt;"",G67&lt;&gt;""),(D67-G67)/G67,"")</f>
        <v/>
      </c>
      <c r="L67" s="41">
        <f>IF(AND(D67&lt;&gt;"",H67&lt;&gt;""),(D67-H67)/H67,"")</f>
        <v/>
      </c>
      <c r="M67" s="42">
        <f>IFERROR(RANK(D67,('📊 Исходные данные'!E66,'📊 Исходные данные'!F66,'📊 Исходные данные'!G66,'📊 Исходные данные'!H66,'📊 Исходные данные'!I66,'📊 Исходные данные'!J66,'📊 Исходные данные'!K66)),"")</f>
        <v/>
      </c>
      <c r="N67" s="39">
        <f>IF(M67="","-",IF(M67=1,"Дороже всех",IF(M67=2,"2-й по цене",IF(M67&lt;=4,"Средний","Ниже конкурентов"))))</f>
        <v/>
      </c>
      <c r="O67" s="41">
        <f>IF(AND(C67&gt;0,D67&gt;0),(D67-C67)/C67,"")</f>
        <v/>
      </c>
      <c r="P67" s="41">
        <f>IF(AND(C67&gt;0,D67&gt;0),(D67-C67)/D67,"")</f>
        <v/>
      </c>
      <c r="Q67" s="40">
        <f>IF(AND(C67&gt;0,D67&gt;0),D67-C67,"")</f>
        <v/>
      </c>
      <c r="R67" s="39">
        <f>IF(P67="","-",IF(P67&lt;0.1,"Низкая(&lt;10%)",IF(P67&lt;0.2,"Средняя(10-20%)","Хорошая(&gt;20%)")))</f>
        <v/>
      </c>
      <c r="S67" s="39">
        <f>IF(OR(H67="",C67=""),"-",IF((H67-C67)/H67&lt;0.05,"КРИТИЧНО",IF((H67-C67)/H67&lt;0.15,"УМЕРЕННЫЙ","НИЗКИЙ")))</f>
        <v/>
      </c>
      <c r="T67" s="43" t="n"/>
      <c r="U67" s="40">
        <f>IF(T67&gt;0,T67*D67,"")</f>
        <v/>
      </c>
      <c r="V67" s="40">
        <f>IF(T67&gt;0,T67*Q67,"")</f>
        <v/>
      </c>
      <c r="W67" s="41">
        <f>IF(U67&gt;0,V67/U67,"")</f>
        <v/>
      </c>
      <c r="X67" s="40">
        <f>IF(F67&lt;&gt;"",F67,"")</f>
        <v/>
      </c>
      <c r="Y67" s="41">
        <f>IF(AND(X67&lt;&gt;"",C67&gt;0),(X67-C67)/C67,"")</f>
        <v/>
      </c>
      <c r="Z67" s="41">
        <f>IF(AND(X67&lt;&gt;"",X67&gt;0),(X67-C67)/X67,"")</f>
        <v/>
      </c>
      <c r="AA67" s="40">
        <f>IF(AND(X67&lt;&gt;"",C67&gt;0),X67-C67,"")</f>
        <v/>
      </c>
      <c r="AB67" s="41">
        <f>IF(AND(X67&lt;&gt;"",D67&gt;0),(X67-D67)/D67,"")</f>
        <v/>
      </c>
      <c r="AC67" s="41">
        <f>IF(AND(Z67&lt;&gt;"",P67&lt;&gt;""),(Z67-P67)/ABS(IF(P67=0,1,P67)),"")</f>
        <v/>
      </c>
      <c r="AD67" s="40">
        <f>IF(AND(AA67&lt;&gt;"",Q67&lt;&gt;""),AA67-Q67,"")</f>
        <v/>
      </c>
      <c r="AE67" s="40">
        <f>IF(G67&lt;&gt;"",G67,"")</f>
        <v/>
      </c>
      <c r="AF67" s="41">
        <f>IF(AND(AE67&lt;&gt;"",C67&gt;0),(AE67-C67)/C67,"")</f>
        <v/>
      </c>
      <c r="AG67" s="41">
        <f>IF(AND(AE67&lt;&gt;"",AE67&gt;0),(AE67-C67)/AE67,"")</f>
        <v/>
      </c>
      <c r="AH67" s="40">
        <f>IF(AND(AE67&lt;&gt;"",C67&gt;0),AE67-C67,"")</f>
        <v/>
      </c>
      <c r="AI67" s="41">
        <f>IF(AND(AE67&lt;&gt;"",D67&gt;0),(AE67-D67)/D67,"")</f>
        <v/>
      </c>
      <c r="AJ67" s="41">
        <f>IF(AND(AG67&lt;&gt;"",P67&lt;&gt;""),(AG67-P67)/ABS(IF(P67=0,1,P67)),"")</f>
        <v/>
      </c>
      <c r="AK67" s="40">
        <f>IF(AND(AH67&lt;&gt;"",Q67&lt;&gt;""),AH67-Q67,"")</f>
        <v/>
      </c>
      <c r="AL67" s="40">
        <f>IF(H67&lt;&gt;"",H67,"")</f>
        <v/>
      </c>
      <c r="AM67" s="41">
        <f>IF(AND(AL67&lt;&gt;"",C67&gt;0),(AL67-C67)/C67,"")</f>
        <v/>
      </c>
      <c r="AN67" s="41">
        <f>IF(AND(AL67&lt;&gt;"",AL67&gt;0),(AL67-C67)/AL67,"")</f>
        <v/>
      </c>
      <c r="AO67" s="40">
        <f>IF(AND(AL67&lt;&gt;"",C67&gt;0),AL67-C67,"")</f>
        <v/>
      </c>
      <c r="AP67" s="41">
        <f>IF(AND(AL67&lt;&gt;"",D67&gt;0),(AL67-D67)/D67,"")</f>
        <v/>
      </c>
      <c r="AQ67" s="41">
        <f>IF(AND(AN67&lt;&gt;"",P67&lt;&gt;""),(AN67-P67)/ABS(IF(P67=0,1,P67)),"")</f>
        <v/>
      </c>
      <c r="AR67" s="40">
        <f>IF(AND(AO67&lt;&gt;"",Q67&lt;&gt;""),AO67-Q67,"")</f>
        <v/>
      </c>
      <c r="AS67" s="44" t="n"/>
      <c r="AT67" s="41">
        <f>IF(AND(AS67&gt;0,C67&gt;0),(AS67-C67)/C67,"")</f>
        <v/>
      </c>
      <c r="AU67" s="41">
        <f>IF(AND(AS67&gt;0,AS67&gt;0),(AS67-C67)/AS67,"")</f>
        <v/>
      </c>
      <c r="AV67" s="40">
        <f>IF(AND(AS67&gt;0,C67&gt;0),AS67-C67,"")</f>
        <v/>
      </c>
      <c r="AW67" s="41">
        <f>IF(AND(AS67&gt;0,D67&gt;0),(AS67-D67)/D67,"")</f>
        <v/>
      </c>
      <c r="AX67" s="41">
        <f>IF(AND(AU67&lt;&gt;"",P67&lt;&gt;""),(AU67-P67)/ABS(IF(P67=0,1,P67)),"")</f>
        <v/>
      </c>
      <c r="AY67" s="40">
        <f>IF(AND(AV67&lt;&gt;"",Q67&lt;&gt;""),AV67-Q67,"")</f>
        <v/>
      </c>
      <c r="AZ67" s="45" t="n"/>
      <c r="BA67" s="40">
        <f>IF(AND(AZ67&gt;0,C67&gt;0),C67/(1-AZ67),"")</f>
        <v/>
      </c>
      <c r="BB67" s="41">
        <f>IF(AND(BA67&lt;&gt;"",C67&gt;0),(BA67-C67)/C67,"")</f>
        <v/>
      </c>
      <c r="BC67" s="41">
        <f>IF(BA67&lt;&gt;"",AZ67,"")</f>
        <v/>
      </c>
      <c r="BD67" s="40">
        <f>IF(AND(BA67&lt;&gt;"",C67&gt;0),BA67-C67,"")</f>
        <v/>
      </c>
      <c r="BE67" s="41">
        <f>IF(AND(BA67&lt;&gt;"",D67&gt;0),(BA67-D67)/D67,"")</f>
        <v/>
      </c>
      <c r="BF67" s="41">
        <f>IF(AND(BC67&lt;&gt;"",P67&lt;&gt;""),(BC67-P67)/ABS(IF(P67=0,1,P67)),"")</f>
        <v/>
      </c>
      <c r="BG67" s="40">
        <f>IF(AND(BD67&lt;&gt;"",Q67&lt;&gt;""),BD67-Q67,"")</f>
        <v/>
      </c>
      <c r="BH67" s="40">
        <f>IF(AND(T67&gt;0,X67&lt;&gt;""),T67*X67,"")</f>
        <v/>
      </c>
      <c r="BI67" s="40">
        <f>IF(AND(T67&gt;0,AA67&lt;&gt;""),T67*AA67,"")</f>
        <v/>
      </c>
      <c r="BJ67" s="40">
        <f>IF(AND(T67&gt;0,AE67&lt;&gt;""),T67*AE67,"")</f>
        <v/>
      </c>
      <c r="BK67" s="40">
        <f>IF(AND(T67&gt;0,AH67&lt;&gt;""),T67*AH67,"")</f>
        <v/>
      </c>
      <c r="BL67" s="40">
        <f>IF(AND(T67&gt;0,AL67&lt;&gt;""),T67*AL67,"")</f>
        <v/>
      </c>
      <c r="BM67" s="40">
        <f>IF(AND(T67&gt;0,AO67&lt;&gt;""),T67*AO67,"")</f>
        <v/>
      </c>
      <c r="BN67" s="40">
        <f>IF(AND(T67&gt;0,AS67&gt;0),T67*AS67,"")</f>
        <v/>
      </c>
      <c r="BO67" s="40">
        <f>IF(AND(T67&gt;0,AV67&lt;&gt;""),T67*AV67,"")</f>
        <v/>
      </c>
      <c r="BP67" s="40">
        <f>IF(AND(T67&gt;0,BA67&lt;&gt;""),T67*BA67,"")</f>
        <v/>
      </c>
      <c r="BQ67" s="40">
        <f>IF(AND(T67&gt;0,BD67&lt;&gt;""),T67*BD67,"")</f>
        <v/>
      </c>
      <c r="BR67" s="46">
        <f>IF(AND(T67&gt;0,V67&gt;0,AA67&lt;&gt;0),V67/AA67-T67,"")</f>
        <v/>
      </c>
      <c r="BS67" s="41">
        <f>IF(AND(BR67&lt;&gt;"",T67&gt;0),BR67/T67,"")</f>
        <v/>
      </c>
      <c r="BT67" s="46">
        <f>IF(AND(T67&gt;0,V67&gt;0,AO67&lt;&gt;0),V67/AO67-T67,"")</f>
        <v/>
      </c>
      <c r="BU67" s="41">
        <f>IF(AND(BT67&lt;&gt;"",T67&gt;0),BT67/T67,"")</f>
        <v/>
      </c>
    </row>
    <row r="68">
      <c r="A68" s="36">
        <f>'📊 Исходные данные'!A67</f>
        <v/>
      </c>
      <c r="B68" s="37">
        <f>'📊 Исходные данные'!B67</f>
        <v/>
      </c>
      <c r="C68" s="38">
        <f>'📊 Исходные данные'!C67</f>
        <v/>
      </c>
      <c r="D68" s="38">
        <f>'📊 Исходные данные'!D67</f>
        <v/>
      </c>
      <c r="E68" s="39">
        <f>IF(OR(D68="",F68=""),"-",IF(D68&gt;F68*1.05,"Выше рынка",IF(D68&lt;F68*0.95,"Ниже рынка","На уровне")))</f>
        <v/>
      </c>
      <c r="F68" s="40">
        <f>IFERROR(AVERAGE('📊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G68" s="40">
        <f>IFERROR(MEDIAN('📊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H68" s="40">
        <f>IFERROR(MIN('📊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I68" s="40">
        <f>IFERROR(MAX('📊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данные'!K67),"")</f>
        <v/>
      </c>
      <c r="J68" s="41">
        <f>IF(AND(D68&lt;&gt;"",F68&lt;&gt;""),(D68-F68)/F68,"")</f>
        <v/>
      </c>
      <c r="K68" s="41">
        <f>IF(AND(D68&lt;&gt;"",G68&lt;&gt;""),(D68-G68)/G68,"")</f>
        <v/>
      </c>
      <c r="L68" s="41">
        <f>IF(AND(D68&lt;&gt;"",H68&lt;&gt;""),(D68-H68)/H68,"")</f>
        <v/>
      </c>
      <c r="M68" s="42">
        <f>IFERROR(RANK(D68,('📊 Исходные данные'!E67,'📊 Исходные данные'!F67,'📊 Исходные данные'!G67,'📊 Исходные данные'!H67,'📊 Исходные данные'!I67,'📊 Исходные данные'!J67,'📊 Исходные данные'!K67)),"")</f>
        <v/>
      </c>
      <c r="N68" s="39">
        <f>IF(M68="","-",IF(M68=1,"Дороже всех",IF(M68=2,"2-й по цене",IF(M68&lt;=4,"Средний","Ниже конкурентов"))))</f>
        <v/>
      </c>
      <c r="O68" s="41">
        <f>IF(AND(C68&gt;0,D68&gt;0),(D68-C68)/C68,"")</f>
        <v/>
      </c>
      <c r="P68" s="41">
        <f>IF(AND(C68&gt;0,D68&gt;0),(D68-C68)/D68,"")</f>
        <v/>
      </c>
      <c r="Q68" s="40">
        <f>IF(AND(C68&gt;0,D68&gt;0),D68-C68,"")</f>
        <v/>
      </c>
      <c r="R68" s="39">
        <f>IF(P68="","-",IF(P68&lt;0.1,"Низкая(&lt;10%)",IF(P68&lt;0.2,"Средняя(10-20%)","Хорошая(&gt;20%)")))</f>
        <v/>
      </c>
      <c r="S68" s="39">
        <f>IF(OR(H68="",C68=""),"-",IF((H68-C68)/H68&lt;0.05,"КРИТИЧНО",IF((H68-C68)/H68&lt;0.15,"УМЕРЕННЫЙ","НИЗКИЙ")))</f>
        <v/>
      </c>
      <c r="T68" s="43" t="n"/>
      <c r="U68" s="40">
        <f>IF(T68&gt;0,T68*D68,"")</f>
        <v/>
      </c>
      <c r="V68" s="40">
        <f>IF(T68&gt;0,T68*Q68,"")</f>
        <v/>
      </c>
      <c r="W68" s="41">
        <f>IF(U68&gt;0,V68/U68,"")</f>
        <v/>
      </c>
      <c r="X68" s="40">
        <f>IF(F68&lt;&gt;"",F68,"")</f>
        <v/>
      </c>
      <c r="Y68" s="41">
        <f>IF(AND(X68&lt;&gt;"",C68&gt;0),(X68-C68)/C68,"")</f>
        <v/>
      </c>
      <c r="Z68" s="41">
        <f>IF(AND(X68&lt;&gt;"",X68&gt;0),(X68-C68)/X68,"")</f>
        <v/>
      </c>
      <c r="AA68" s="40">
        <f>IF(AND(X68&lt;&gt;"",C68&gt;0),X68-C68,"")</f>
        <v/>
      </c>
      <c r="AB68" s="41">
        <f>IF(AND(X68&lt;&gt;"",D68&gt;0),(X68-D68)/D68,"")</f>
        <v/>
      </c>
      <c r="AC68" s="41">
        <f>IF(AND(Z68&lt;&gt;"",P68&lt;&gt;""),(Z68-P68)/ABS(IF(P68=0,1,P68)),"")</f>
        <v/>
      </c>
      <c r="AD68" s="40">
        <f>IF(AND(AA68&lt;&gt;"",Q68&lt;&gt;""),AA68-Q68,"")</f>
        <v/>
      </c>
      <c r="AE68" s="40">
        <f>IF(G68&lt;&gt;"",G68,"")</f>
        <v/>
      </c>
      <c r="AF68" s="41">
        <f>IF(AND(AE68&lt;&gt;"",C68&gt;0),(AE68-C68)/C68,"")</f>
        <v/>
      </c>
      <c r="AG68" s="41">
        <f>IF(AND(AE68&lt;&gt;"",AE68&gt;0),(AE68-C68)/AE68,"")</f>
        <v/>
      </c>
      <c r="AH68" s="40">
        <f>IF(AND(AE68&lt;&gt;"",C68&gt;0),AE68-C68,"")</f>
        <v/>
      </c>
      <c r="AI68" s="41">
        <f>IF(AND(AE68&lt;&gt;"",D68&gt;0),(AE68-D68)/D68,"")</f>
        <v/>
      </c>
      <c r="AJ68" s="41">
        <f>IF(AND(AG68&lt;&gt;"",P68&lt;&gt;""),(AG68-P68)/ABS(IF(P68=0,1,P68)),"")</f>
        <v/>
      </c>
      <c r="AK68" s="40">
        <f>IF(AND(AH68&lt;&gt;"",Q68&lt;&gt;""),AH68-Q68,"")</f>
        <v/>
      </c>
      <c r="AL68" s="40">
        <f>IF(H68&lt;&gt;"",H68,"")</f>
        <v/>
      </c>
      <c r="AM68" s="41">
        <f>IF(AND(AL68&lt;&gt;"",C68&gt;0),(AL68-C68)/C68,"")</f>
        <v/>
      </c>
      <c r="AN68" s="41">
        <f>IF(AND(AL68&lt;&gt;"",AL68&gt;0),(AL68-C68)/AL68,"")</f>
        <v/>
      </c>
      <c r="AO68" s="40">
        <f>IF(AND(AL68&lt;&gt;"",C68&gt;0),AL68-C68,"")</f>
        <v/>
      </c>
      <c r="AP68" s="41">
        <f>IF(AND(AL68&lt;&gt;"",D68&gt;0),(AL68-D68)/D68,"")</f>
        <v/>
      </c>
      <c r="AQ68" s="41">
        <f>IF(AND(AN68&lt;&gt;"",P68&lt;&gt;""),(AN68-P68)/ABS(IF(P68=0,1,P68)),"")</f>
        <v/>
      </c>
      <c r="AR68" s="40">
        <f>IF(AND(AO68&lt;&gt;"",Q68&lt;&gt;""),AO68-Q68,"")</f>
        <v/>
      </c>
      <c r="AS68" s="44" t="n"/>
      <c r="AT68" s="41">
        <f>IF(AND(AS68&gt;0,C68&gt;0),(AS68-C68)/C68,"")</f>
        <v/>
      </c>
      <c r="AU68" s="41">
        <f>IF(AND(AS68&gt;0,AS68&gt;0),(AS68-C68)/AS68,"")</f>
        <v/>
      </c>
      <c r="AV68" s="40">
        <f>IF(AND(AS68&gt;0,C68&gt;0),AS68-C68,"")</f>
        <v/>
      </c>
      <c r="AW68" s="41">
        <f>IF(AND(AS68&gt;0,D68&gt;0),(AS68-D68)/D68,"")</f>
        <v/>
      </c>
      <c r="AX68" s="41">
        <f>IF(AND(AU68&lt;&gt;"",P68&lt;&gt;""),(AU68-P68)/ABS(IF(P68=0,1,P68)),"")</f>
        <v/>
      </c>
      <c r="AY68" s="40">
        <f>IF(AND(AV68&lt;&gt;"",Q68&lt;&gt;""),AV68-Q68,"")</f>
        <v/>
      </c>
      <c r="AZ68" s="45" t="n"/>
      <c r="BA68" s="40">
        <f>IF(AND(AZ68&gt;0,C68&gt;0),C68/(1-AZ68),"")</f>
        <v/>
      </c>
      <c r="BB68" s="41">
        <f>IF(AND(BA68&lt;&gt;"",C68&gt;0),(BA68-C68)/C68,"")</f>
        <v/>
      </c>
      <c r="BC68" s="41">
        <f>IF(BA68&lt;&gt;"",AZ68,"")</f>
        <v/>
      </c>
      <c r="BD68" s="40">
        <f>IF(AND(BA68&lt;&gt;"",C68&gt;0),BA68-C68,"")</f>
        <v/>
      </c>
      <c r="BE68" s="41">
        <f>IF(AND(BA68&lt;&gt;"",D68&gt;0),(BA68-D68)/D68,"")</f>
        <v/>
      </c>
      <c r="BF68" s="41">
        <f>IF(AND(BC68&lt;&gt;"",P68&lt;&gt;""),(BC68-P68)/ABS(IF(P68=0,1,P68)),"")</f>
        <v/>
      </c>
      <c r="BG68" s="40">
        <f>IF(AND(BD68&lt;&gt;"",Q68&lt;&gt;""),BD68-Q68,"")</f>
        <v/>
      </c>
      <c r="BH68" s="40">
        <f>IF(AND(T68&gt;0,X68&lt;&gt;""),T68*X68,"")</f>
        <v/>
      </c>
      <c r="BI68" s="40">
        <f>IF(AND(T68&gt;0,AA68&lt;&gt;""),T68*AA68,"")</f>
        <v/>
      </c>
      <c r="BJ68" s="40">
        <f>IF(AND(T68&gt;0,AE68&lt;&gt;""),T68*AE68,"")</f>
        <v/>
      </c>
      <c r="BK68" s="40">
        <f>IF(AND(T68&gt;0,AH68&lt;&gt;""),T68*AH68,"")</f>
        <v/>
      </c>
      <c r="BL68" s="40">
        <f>IF(AND(T68&gt;0,AL68&lt;&gt;""),T68*AL68,"")</f>
        <v/>
      </c>
      <c r="BM68" s="40">
        <f>IF(AND(T68&gt;0,AO68&lt;&gt;""),T68*AO68,"")</f>
        <v/>
      </c>
      <c r="BN68" s="40">
        <f>IF(AND(T68&gt;0,AS68&gt;0),T68*AS68,"")</f>
        <v/>
      </c>
      <c r="BO68" s="40">
        <f>IF(AND(T68&gt;0,AV68&lt;&gt;""),T68*AV68,"")</f>
        <v/>
      </c>
      <c r="BP68" s="40">
        <f>IF(AND(T68&gt;0,BA68&lt;&gt;""),T68*BA68,"")</f>
        <v/>
      </c>
      <c r="BQ68" s="40">
        <f>IF(AND(T68&gt;0,BD68&lt;&gt;""),T68*BD68,"")</f>
        <v/>
      </c>
      <c r="BR68" s="46">
        <f>IF(AND(T68&gt;0,V68&gt;0,AA68&lt;&gt;0),V68/AA68-T68,"")</f>
        <v/>
      </c>
      <c r="BS68" s="41">
        <f>IF(AND(BR68&lt;&gt;"",T68&gt;0),BR68/T68,"")</f>
        <v/>
      </c>
      <c r="BT68" s="46">
        <f>IF(AND(T68&gt;0,V68&gt;0,AO68&lt;&gt;0),V68/AO68-T68,"")</f>
        <v/>
      </c>
      <c r="BU68" s="41">
        <f>IF(AND(BT68&lt;&gt;"",T68&gt;0),BT68/T68,"")</f>
        <v/>
      </c>
    </row>
    <row r="69">
      <c r="A69" s="36">
        <f>'📊 Исходные данные'!A68</f>
        <v/>
      </c>
      <c r="B69" s="37">
        <f>'📊 Исходные данные'!B68</f>
        <v/>
      </c>
      <c r="C69" s="38">
        <f>'📊 Исходные данные'!C68</f>
        <v/>
      </c>
      <c r="D69" s="38">
        <f>'📊 Исходные данные'!D68</f>
        <v/>
      </c>
      <c r="E69" s="39">
        <f>IF(OR(D69="",F69=""),"-",IF(D69&gt;F69*1.05,"Выше рынка",IF(D69&lt;F69*0.95,"Ниже рынка","На уровне")))</f>
        <v/>
      </c>
      <c r="F69" s="40">
        <f>IFERROR(AVERAGE('📊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G69" s="40">
        <f>IFERROR(MEDIAN('📊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H69" s="40">
        <f>IFERROR(MIN('📊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I69" s="40">
        <f>IFERROR(MAX('📊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данные'!K68),"")</f>
        <v/>
      </c>
      <c r="J69" s="41">
        <f>IF(AND(D69&lt;&gt;"",F69&lt;&gt;""),(D69-F69)/F69,"")</f>
        <v/>
      </c>
      <c r="K69" s="41">
        <f>IF(AND(D69&lt;&gt;"",G69&lt;&gt;""),(D69-G69)/G69,"")</f>
        <v/>
      </c>
      <c r="L69" s="41">
        <f>IF(AND(D69&lt;&gt;"",H69&lt;&gt;""),(D69-H69)/H69,"")</f>
        <v/>
      </c>
      <c r="M69" s="42">
        <f>IFERROR(RANK(D69,('📊 Исходные данные'!E68,'📊 Исходные данные'!F68,'📊 Исходные данные'!G68,'📊 Исходные данные'!H68,'📊 Исходные данные'!I68,'📊 Исходные данные'!J68,'📊 Исходные данные'!K68)),"")</f>
        <v/>
      </c>
      <c r="N69" s="39">
        <f>IF(M69="","-",IF(M69=1,"Дороже всех",IF(M69=2,"2-й по цене",IF(M69&lt;=4,"Средний","Ниже конкурентов"))))</f>
        <v/>
      </c>
      <c r="O69" s="41">
        <f>IF(AND(C69&gt;0,D69&gt;0),(D69-C69)/C69,"")</f>
        <v/>
      </c>
      <c r="P69" s="41">
        <f>IF(AND(C69&gt;0,D69&gt;0),(D69-C69)/D69,"")</f>
        <v/>
      </c>
      <c r="Q69" s="40">
        <f>IF(AND(C69&gt;0,D69&gt;0),D69-C69,"")</f>
        <v/>
      </c>
      <c r="R69" s="39">
        <f>IF(P69="","-",IF(P69&lt;0.1,"Низкая(&lt;10%)",IF(P69&lt;0.2,"Средняя(10-20%)","Хорошая(&gt;20%)")))</f>
        <v/>
      </c>
      <c r="S69" s="39">
        <f>IF(OR(H69="",C69=""),"-",IF((H69-C69)/H69&lt;0.05,"КРИТИЧНО",IF((H69-C69)/H69&lt;0.15,"УМЕРЕННЫЙ","НИЗКИЙ")))</f>
        <v/>
      </c>
      <c r="T69" s="43" t="n"/>
      <c r="U69" s="40">
        <f>IF(T69&gt;0,T69*D69,"")</f>
        <v/>
      </c>
      <c r="V69" s="40">
        <f>IF(T69&gt;0,T69*Q69,"")</f>
        <v/>
      </c>
      <c r="W69" s="41">
        <f>IF(U69&gt;0,V69/U69,"")</f>
        <v/>
      </c>
      <c r="X69" s="40">
        <f>IF(F69&lt;&gt;"",F69,"")</f>
        <v/>
      </c>
      <c r="Y69" s="41">
        <f>IF(AND(X69&lt;&gt;"",C69&gt;0),(X69-C69)/C69,"")</f>
        <v/>
      </c>
      <c r="Z69" s="41">
        <f>IF(AND(X69&lt;&gt;"",X69&gt;0),(X69-C69)/X69,"")</f>
        <v/>
      </c>
      <c r="AA69" s="40">
        <f>IF(AND(X69&lt;&gt;"",C69&gt;0),X69-C69,"")</f>
        <v/>
      </c>
      <c r="AB69" s="41">
        <f>IF(AND(X69&lt;&gt;"",D69&gt;0),(X69-D69)/D69,"")</f>
        <v/>
      </c>
      <c r="AC69" s="41">
        <f>IF(AND(Z69&lt;&gt;"",P69&lt;&gt;""),(Z69-P69)/ABS(IF(P69=0,1,P69)),"")</f>
        <v/>
      </c>
      <c r="AD69" s="40">
        <f>IF(AND(AA69&lt;&gt;"",Q69&lt;&gt;""),AA69-Q69,"")</f>
        <v/>
      </c>
      <c r="AE69" s="40">
        <f>IF(G69&lt;&gt;"",G69,"")</f>
        <v/>
      </c>
      <c r="AF69" s="41">
        <f>IF(AND(AE69&lt;&gt;"",C69&gt;0),(AE69-C69)/C69,"")</f>
        <v/>
      </c>
      <c r="AG69" s="41">
        <f>IF(AND(AE69&lt;&gt;"",AE69&gt;0),(AE69-C69)/AE69,"")</f>
        <v/>
      </c>
      <c r="AH69" s="40">
        <f>IF(AND(AE69&lt;&gt;"",C69&gt;0),AE69-C69,"")</f>
        <v/>
      </c>
      <c r="AI69" s="41">
        <f>IF(AND(AE69&lt;&gt;"",D69&gt;0),(AE69-D69)/D69,"")</f>
        <v/>
      </c>
      <c r="AJ69" s="41">
        <f>IF(AND(AG69&lt;&gt;"",P69&lt;&gt;""),(AG69-P69)/ABS(IF(P69=0,1,P69)),"")</f>
        <v/>
      </c>
      <c r="AK69" s="40">
        <f>IF(AND(AH69&lt;&gt;"",Q69&lt;&gt;""),AH69-Q69,"")</f>
        <v/>
      </c>
      <c r="AL69" s="40">
        <f>IF(H69&lt;&gt;"",H69,"")</f>
        <v/>
      </c>
      <c r="AM69" s="41">
        <f>IF(AND(AL69&lt;&gt;"",C69&gt;0),(AL69-C69)/C69,"")</f>
        <v/>
      </c>
      <c r="AN69" s="41">
        <f>IF(AND(AL69&lt;&gt;"",AL69&gt;0),(AL69-C69)/AL69,"")</f>
        <v/>
      </c>
      <c r="AO69" s="40">
        <f>IF(AND(AL69&lt;&gt;"",C69&gt;0),AL69-C69,"")</f>
        <v/>
      </c>
      <c r="AP69" s="41">
        <f>IF(AND(AL69&lt;&gt;"",D69&gt;0),(AL69-D69)/D69,"")</f>
        <v/>
      </c>
      <c r="AQ69" s="41">
        <f>IF(AND(AN69&lt;&gt;"",P69&lt;&gt;""),(AN69-P69)/ABS(IF(P69=0,1,P69)),"")</f>
        <v/>
      </c>
      <c r="AR69" s="40">
        <f>IF(AND(AO69&lt;&gt;"",Q69&lt;&gt;""),AO69-Q69,"")</f>
        <v/>
      </c>
      <c r="AS69" s="44" t="n"/>
      <c r="AT69" s="41">
        <f>IF(AND(AS69&gt;0,C69&gt;0),(AS69-C69)/C69,"")</f>
        <v/>
      </c>
      <c r="AU69" s="41">
        <f>IF(AND(AS69&gt;0,AS69&gt;0),(AS69-C69)/AS69,"")</f>
        <v/>
      </c>
      <c r="AV69" s="40">
        <f>IF(AND(AS69&gt;0,C69&gt;0),AS69-C69,"")</f>
        <v/>
      </c>
      <c r="AW69" s="41">
        <f>IF(AND(AS69&gt;0,D69&gt;0),(AS69-D69)/D69,"")</f>
        <v/>
      </c>
      <c r="AX69" s="41">
        <f>IF(AND(AU69&lt;&gt;"",P69&lt;&gt;""),(AU69-P69)/ABS(IF(P69=0,1,P69)),"")</f>
        <v/>
      </c>
      <c r="AY69" s="40">
        <f>IF(AND(AV69&lt;&gt;"",Q69&lt;&gt;""),AV69-Q69,"")</f>
        <v/>
      </c>
      <c r="AZ69" s="45" t="n"/>
      <c r="BA69" s="40">
        <f>IF(AND(AZ69&gt;0,C69&gt;0),C69/(1-AZ69),"")</f>
        <v/>
      </c>
      <c r="BB69" s="41">
        <f>IF(AND(BA69&lt;&gt;"",C69&gt;0),(BA69-C69)/C69,"")</f>
        <v/>
      </c>
      <c r="BC69" s="41">
        <f>IF(BA69&lt;&gt;"",AZ69,"")</f>
        <v/>
      </c>
      <c r="BD69" s="40">
        <f>IF(AND(BA69&lt;&gt;"",C69&gt;0),BA69-C69,"")</f>
        <v/>
      </c>
      <c r="BE69" s="41">
        <f>IF(AND(BA69&lt;&gt;"",D69&gt;0),(BA69-D69)/D69,"")</f>
        <v/>
      </c>
      <c r="BF69" s="41">
        <f>IF(AND(BC69&lt;&gt;"",P69&lt;&gt;""),(BC69-P69)/ABS(IF(P69=0,1,P69)),"")</f>
        <v/>
      </c>
      <c r="BG69" s="40">
        <f>IF(AND(BD69&lt;&gt;"",Q69&lt;&gt;""),BD69-Q69,"")</f>
        <v/>
      </c>
      <c r="BH69" s="40">
        <f>IF(AND(T69&gt;0,X69&lt;&gt;""),T69*X69,"")</f>
        <v/>
      </c>
      <c r="BI69" s="40">
        <f>IF(AND(T69&gt;0,AA69&lt;&gt;""),T69*AA69,"")</f>
        <v/>
      </c>
      <c r="BJ69" s="40">
        <f>IF(AND(T69&gt;0,AE69&lt;&gt;""),T69*AE69,"")</f>
        <v/>
      </c>
      <c r="BK69" s="40">
        <f>IF(AND(T69&gt;0,AH69&lt;&gt;""),T69*AH69,"")</f>
        <v/>
      </c>
      <c r="BL69" s="40">
        <f>IF(AND(T69&gt;0,AL69&lt;&gt;""),T69*AL69,"")</f>
        <v/>
      </c>
      <c r="BM69" s="40">
        <f>IF(AND(T69&gt;0,AO69&lt;&gt;""),T69*AO69,"")</f>
        <v/>
      </c>
      <c r="BN69" s="40">
        <f>IF(AND(T69&gt;0,AS69&gt;0),T69*AS69,"")</f>
        <v/>
      </c>
      <c r="BO69" s="40">
        <f>IF(AND(T69&gt;0,AV69&lt;&gt;""),T69*AV69,"")</f>
        <v/>
      </c>
      <c r="BP69" s="40">
        <f>IF(AND(T69&gt;0,BA69&lt;&gt;""),T69*BA69,"")</f>
        <v/>
      </c>
      <c r="BQ69" s="40">
        <f>IF(AND(T69&gt;0,BD69&lt;&gt;""),T69*BD69,"")</f>
        <v/>
      </c>
      <c r="BR69" s="46">
        <f>IF(AND(T69&gt;0,V69&gt;0,AA69&lt;&gt;0),V69/AA69-T69,"")</f>
        <v/>
      </c>
      <c r="BS69" s="41">
        <f>IF(AND(BR69&lt;&gt;"",T69&gt;0),BR69/T69,"")</f>
        <v/>
      </c>
      <c r="BT69" s="46">
        <f>IF(AND(T69&gt;0,V69&gt;0,AO69&lt;&gt;0),V69/AO69-T69,"")</f>
        <v/>
      </c>
      <c r="BU69" s="41">
        <f>IF(AND(BT69&lt;&gt;"",T69&gt;0),BT69/T69,"")</f>
        <v/>
      </c>
    </row>
    <row r="70">
      <c r="A70" s="36">
        <f>'📊 Исходные данные'!A69</f>
        <v/>
      </c>
      <c r="B70" s="37">
        <f>'📊 Исходные данные'!B69</f>
        <v/>
      </c>
      <c r="C70" s="38">
        <f>'📊 Исходные данные'!C69</f>
        <v/>
      </c>
      <c r="D70" s="38">
        <f>'📊 Исходные данные'!D69</f>
        <v/>
      </c>
      <c r="E70" s="39">
        <f>IF(OR(D70="",F70=""),"-",IF(D70&gt;F70*1.05,"Выше рынка",IF(D70&lt;F70*0.95,"Ниже рынка","На уровне")))</f>
        <v/>
      </c>
      <c r="F70" s="40">
        <f>IFERROR(AVERAGE('📊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G70" s="40">
        <f>IFERROR(MEDIAN('📊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H70" s="40">
        <f>IFERROR(MIN('📊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I70" s="40">
        <f>IFERROR(MAX('📊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данные'!K69),"")</f>
        <v/>
      </c>
      <c r="J70" s="41">
        <f>IF(AND(D70&lt;&gt;"",F70&lt;&gt;""),(D70-F70)/F70,"")</f>
        <v/>
      </c>
      <c r="K70" s="41">
        <f>IF(AND(D70&lt;&gt;"",G70&lt;&gt;""),(D70-G70)/G70,"")</f>
        <v/>
      </c>
      <c r="L70" s="41">
        <f>IF(AND(D70&lt;&gt;"",H70&lt;&gt;""),(D70-H70)/H70,"")</f>
        <v/>
      </c>
      <c r="M70" s="42">
        <f>IFERROR(RANK(D70,('📊 Исходные данные'!E69,'📊 Исходные данные'!F69,'📊 Исходные данные'!G69,'📊 Исходные данные'!H69,'📊 Исходные данные'!I69,'📊 Исходные данные'!J69,'📊 Исходные данные'!K69)),"")</f>
        <v/>
      </c>
      <c r="N70" s="39">
        <f>IF(M70="","-",IF(M70=1,"Дороже всех",IF(M70=2,"2-й по цене",IF(M70&lt;=4,"Средний","Ниже конкурентов"))))</f>
        <v/>
      </c>
      <c r="O70" s="41">
        <f>IF(AND(C70&gt;0,D70&gt;0),(D70-C70)/C70,"")</f>
        <v/>
      </c>
      <c r="P70" s="41">
        <f>IF(AND(C70&gt;0,D70&gt;0),(D70-C70)/D70,"")</f>
        <v/>
      </c>
      <c r="Q70" s="40">
        <f>IF(AND(C70&gt;0,D70&gt;0),D70-C70,"")</f>
        <v/>
      </c>
      <c r="R70" s="39">
        <f>IF(P70="","-",IF(P70&lt;0.1,"Низкая(&lt;10%)",IF(P70&lt;0.2,"Средняя(10-20%)","Хорошая(&gt;20%)")))</f>
        <v/>
      </c>
      <c r="S70" s="39">
        <f>IF(OR(H70="",C70=""),"-",IF((H70-C70)/H70&lt;0.05,"КРИТИЧНО",IF((H70-C70)/H70&lt;0.15,"УМЕРЕННЫЙ","НИЗКИЙ")))</f>
        <v/>
      </c>
      <c r="T70" s="43" t="n"/>
      <c r="U70" s="40">
        <f>IF(T70&gt;0,T70*D70,"")</f>
        <v/>
      </c>
      <c r="V70" s="40">
        <f>IF(T70&gt;0,T70*Q70,"")</f>
        <v/>
      </c>
      <c r="W70" s="41">
        <f>IF(U70&gt;0,V70/U70,"")</f>
        <v/>
      </c>
      <c r="X70" s="40">
        <f>IF(F70&lt;&gt;"",F70,"")</f>
        <v/>
      </c>
      <c r="Y70" s="41">
        <f>IF(AND(X70&lt;&gt;"",C70&gt;0),(X70-C70)/C70,"")</f>
        <v/>
      </c>
      <c r="Z70" s="41">
        <f>IF(AND(X70&lt;&gt;"",X70&gt;0),(X70-C70)/X70,"")</f>
        <v/>
      </c>
      <c r="AA70" s="40">
        <f>IF(AND(X70&lt;&gt;"",C70&gt;0),X70-C70,"")</f>
        <v/>
      </c>
      <c r="AB70" s="41">
        <f>IF(AND(X70&lt;&gt;"",D70&gt;0),(X70-D70)/D70,"")</f>
        <v/>
      </c>
      <c r="AC70" s="41">
        <f>IF(AND(Z70&lt;&gt;"",P70&lt;&gt;""),(Z70-P70)/ABS(IF(P70=0,1,P70)),"")</f>
        <v/>
      </c>
      <c r="AD70" s="40">
        <f>IF(AND(AA70&lt;&gt;"",Q70&lt;&gt;""),AA70-Q70,"")</f>
        <v/>
      </c>
      <c r="AE70" s="40">
        <f>IF(G70&lt;&gt;"",G70,"")</f>
        <v/>
      </c>
      <c r="AF70" s="41">
        <f>IF(AND(AE70&lt;&gt;"",C70&gt;0),(AE70-C70)/C70,"")</f>
        <v/>
      </c>
      <c r="AG70" s="41">
        <f>IF(AND(AE70&lt;&gt;"",AE70&gt;0),(AE70-C70)/AE70,"")</f>
        <v/>
      </c>
      <c r="AH70" s="40">
        <f>IF(AND(AE70&lt;&gt;"",C70&gt;0),AE70-C70,"")</f>
        <v/>
      </c>
      <c r="AI70" s="41">
        <f>IF(AND(AE70&lt;&gt;"",D70&gt;0),(AE70-D70)/D70,"")</f>
        <v/>
      </c>
      <c r="AJ70" s="41">
        <f>IF(AND(AG70&lt;&gt;"",P70&lt;&gt;""),(AG70-P70)/ABS(IF(P70=0,1,P70)),"")</f>
        <v/>
      </c>
      <c r="AK70" s="40">
        <f>IF(AND(AH70&lt;&gt;"",Q70&lt;&gt;""),AH70-Q70,"")</f>
        <v/>
      </c>
      <c r="AL70" s="40">
        <f>IF(H70&lt;&gt;"",H70,"")</f>
        <v/>
      </c>
      <c r="AM70" s="41">
        <f>IF(AND(AL70&lt;&gt;"",C70&gt;0),(AL70-C70)/C70,"")</f>
        <v/>
      </c>
      <c r="AN70" s="41">
        <f>IF(AND(AL70&lt;&gt;"",AL70&gt;0),(AL70-C70)/AL70,"")</f>
        <v/>
      </c>
      <c r="AO70" s="40">
        <f>IF(AND(AL70&lt;&gt;"",C70&gt;0),AL70-C70,"")</f>
        <v/>
      </c>
      <c r="AP70" s="41">
        <f>IF(AND(AL70&lt;&gt;"",D70&gt;0),(AL70-D70)/D70,"")</f>
        <v/>
      </c>
      <c r="AQ70" s="41">
        <f>IF(AND(AN70&lt;&gt;"",P70&lt;&gt;""),(AN70-P70)/ABS(IF(P70=0,1,P70)),"")</f>
        <v/>
      </c>
      <c r="AR70" s="40">
        <f>IF(AND(AO70&lt;&gt;"",Q70&lt;&gt;""),AO70-Q70,"")</f>
        <v/>
      </c>
      <c r="AS70" s="44" t="n"/>
      <c r="AT70" s="41">
        <f>IF(AND(AS70&gt;0,C70&gt;0),(AS70-C70)/C70,"")</f>
        <v/>
      </c>
      <c r="AU70" s="41">
        <f>IF(AND(AS70&gt;0,AS70&gt;0),(AS70-C70)/AS70,"")</f>
        <v/>
      </c>
      <c r="AV70" s="40">
        <f>IF(AND(AS70&gt;0,C70&gt;0),AS70-C70,"")</f>
        <v/>
      </c>
      <c r="AW70" s="41">
        <f>IF(AND(AS70&gt;0,D70&gt;0),(AS70-D70)/D70,"")</f>
        <v/>
      </c>
      <c r="AX70" s="41">
        <f>IF(AND(AU70&lt;&gt;"",P70&lt;&gt;""),(AU70-P70)/ABS(IF(P70=0,1,P70)),"")</f>
        <v/>
      </c>
      <c r="AY70" s="40">
        <f>IF(AND(AV70&lt;&gt;"",Q70&lt;&gt;""),AV70-Q70,"")</f>
        <v/>
      </c>
      <c r="AZ70" s="45" t="n"/>
      <c r="BA70" s="40">
        <f>IF(AND(AZ70&gt;0,C70&gt;0),C70/(1-AZ70),"")</f>
        <v/>
      </c>
      <c r="BB70" s="41">
        <f>IF(AND(BA70&lt;&gt;"",C70&gt;0),(BA70-C70)/C70,"")</f>
        <v/>
      </c>
      <c r="BC70" s="41">
        <f>IF(BA70&lt;&gt;"",AZ70,"")</f>
        <v/>
      </c>
      <c r="BD70" s="40">
        <f>IF(AND(BA70&lt;&gt;"",C70&gt;0),BA70-C70,"")</f>
        <v/>
      </c>
      <c r="BE70" s="41">
        <f>IF(AND(BA70&lt;&gt;"",D70&gt;0),(BA70-D70)/D70,"")</f>
        <v/>
      </c>
      <c r="BF70" s="41">
        <f>IF(AND(BC70&lt;&gt;"",P70&lt;&gt;""),(BC70-P70)/ABS(IF(P70=0,1,P70)),"")</f>
        <v/>
      </c>
      <c r="BG70" s="40">
        <f>IF(AND(BD70&lt;&gt;"",Q70&lt;&gt;""),BD70-Q70,"")</f>
        <v/>
      </c>
      <c r="BH70" s="40">
        <f>IF(AND(T70&gt;0,X70&lt;&gt;""),T70*X70,"")</f>
        <v/>
      </c>
      <c r="BI70" s="40">
        <f>IF(AND(T70&gt;0,AA70&lt;&gt;""),T70*AA70,"")</f>
        <v/>
      </c>
      <c r="BJ70" s="40">
        <f>IF(AND(T70&gt;0,AE70&lt;&gt;""),T70*AE70,"")</f>
        <v/>
      </c>
      <c r="BK70" s="40">
        <f>IF(AND(T70&gt;0,AH70&lt;&gt;""),T70*AH70,"")</f>
        <v/>
      </c>
      <c r="BL70" s="40">
        <f>IF(AND(T70&gt;0,AL70&lt;&gt;""),T70*AL70,"")</f>
        <v/>
      </c>
      <c r="BM70" s="40">
        <f>IF(AND(T70&gt;0,AO70&lt;&gt;""),T70*AO70,"")</f>
        <v/>
      </c>
      <c r="BN70" s="40">
        <f>IF(AND(T70&gt;0,AS70&gt;0),T70*AS70,"")</f>
        <v/>
      </c>
      <c r="BO70" s="40">
        <f>IF(AND(T70&gt;0,AV70&lt;&gt;""),T70*AV70,"")</f>
        <v/>
      </c>
      <c r="BP70" s="40">
        <f>IF(AND(T70&gt;0,BA70&lt;&gt;""),T70*BA70,"")</f>
        <v/>
      </c>
      <c r="BQ70" s="40">
        <f>IF(AND(T70&gt;0,BD70&lt;&gt;""),T70*BD70,"")</f>
        <v/>
      </c>
      <c r="BR70" s="46">
        <f>IF(AND(T70&gt;0,V70&gt;0,AA70&lt;&gt;0),V70/AA70-T70,"")</f>
        <v/>
      </c>
      <c r="BS70" s="41">
        <f>IF(AND(BR70&lt;&gt;"",T70&gt;0),BR70/T70,"")</f>
        <v/>
      </c>
      <c r="BT70" s="46">
        <f>IF(AND(T70&gt;0,V70&gt;0,AO70&lt;&gt;0),V70/AO70-T70,"")</f>
        <v/>
      </c>
      <c r="BU70" s="41">
        <f>IF(AND(BT70&lt;&gt;"",T70&gt;0),BT70/T70,"")</f>
        <v/>
      </c>
    </row>
    <row r="71">
      <c r="A71" s="36">
        <f>'📊 Исходные данные'!A70</f>
        <v/>
      </c>
      <c r="B71" s="37">
        <f>'📊 Исходные данные'!B70</f>
        <v/>
      </c>
      <c r="C71" s="38">
        <f>'📊 Исходные данные'!C70</f>
        <v/>
      </c>
      <c r="D71" s="38">
        <f>'📊 Исходные данные'!D70</f>
        <v/>
      </c>
      <c r="E71" s="39">
        <f>IF(OR(D71="",F71=""),"-",IF(D71&gt;F71*1.05,"Выше рынка",IF(D71&lt;F71*0.95,"Ниже рынка","На уровне")))</f>
        <v/>
      </c>
      <c r="F71" s="40">
        <f>IFERROR(AVERAGE('📊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G71" s="40">
        <f>IFERROR(MEDIAN('📊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H71" s="40">
        <f>IFERROR(MIN('📊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I71" s="40">
        <f>IFERROR(MAX('📊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данные'!K70),"")</f>
        <v/>
      </c>
      <c r="J71" s="41">
        <f>IF(AND(D71&lt;&gt;"",F71&lt;&gt;""),(D71-F71)/F71,"")</f>
        <v/>
      </c>
      <c r="K71" s="41">
        <f>IF(AND(D71&lt;&gt;"",G71&lt;&gt;""),(D71-G71)/G71,"")</f>
        <v/>
      </c>
      <c r="L71" s="41">
        <f>IF(AND(D71&lt;&gt;"",H71&lt;&gt;""),(D71-H71)/H71,"")</f>
        <v/>
      </c>
      <c r="M71" s="42">
        <f>IFERROR(RANK(D71,('📊 Исходные данные'!E70,'📊 Исходные данные'!F70,'📊 Исходные данные'!G70,'📊 Исходные данные'!H70,'📊 Исходные данные'!I70,'📊 Исходные данные'!J70,'📊 Исходные данные'!K70)),"")</f>
        <v/>
      </c>
      <c r="N71" s="39">
        <f>IF(M71="","-",IF(M71=1,"Дороже всех",IF(M71=2,"2-й по цене",IF(M71&lt;=4,"Средний","Ниже конкурентов"))))</f>
        <v/>
      </c>
      <c r="O71" s="41">
        <f>IF(AND(C71&gt;0,D71&gt;0),(D71-C71)/C71,"")</f>
        <v/>
      </c>
      <c r="P71" s="41">
        <f>IF(AND(C71&gt;0,D71&gt;0),(D71-C71)/D71,"")</f>
        <v/>
      </c>
      <c r="Q71" s="40">
        <f>IF(AND(C71&gt;0,D71&gt;0),D71-C71,"")</f>
        <v/>
      </c>
      <c r="R71" s="39">
        <f>IF(P71="","-",IF(P71&lt;0.1,"Низкая(&lt;10%)",IF(P71&lt;0.2,"Средняя(10-20%)","Хорошая(&gt;20%)")))</f>
        <v/>
      </c>
      <c r="S71" s="39">
        <f>IF(OR(H71="",C71=""),"-",IF((H71-C71)/H71&lt;0.05,"КРИТИЧНО",IF((H71-C71)/H71&lt;0.15,"УМЕРЕННЫЙ","НИЗКИЙ")))</f>
        <v/>
      </c>
      <c r="T71" s="43" t="n"/>
      <c r="U71" s="40">
        <f>IF(T71&gt;0,T71*D71,"")</f>
        <v/>
      </c>
      <c r="V71" s="40">
        <f>IF(T71&gt;0,T71*Q71,"")</f>
        <v/>
      </c>
      <c r="W71" s="41">
        <f>IF(U71&gt;0,V71/U71,"")</f>
        <v/>
      </c>
      <c r="X71" s="40">
        <f>IF(F71&lt;&gt;"",F71,"")</f>
        <v/>
      </c>
      <c r="Y71" s="41">
        <f>IF(AND(X71&lt;&gt;"",C71&gt;0),(X71-C71)/C71,"")</f>
        <v/>
      </c>
      <c r="Z71" s="41">
        <f>IF(AND(X71&lt;&gt;"",X71&gt;0),(X71-C71)/X71,"")</f>
        <v/>
      </c>
      <c r="AA71" s="40">
        <f>IF(AND(X71&lt;&gt;"",C71&gt;0),X71-C71,"")</f>
        <v/>
      </c>
      <c r="AB71" s="41">
        <f>IF(AND(X71&lt;&gt;"",D71&gt;0),(X71-D71)/D71,"")</f>
        <v/>
      </c>
      <c r="AC71" s="41">
        <f>IF(AND(Z71&lt;&gt;"",P71&lt;&gt;""),(Z71-P71)/ABS(IF(P71=0,1,P71)),"")</f>
        <v/>
      </c>
      <c r="AD71" s="40">
        <f>IF(AND(AA71&lt;&gt;"",Q71&lt;&gt;""),AA71-Q71,"")</f>
        <v/>
      </c>
      <c r="AE71" s="40">
        <f>IF(G71&lt;&gt;"",G71,"")</f>
        <v/>
      </c>
      <c r="AF71" s="41">
        <f>IF(AND(AE71&lt;&gt;"",C71&gt;0),(AE71-C71)/C71,"")</f>
        <v/>
      </c>
      <c r="AG71" s="41">
        <f>IF(AND(AE71&lt;&gt;"",AE71&gt;0),(AE71-C71)/AE71,"")</f>
        <v/>
      </c>
      <c r="AH71" s="40">
        <f>IF(AND(AE71&lt;&gt;"",C71&gt;0),AE71-C71,"")</f>
        <v/>
      </c>
      <c r="AI71" s="41">
        <f>IF(AND(AE71&lt;&gt;"",D71&gt;0),(AE71-D71)/D71,"")</f>
        <v/>
      </c>
      <c r="AJ71" s="41">
        <f>IF(AND(AG71&lt;&gt;"",P71&lt;&gt;""),(AG71-P71)/ABS(IF(P71=0,1,P71)),"")</f>
        <v/>
      </c>
      <c r="AK71" s="40">
        <f>IF(AND(AH71&lt;&gt;"",Q71&lt;&gt;""),AH71-Q71,"")</f>
        <v/>
      </c>
      <c r="AL71" s="40">
        <f>IF(H71&lt;&gt;"",H71,"")</f>
        <v/>
      </c>
      <c r="AM71" s="41">
        <f>IF(AND(AL71&lt;&gt;"",C71&gt;0),(AL71-C71)/C71,"")</f>
        <v/>
      </c>
      <c r="AN71" s="41">
        <f>IF(AND(AL71&lt;&gt;"",AL71&gt;0),(AL71-C71)/AL71,"")</f>
        <v/>
      </c>
      <c r="AO71" s="40">
        <f>IF(AND(AL71&lt;&gt;"",C71&gt;0),AL71-C71,"")</f>
        <v/>
      </c>
      <c r="AP71" s="41">
        <f>IF(AND(AL71&lt;&gt;"",D71&gt;0),(AL71-D71)/D71,"")</f>
        <v/>
      </c>
      <c r="AQ71" s="41">
        <f>IF(AND(AN71&lt;&gt;"",P71&lt;&gt;""),(AN71-P71)/ABS(IF(P71=0,1,P71)),"")</f>
        <v/>
      </c>
      <c r="AR71" s="40">
        <f>IF(AND(AO71&lt;&gt;"",Q71&lt;&gt;""),AO71-Q71,"")</f>
        <v/>
      </c>
      <c r="AS71" s="44" t="n"/>
      <c r="AT71" s="41">
        <f>IF(AND(AS71&gt;0,C71&gt;0),(AS71-C71)/C71,"")</f>
        <v/>
      </c>
      <c r="AU71" s="41">
        <f>IF(AND(AS71&gt;0,AS71&gt;0),(AS71-C71)/AS71,"")</f>
        <v/>
      </c>
      <c r="AV71" s="40">
        <f>IF(AND(AS71&gt;0,C71&gt;0),AS71-C71,"")</f>
        <v/>
      </c>
      <c r="AW71" s="41">
        <f>IF(AND(AS71&gt;0,D71&gt;0),(AS71-D71)/D71,"")</f>
        <v/>
      </c>
      <c r="AX71" s="41">
        <f>IF(AND(AU71&lt;&gt;"",P71&lt;&gt;""),(AU71-P71)/ABS(IF(P71=0,1,P71)),"")</f>
        <v/>
      </c>
      <c r="AY71" s="40">
        <f>IF(AND(AV71&lt;&gt;"",Q71&lt;&gt;""),AV71-Q71,"")</f>
        <v/>
      </c>
      <c r="AZ71" s="45" t="n"/>
      <c r="BA71" s="40">
        <f>IF(AND(AZ71&gt;0,C71&gt;0),C71/(1-AZ71),"")</f>
        <v/>
      </c>
      <c r="BB71" s="41">
        <f>IF(AND(BA71&lt;&gt;"",C71&gt;0),(BA71-C71)/C71,"")</f>
        <v/>
      </c>
      <c r="BC71" s="41">
        <f>IF(BA71&lt;&gt;"",AZ71,"")</f>
        <v/>
      </c>
      <c r="BD71" s="40">
        <f>IF(AND(BA71&lt;&gt;"",C71&gt;0),BA71-C71,"")</f>
        <v/>
      </c>
      <c r="BE71" s="41">
        <f>IF(AND(BA71&lt;&gt;"",D71&gt;0),(BA71-D71)/D71,"")</f>
        <v/>
      </c>
      <c r="BF71" s="41">
        <f>IF(AND(BC71&lt;&gt;"",P71&lt;&gt;""),(BC71-P71)/ABS(IF(P71=0,1,P71)),"")</f>
        <v/>
      </c>
      <c r="BG71" s="40">
        <f>IF(AND(BD71&lt;&gt;"",Q71&lt;&gt;""),BD71-Q71,"")</f>
        <v/>
      </c>
      <c r="BH71" s="40">
        <f>IF(AND(T71&gt;0,X71&lt;&gt;""),T71*X71,"")</f>
        <v/>
      </c>
      <c r="BI71" s="40">
        <f>IF(AND(T71&gt;0,AA71&lt;&gt;""),T71*AA71,"")</f>
        <v/>
      </c>
      <c r="BJ71" s="40">
        <f>IF(AND(T71&gt;0,AE71&lt;&gt;""),T71*AE71,"")</f>
        <v/>
      </c>
      <c r="BK71" s="40">
        <f>IF(AND(T71&gt;0,AH71&lt;&gt;""),T71*AH71,"")</f>
        <v/>
      </c>
      <c r="BL71" s="40">
        <f>IF(AND(T71&gt;0,AL71&lt;&gt;""),T71*AL71,"")</f>
        <v/>
      </c>
      <c r="BM71" s="40">
        <f>IF(AND(T71&gt;0,AO71&lt;&gt;""),T71*AO71,"")</f>
        <v/>
      </c>
      <c r="BN71" s="40">
        <f>IF(AND(T71&gt;0,AS71&gt;0),T71*AS71,"")</f>
        <v/>
      </c>
      <c r="BO71" s="40">
        <f>IF(AND(T71&gt;0,AV71&lt;&gt;""),T71*AV71,"")</f>
        <v/>
      </c>
      <c r="BP71" s="40">
        <f>IF(AND(T71&gt;0,BA71&lt;&gt;""),T71*BA71,"")</f>
        <v/>
      </c>
      <c r="BQ71" s="40">
        <f>IF(AND(T71&gt;0,BD71&lt;&gt;""),T71*BD71,"")</f>
        <v/>
      </c>
      <c r="BR71" s="46">
        <f>IF(AND(T71&gt;0,V71&gt;0,AA71&lt;&gt;0),V71/AA71-T71,"")</f>
        <v/>
      </c>
      <c r="BS71" s="41">
        <f>IF(AND(BR71&lt;&gt;"",T71&gt;0),BR71/T71,"")</f>
        <v/>
      </c>
      <c r="BT71" s="46">
        <f>IF(AND(T71&gt;0,V71&gt;0,AO71&lt;&gt;0),V71/AO71-T71,"")</f>
        <v/>
      </c>
      <c r="BU71" s="41">
        <f>IF(AND(BT71&lt;&gt;"",T71&gt;0),BT71/T71,"")</f>
        <v/>
      </c>
    </row>
    <row r="72">
      <c r="A72" s="36">
        <f>'📊 Исходные данные'!A71</f>
        <v/>
      </c>
      <c r="B72" s="37">
        <f>'📊 Исходные данные'!B71</f>
        <v/>
      </c>
      <c r="C72" s="38">
        <f>'📊 Исходные данные'!C71</f>
        <v/>
      </c>
      <c r="D72" s="38">
        <f>'📊 Исходные данные'!D71</f>
        <v/>
      </c>
      <c r="E72" s="39">
        <f>IF(OR(D72="",F72=""),"-",IF(D72&gt;F72*1.05,"Выше рынка",IF(D72&lt;F72*0.95,"Ниже рынка","На уровне")))</f>
        <v/>
      </c>
      <c r="F72" s="40">
        <f>IFERROR(AVERAGE('📊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G72" s="40">
        <f>IFERROR(MEDIAN('📊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H72" s="40">
        <f>IFERROR(MIN('📊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I72" s="40">
        <f>IFERROR(MAX('📊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данные'!K71),"")</f>
        <v/>
      </c>
      <c r="J72" s="41">
        <f>IF(AND(D72&lt;&gt;"",F72&lt;&gt;""),(D72-F72)/F72,"")</f>
        <v/>
      </c>
      <c r="K72" s="41">
        <f>IF(AND(D72&lt;&gt;"",G72&lt;&gt;""),(D72-G72)/G72,"")</f>
        <v/>
      </c>
      <c r="L72" s="41">
        <f>IF(AND(D72&lt;&gt;"",H72&lt;&gt;""),(D72-H72)/H72,"")</f>
        <v/>
      </c>
      <c r="M72" s="42">
        <f>IFERROR(RANK(D72,('📊 Исходные данные'!E71,'📊 Исходные данные'!F71,'📊 Исходные данные'!G71,'📊 Исходные данные'!H71,'📊 Исходные данные'!I71,'📊 Исходные данные'!J71,'📊 Исходные данные'!K71)),"")</f>
        <v/>
      </c>
      <c r="N72" s="39">
        <f>IF(M72="","-",IF(M72=1,"Дороже всех",IF(M72=2,"2-й по цене",IF(M72&lt;=4,"Средний","Ниже конкурентов"))))</f>
        <v/>
      </c>
      <c r="O72" s="41">
        <f>IF(AND(C72&gt;0,D72&gt;0),(D72-C72)/C72,"")</f>
        <v/>
      </c>
      <c r="P72" s="41">
        <f>IF(AND(C72&gt;0,D72&gt;0),(D72-C72)/D72,"")</f>
        <v/>
      </c>
      <c r="Q72" s="40">
        <f>IF(AND(C72&gt;0,D72&gt;0),D72-C72,"")</f>
        <v/>
      </c>
      <c r="R72" s="39">
        <f>IF(P72="","-",IF(P72&lt;0.1,"Низкая(&lt;10%)",IF(P72&lt;0.2,"Средняя(10-20%)","Хорошая(&gt;20%)")))</f>
        <v/>
      </c>
      <c r="S72" s="39">
        <f>IF(OR(H72="",C72=""),"-",IF((H72-C72)/H72&lt;0.05,"КРИТИЧНО",IF((H72-C72)/H72&lt;0.15,"УМЕРЕННЫЙ","НИЗКИЙ")))</f>
        <v/>
      </c>
      <c r="T72" s="43" t="n"/>
      <c r="U72" s="40">
        <f>IF(T72&gt;0,T72*D72,"")</f>
        <v/>
      </c>
      <c r="V72" s="40">
        <f>IF(T72&gt;0,T72*Q72,"")</f>
        <v/>
      </c>
      <c r="W72" s="41">
        <f>IF(U72&gt;0,V72/U72,"")</f>
        <v/>
      </c>
      <c r="X72" s="40">
        <f>IF(F72&lt;&gt;"",F72,"")</f>
        <v/>
      </c>
      <c r="Y72" s="41">
        <f>IF(AND(X72&lt;&gt;"",C72&gt;0),(X72-C72)/C72,"")</f>
        <v/>
      </c>
      <c r="Z72" s="41">
        <f>IF(AND(X72&lt;&gt;"",X72&gt;0),(X72-C72)/X72,"")</f>
        <v/>
      </c>
      <c r="AA72" s="40">
        <f>IF(AND(X72&lt;&gt;"",C72&gt;0),X72-C72,"")</f>
        <v/>
      </c>
      <c r="AB72" s="41">
        <f>IF(AND(X72&lt;&gt;"",D72&gt;0),(X72-D72)/D72,"")</f>
        <v/>
      </c>
      <c r="AC72" s="41">
        <f>IF(AND(Z72&lt;&gt;"",P72&lt;&gt;""),(Z72-P72)/ABS(IF(P72=0,1,P72)),"")</f>
        <v/>
      </c>
      <c r="AD72" s="40">
        <f>IF(AND(AA72&lt;&gt;"",Q72&lt;&gt;""),AA72-Q72,"")</f>
        <v/>
      </c>
      <c r="AE72" s="40">
        <f>IF(G72&lt;&gt;"",G72,"")</f>
        <v/>
      </c>
      <c r="AF72" s="41">
        <f>IF(AND(AE72&lt;&gt;"",C72&gt;0),(AE72-C72)/C72,"")</f>
        <v/>
      </c>
      <c r="AG72" s="41">
        <f>IF(AND(AE72&lt;&gt;"",AE72&gt;0),(AE72-C72)/AE72,"")</f>
        <v/>
      </c>
      <c r="AH72" s="40">
        <f>IF(AND(AE72&lt;&gt;"",C72&gt;0),AE72-C72,"")</f>
        <v/>
      </c>
      <c r="AI72" s="41">
        <f>IF(AND(AE72&lt;&gt;"",D72&gt;0),(AE72-D72)/D72,"")</f>
        <v/>
      </c>
      <c r="AJ72" s="41">
        <f>IF(AND(AG72&lt;&gt;"",P72&lt;&gt;""),(AG72-P72)/ABS(IF(P72=0,1,P72)),"")</f>
        <v/>
      </c>
      <c r="AK72" s="40">
        <f>IF(AND(AH72&lt;&gt;"",Q72&lt;&gt;""),AH72-Q72,"")</f>
        <v/>
      </c>
      <c r="AL72" s="40">
        <f>IF(H72&lt;&gt;"",H72,"")</f>
        <v/>
      </c>
      <c r="AM72" s="41">
        <f>IF(AND(AL72&lt;&gt;"",C72&gt;0),(AL72-C72)/C72,"")</f>
        <v/>
      </c>
      <c r="AN72" s="41">
        <f>IF(AND(AL72&lt;&gt;"",AL72&gt;0),(AL72-C72)/AL72,"")</f>
        <v/>
      </c>
      <c r="AO72" s="40">
        <f>IF(AND(AL72&lt;&gt;"",C72&gt;0),AL72-C72,"")</f>
        <v/>
      </c>
      <c r="AP72" s="41">
        <f>IF(AND(AL72&lt;&gt;"",D72&gt;0),(AL72-D72)/D72,"")</f>
        <v/>
      </c>
      <c r="AQ72" s="41">
        <f>IF(AND(AN72&lt;&gt;"",P72&lt;&gt;""),(AN72-P72)/ABS(IF(P72=0,1,P72)),"")</f>
        <v/>
      </c>
      <c r="AR72" s="40">
        <f>IF(AND(AO72&lt;&gt;"",Q72&lt;&gt;""),AO72-Q72,"")</f>
        <v/>
      </c>
      <c r="AS72" s="44" t="n"/>
      <c r="AT72" s="41">
        <f>IF(AND(AS72&gt;0,C72&gt;0),(AS72-C72)/C72,"")</f>
        <v/>
      </c>
      <c r="AU72" s="41">
        <f>IF(AND(AS72&gt;0,AS72&gt;0),(AS72-C72)/AS72,"")</f>
        <v/>
      </c>
      <c r="AV72" s="40">
        <f>IF(AND(AS72&gt;0,C72&gt;0),AS72-C72,"")</f>
        <v/>
      </c>
      <c r="AW72" s="41">
        <f>IF(AND(AS72&gt;0,D72&gt;0),(AS72-D72)/D72,"")</f>
        <v/>
      </c>
      <c r="AX72" s="41">
        <f>IF(AND(AU72&lt;&gt;"",P72&lt;&gt;""),(AU72-P72)/ABS(IF(P72=0,1,P72)),"")</f>
        <v/>
      </c>
      <c r="AY72" s="40">
        <f>IF(AND(AV72&lt;&gt;"",Q72&lt;&gt;""),AV72-Q72,"")</f>
        <v/>
      </c>
      <c r="AZ72" s="45" t="n"/>
      <c r="BA72" s="40">
        <f>IF(AND(AZ72&gt;0,C72&gt;0),C72/(1-AZ72),"")</f>
        <v/>
      </c>
      <c r="BB72" s="41">
        <f>IF(AND(BA72&lt;&gt;"",C72&gt;0),(BA72-C72)/C72,"")</f>
        <v/>
      </c>
      <c r="BC72" s="41">
        <f>IF(BA72&lt;&gt;"",AZ72,"")</f>
        <v/>
      </c>
      <c r="BD72" s="40">
        <f>IF(AND(BA72&lt;&gt;"",C72&gt;0),BA72-C72,"")</f>
        <v/>
      </c>
      <c r="BE72" s="41">
        <f>IF(AND(BA72&lt;&gt;"",D72&gt;0),(BA72-D72)/D72,"")</f>
        <v/>
      </c>
      <c r="BF72" s="41">
        <f>IF(AND(BC72&lt;&gt;"",P72&lt;&gt;""),(BC72-P72)/ABS(IF(P72=0,1,P72)),"")</f>
        <v/>
      </c>
      <c r="BG72" s="40">
        <f>IF(AND(BD72&lt;&gt;"",Q72&lt;&gt;""),BD72-Q72,"")</f>
        <v/>
      </c>
      <c r="BH72" s="40">
        <f>IF(AND(T72&gt;0,X72&lt;&gt;""),T72*X72,"")</f>
        <v/>
      </c>
      <c r="BI72" s="40">
        <f>IF(AND(T72&gt;0,AA72&lt;&gt;""),T72*AA72,"")</f>
        <v/>
      </c>
      <c r="BJ72" s="40">
        <f>IF(AND(T72&gt;0,AE72&lt;&gt;""),T72*AE72,"")</f>
        <v/>
      </c>
      <c r="BK72" s="40">
        <f>IF(AND(T72&gt;0,AH72&lt;&gt;""),T72*AH72,"")</f>
        <v/>
      </c>
      <c r="BL72" s="40">
        <f>IF(AND(T72&gt;0,AL72&lt;&gt;""),T72*AL72,"")</f>
        <v/>
      </c>
      <c r="BM72" s="40">
        <f>IF(AND(T72&gt;0,AO72&lt;&gt;""),T72*AO72,"")</f>
        <v/>
      </c>
      <c r="BN72" s="40">
        <f>IF(AND(T72&gt;0,AS72&gt;0),T72*AS72,"")</f>
        <v/>
      </c>
      <c r="BO72" s="40">
        <f>IF(AND(T72&gt;0,AV72&lt;&gt;""),T72*AV72,"")</f>
        <v/>
      </c>
      <c r="BP72" s="40">
        <f>IF(AND(T72&gt;0,BA72&lt;&gt;""),T72*BA72,"")</f>
        <v/>
      </c>
      <c r="BQ72" s="40">
        <f>IF(AND(T72&gt;0,BD72&lt;&gt;""),T72*BD72,"")</f>
        <v/>
      </c>
      <c r="BR72" s="46">
        <f>IF(AND(T72&gt;0,V72&gt;0,AA72&lt;&gt;0),V72/AA72-T72,"")</f>
        <v/>
      </c>
      <c r="BS72" s="41">
        <f>IF(AND(BR72&lt;&gt;"",T72&gt;0),BR72/T72,"")</f>
        <v/>
      </c>
      <c r="BT72" s="46">
        <f>IF(AND(T72&gt;0,V72&gt;0,AO72&lt;&gt;0),V72/AO72-T72,"")</f>
        <v/>
      </c>
      <c r="BU72" s="41">
        <f>IF(AND(BT72&lt;&gt;"",T72&gt;0),BT72/T72,"")</f>
        <v/>
      </c>
    </row>
    <row r="73">
      <c r="A73" s="36">
        <f>'📊 Исходные данные'!A72</f>
        <v/>
      </c>
      <c r="B73" s="37">
        <f>'📊 Исходные данные'!B72</f>
        <v/>
      </c>
      <c r="C73" s="38">
        <f>'📊 Исходные данные'!C72</f>
        <v/>
      </c>
      <c r="D73" s="38">
        <f>'📊 Исходные данные'!D72</f>
        <v/>
      </c>
      <c r="E73" s="39">
        <f>IF(OR(D73="",F73=""),"-",IF(D73&gt;F73*1.05,"Выше рынка",IF(D73&lt;F73*0.95,"Ниже рынка","На уровне")))</f>
        <v/>
      </c>
      <c r="F73" s="40">
        <f>IFERROR(AVERAGE('📊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G73" s="40">
        <f>IFERROR(MEDIAN('📊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H73" s="40">
        <f>IFERROR(MIN('📊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I73" s="40">
        <f>IFERROR(MAX('📊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данные'!K72),"")</f>
        <v/>
      </c>
      <c r="J73" s="41">
        <f>IF(AND(D73&lt;&gt;"",F73&lt;&gt;""),(D73-F73)/F73,"")</f>
        <v/>
      </c>
      <c r="K73" s="41">
        <f>IF(AND(D73&lt;&gt;"",G73&lt;&gt;""),(D73-G73)/G73,"")</f>
        <v/>
      </c>
      <c r="L73" s="41">
        <f>IF(AND(D73&lt;&gt;"",H73&lt;&gt;""),(D73-H73)/H73,"")</f>
        <v/>
      </c>
      <c r="M73" s="42">
        <f>IFERROR(RANK(D73,('📊 Исходные данные'!E72,'📊 Исходные данные'!F72,'📊 Исходные данные'!G72,'📊 Исходные данные'!H72,'📊 Исходные данные'!I72,'📊 Исходные данные'!J72,'📊 Исходные данные'!K72)),"")</f>
        <v/>
      </c>
      <c r="N73" s="39">
        <f>IF(M73="","-",IF(M73=1,"Дороже всех",IF(M73=2,"2-й по цене",IF(M73&lt;=4,"Средний","Ниже конкурентов"))))</f>
        <v/>
      </c>
      <c r="O73" s="41">
        <f>IF(AND(C73&gt;0,D73&gt;0),(D73-C73)/C73,"")</f>
        <v/>
      </c>
      <c r="P73" s="41">
        <f>IF(AND(C73&gt;0,D73&gt;0),(D73-C73)/D73,"")</f>
        <v/>
      </c>
      <c r="Q73" s="40">
        <f>IF(AND(C73&gt;0,D73&gt;0),D73-C73,"")</f>
        <v/>
      </c>
      <c r="R73" s="39">
        <f>IF(P73="","-",IF(P73&lt;0.1,"Низкая(&lt;10%)",IF(P73&lt;0.2,"Средняя(10-20%)","Хорошая(&gt;20%)")))</f>
        <v/>
      </c>
      <c r="S73" s="39">
        <f>IF(OR(H73="",C73=""),"-",IF((H73-C73)/H73&lt;0.05,"КРИТИЧНО",IF((H73-C73)/H73&lt;0.15,"УМЕРЕННЫЙ","НИЗКИЙ")))</f>
        <v/>
      </c>
      <c r="T73" s="43" t="n"/>
      <c r="U73" s="40">
        <f>IF(T73&gt;0,T73*D73,"")</f>
        <v/>
      </c>
      <c r="V73" s="40">
        <f>IF(T73&gt;0,T73*Q73,"")</f>
        <v/>
      </c>
      <c r="W73" s="41">
        <f>IF(U73&gt;0,V73/U73,"")</f>
        <v/>
      </c>
      <c r="X73" s="40">
        <f>IF(F73&lt;&gt;"",F73,"")</f>
        <v/>
      </c>
      <c r="Y73" s="41">
        <f>IF(AND(X73&lt;&gt;"",C73&gt;0),(X73-C73)/C73,"")</f>
        <v/>
      </c>
      <c r="Z73" s="41">
        <f>IF(AND(X73&lt;&gt;"",X73&gt;0),(X73-C73)/X73,"")</f>
        <v/>
      </c>
      <c r="AA73" s="40">
        <f>IF(AND(X73&lt;&gt;"",C73&gt;0),X73-C73,"")</f>
        <v/>
      </c>
      <c r="AB73" s="41">
        <f>IF(AND(X73&lt;&gt;"",D73&gt;0),(X73-D73)/D73,"")</f>
        <v/>
      </c>
      <c r="AC73" s="41">
        <f>IF(AND(Z73&lt;&gt;"",P73&lt;&gt;""),(Z73-P73)/ABS(IF(P73=0,1,P73)),"")</f>
        <v/>
      </c>
      <c r="AD73" s="40">
        <f>IF(AND(AA73&lt;&gt;"",Q73&lt;&gt;""),AA73-Q73,"")</f>
        <v/>
      </c>
      <c r="AE73" s="40">
        <f>IF(G73&lt;&gt;"",G73,"")</f>
        <v/>
      </c>
      <c r="AF73" s="41">
        <f>IF(AND(AE73&lt;&gt;"",C73&gt;0),(AE73-C73)/C73,"")</f>
        <v/>
      </c>
      <c r="AG73" s="41">
        <f>IF(AND(AE73&lt;&gt;"",AE73&gt;0),(AE73-C73)/AE73,"")</f>
        <v/>
      </c>
      <c r="AH73" s="40">
        <f>IF(AND(AE73&lt;&gt;"",C73&gt;0),AE73-C73,"")</f>
        <v/>
      </c>
      <c r="AI73" s="41">
        <f>IF(AND(AE73&lt;&gt;"",D73&gt;0),(AE73-D73)/D73,"")</f>
        <v/>
      </c>
      <c r="AJ73" s="41">
        <f>IF(AND(AG73&lt;&gt;"",P73&lt;&gt;""),(AG73-P73)/ABS(IF(P73=0,1,P73)),"")</f>
        <v/>
      </c>
      <c r="AK73" s="40">
        <f>IF(AND(AH73&lt;&gt;"",Q73&lt;&gt;""),AH73-Q73,"")</f>
        <v/>
      </c>
      <c r="AL73" s="40">
        <f>IF(H73&lt;&gt;"",H73,"")</f>
        <v/>
      </c>
      <c r="AM73" s="41">
        <f>IF(AND(AL73&lt;&gt;"",C73&gt;0),(AL73-C73)/C73,"")</f>
        <v/>
      </c>
      <c r="AN73" s="41">
        <f>IF(AND(AL73&lt;&gt;"",AL73&gt;0),(AL73-C73)/AL73,"")</f>
        <v/>
      </c>
      <c r="AO73" s="40">
        <f>IF(AND(AL73&lt;&gt;"",C73&gt;0),AL73-C73,"")</f>
        <v/>
      </c>
      <c r="AP73" s="41">
        <f>IF(AND(AL73&lt;&gt;"",D73&gt;0),(AL73-D73)/D73,"")</f>
        <v/>
      </c>
      <c r="AQ73" s="41">
        <f>IF(AND(AN73&lt;&gt;"",P73&lt;&gt;""),(AN73-P73)/ABS(IF(P73=0,1,P73)),"")</f>
        <v/>
      </c>
      <c r="AR73" s="40">
        <f>IF(AND(AO73&lt;&gt;"",Q73&lt;&gt;""),AO73-Q73,"")</f>
        <v/>
      </c>
      <c r="AS73" s="44" t="n"/>
      <c r="AT73" s="41">
        <f>IF(AND(AS73&gt;0,C73&gt;0),(AS73-C73)/C73,"")</f>
        <v/>
      </c>
      <c r="AU73" s="41">
        <f>IF(AND(AS73&gt;0,AS73&gt;0),(AS73-C73)/AS73,"")</f>
        <v/>
      </c>
      <c r="AV73" s="40">
        <f>IF(AND(AS73&gt;0,C73&gt;0),AS73-C73,"")</f>
        <v/>
      </c>
      <c r="AW73" s="41">
        <f>IF(AND(AS73&gt;0,D73&gt;0),(AS73-D73)/D73,"")</f>
        <v/>
      </c>
      <c r="AX73" s="41">
        <f>IF(AND(AU73&lt;&gt;"",P73&lt;&gt;""),(AU73-P73)/ABS(IF(P73=0,1,P73)),"")</f>
        <v/>
      </c>
      <c r="AY73" s="40">
        <f>IF(AND(AV73&lt;&gt;"",Q73&lt;&gt;""),AV73-Q73,"")</f>
        <v/>
      </c>
      <c r="AZ73" s="45" t="n"/>
      <c r="BA73" s="40">
        <f>IF(AND(AZ73&gt;0,C73&gt;0),C73/(1-AZ73),"")</f>
        <v/>
      </c>
      <c r="BB73" s="41">
        <f>IF(AND(BA73&lt;&gt;"",C73&gt;0),(BA73-C73)/C73,"")</f>
        <v/>
      </c>
      <c r="BC73" s="41">
        <f>IF(BA73&lt;&gt;"",AZ73,"")</f>
        <v/>
      </c>
      <c r="BD73" s="40">
        <f>IF(AND(BA73&lt;&gt;"",C73&gt;0),BA73-C73,"")</f>
        <v/>
      </c>
      <c r="BE73" s="41">
        <f>IF(AND(BA73&lt;&gt;"",D73&gt;0),(BA73-D73)/D73,"")</f>
        <v/>
      </c>
      <c r="BF73" s="41">
        <f>IF(AND(BC73&lt;&gt;"",P73&lt;&gt;""),(BC73-P73)/ABS(IF(P73=0,1,P73)),"")</f>
        <v/>
      </c>
      <c r="BG73" s="40">
        <f>IF(AND(BD73&lt;&gt;"",Q73&lt;&gt;""),BD73-Q73,"")</f>
        <v/>
      </c>
      <c r="BH73" s="40">
        <f>IF(AND(T73&gt;0,X73&lt;&gt;""),T73*X73,"")</f>
        <v/>
      </c>
      <c r="BI73" s="40">
        <f>IF(AND(T73&gt;0,AA73&lt;&gt;""),T73*AA73,"")</f>
        <v/>
      </c>
      <c r="BJ73" s="40">
        <f>IF(AND(T73&gt;0,AE73&lt;&gt;""),T73*AE73,"")</f>
        <v/>
      </c>
      <c r="BK73" s="40">
        <f>IF(AND(T73&gt;0,AH73&lt;&gt;""),T73*AH73,"")</f>
        <v/>
      </c>
      <c r="BL73" s="40">
        <f>IF(AND(T73&gt;0,AL73&lt;&gt;""),T73*AL73,"")</f>
        <v/>
      </c>
      <c r="BM73" s="40">
        <f>IF(AND(T73&gt;0,AO73&lt;&gt;""),T73*AO73,"")</f>
        <v/>
      </c>
      <c r="BN73" s="40">
        <f>IF(AND(T73&gt;0,AS73&gt;0),T73*AS73,"")</f>
        <v/>
      </c>
      <c r="BO73" s="40">
        <f>IF(AND(T73&gt;0,AV73&lt;&gt;""),T73*AV73,"")</f>
        <v/>
      </c>
      <c r="BP73" s="40">
        <f>IF(AND(T73&gt;0,BA73&lt;&gt;""),T73*BA73,"")</f>
        <v/>
      </c>
      <c r="BQ73" s="40">
        <f>IF(AND(T73&gt;0,BD73&lt;&gt;""),T73*BD73,"")</f>
        <v/>
      </c>
      <c r="BR73" s="46">
        <f>IF(AND(T73&gt;0,V73&gt;0,AA73&lt;&gt;0),V73/AA73-T73,"")</f>
        <v/>
      </c>
      <c r="BS73" s="41">
        <f>IF(AND(BR73&lt;&gt;"",T73&gt;0),BR73/T73,"")</f>
        <v/>
      </c>
      <c r="BT73" s="46">
        <f>IF(AND(T73&gt;0,V73&gt;0,AO73&lt;&gt;0),V73/AO73-T73,"")</f>
        <v/>
      </c>
      <c r="BU73" s="41">
        <f>IF(AND(BT73&lt;&gt;"",T73&gt;0),BT73/T73,"")</f>
        <v/>
      </c>
    </row>
    <row r="74">
      <c r="A74" s="36">
        <f>'📊 Исходные данные'!A73</f>
        <v/>
      </c>
      <c r="B74" s="37">
        <f>'📊 Исходные данные'!B73</f>
        <v/>
      </c>
      <c r="C74" s="38">
        <f>'📊 Исходные данные'!C73</f>
        <v/>
      </c>
      <c r="D74" s="38">
        <f>'📊 Исходные данные'!D73</f>
        <v/>
      </c>
      <c r="E74" s="39">
        <f>IF(OR(D74="",F74=""),"-",IF(D74&gt;F74*1.05,"Выше рынка",IF(D74&lt;F74*0.95,"Ниже рынка","На уровне")))</f>
        <v/>
      </c>
      <c r="F74" s="40">
        <f>IFERROR(AVERAGE('📊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G74" s="40">
        <f>IFERROR(MEDIAN('📊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H74" s="40">
        <f>IFERROR(MIN('📊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I74" s="40">
        <f>IFERROR(MAX('📊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данные'!K73),"")</f>
        <v/>
      </c>
      <c r="J74" s="41">
        <f>IF(AND(D74&lt;&gt;"",F74&lt;&gt;""),(D74-F74)/F74,"")</f>
        <v/>
      </c>
      <c r="K74" s="41">
        <f>IF(AND(D74&lt;&gt;"",G74&lt;&gt;""),(D74-G74)/G74,"")</f>
        <v/>
      </c>
      <c r="L74" s="41">
        <f>IF(AND(D74&lt;&gt;"",H74&lt;&gt;""),(D74-H74)/H74,"")</f>
        <v/>
      </c>
      <c r="M74" s="42">
        <f>IFERROR(RANK(D74,('📊 Исходные данные'!E73,'📊 Исходные данные'!F73,'📊 Исходные данные'!G73,'📊 Исходные данные'!H73,'📊 Исходные данные'!I73,'📊 Исходные данные'!J73,'📊 Исходные данные'!K73)),"")</f>
        <v/>
      </c>
      <c r="N74" s="39">
        <f>IF(M74="","-",IF(M74=1,"Дороже всех",IF(M74=2,"2-й по цене",IF(M74&lt;=4,"Средний","Ниже конкурентов"))))</f>
        <v/>
      </c>
      <c r="O74" s="41">
        <f>IF(AND(C74&gt;0,D74&gt;0),(D74-C74)/C74,"")</f>
        <v/>
      </c>
      <c r="P74" s="41">
        <f>IF(AND(C74&gt;0,D74&gt;0),(D74-C74)/D74,"")</f>
        <v/>
      </c>
      <c r="Q74" s="40">
        <f>IF(AND(C74&gt;0,D74&gt;0),D74-C74,"")</f>
        <v/>
      </c>
      <c r="R74" s="39">
        <f>IF(P74="","-",IF(P74&lt;0.1,"Низкая(&lt;10%)",IF(P74&lt;0.2,"Средняя(10-20%)","Хорошая(&gt;20%)")))</f>
        <v/>
      </c>
      <c r="S74" s="39">
        <f>IF(OR(H74="",C74=""),"-",IF((H74-C74)/H74&lt;0.05,"КРИТИЧНО",IF((H74-C74)/H74&lt;0.15,"УМЕРЕННЫЙ","НИЗКИЙ")))</f>
        <v/>
      </c>
      <c r="T74" s="43" t="n"/>
      <c r="U74" s="40">
        <f>IF(T74&gt;0,T74*D74,"")</f>
        <v/>
      </c>
      <c r="V74" s="40">
        <f>IF(T74&gt;0,T74*Q74,"")</f>
        <v/>
      </c>
      <c r="W74" s="41">
        <f>IF(U74&gt;0,V74/U74,"")</f>
        <v/>
      </c>
      <c r="X74" s="40">
        <f>IF(F74&lt;&gt;"",F74,"")</f>
        <v/>
      </c>
      <c r="Y74" s="41">
        <f>IF(AND(X74&lt;&gt;"",C74&gt;0),(X74-C74)/C74,"")</f>
        <v/>
      </c>
      <c r="Z74" s="41">
        <f>IF(AND(X74&lt;&gt;"",X74&gt;0),(X74-C74)/X74,"")</f>
        <v/>
      </c>
      <c r="AA74" s="40">
        <f>IF(AND(X74&lt;&gt;"",C74&gt;0),X74-C74,"")</f>
        <v/>
      </c>
      <c r="AB74" s="41">
        <f>IF(AND(X74&lt;&gt;"",D74&gt;0),(X74-D74)/D74,"")</f>
        <v/>
      </c>
      <c r="AC74" s="41">
        <f>IF(AND(Z74&lt;&gt;"",P74&lt;&gt;""),(Z74-P74)/ABS(IF(P74=0,1,P74)),"")</f>
        <v/>
      </c>
      <c r="AD74" s="40">
        <f>IF(AND(AA74&lt;&gt;"",Q74&lt;&gt;""),AA74-Q74,"")</f>
        <v/>
      </c>
      <c r="AE74" s="40">
        <f>IF(G74&lt;&gt;"",G74,"")</f>
        <v/>
      </c>
      <c r="AF74" s="41">
        <f>IF(AND(AE74&lt;&gt;"",C74&gt;0),(AE74-C74)/C74,"")</f>
        <v/>
      </c>
      <c r="AG74" s="41">
        <f>IF(AND(AE74&lt;&gt;"",AE74&gt;0),(AE74-C74)/AE74,"")</f>
        <v/>
      </c>
      <c r="AH74" s="40">
        <f>IF(AND(AE74&lt;&gt;"",C74&gt;0),AE74-C74,"")</f>
        <v/>
      </c>
      <c r="AI74" s="41">
        <f>IF(AND(AE74&lt;&gt;"",D74&gt;0),(AE74-D74)/D74,"")</f>
        <v/>
      </c>
      <c r="AJ74" s="41">
        <f>IF(AND(AG74&lt;&gt;"",P74&lt;&gt;""),(AG74-P74)/ABS(IF(P74=0,1,P74)),"")</f>
        <v/>
      </c>
      <c r="AK74" s="40">
        <f>IF(AND(AH74&lt;&gt;"",Q74&lt;&gt;""),AH74-Q74,"")</f>
        <v/>
      </c>
      <c r="AL74" s="40">
        <f>IF(H74&lt;&gt;"",H74,"")</f>
        <v/>
      </c>
      <c r="AM74" s="41">
        <f>IF(AND(AL74&lt;&gt;"",C74&gt;0),(AL74-C74)/C74,"")</f>
        <v/>
      </c>
      <c r="AN74" s="41">
        <f>IF(AND(AL74&lt;&gt;"",AL74&gt;0),(AL74-C74)/AL74,"")</f>
        <v/>
      </c>
      <c r="AO74" s="40">
        <f>IF(AND(AL74&lt;&gt;"",C74&gt;0),AL74-C74,"")</f>
        <v/>
      </c>
      <c r="AP74" s="41">
        <f>IF(AND(AL74&lt;&gt;"",D74&gt;0),(AL74-D74)/D74,"")</f>
        <v/>
      </c>
      <c r="AQ74" s="41">
        <f>IF(AND(AN74&lt;&gt;"",P74&lt;&gt;""),(AN74-P74)/ABS(IF(P74=0,1,P74)),"")</f>
        <v/>
      </c>
      <c r="AR74" s="40">
        <f>IF(AND(AO74&lt;&gt;"",Q74&lt;&gt;""),AO74-Q74,"")</f>
        <v/>
      </c>
      <c r="AS74" s="44" t="n"/>
      <c r="AT74" s="41">
        <f>IF(AND(AS74&gt;0,C74&gt;0),(AS74-C74)/C74,"")</f>
        <v/>
      </c>
      <c r="AU74" s="41">
        <f>IF(AND(AS74&gt;0,AS74&gt;0),(AS74-C74)/AS74,"")</f>
        <v/>
      </c>
      <c r="AV74" s="40">
        <f>IF(AND(AS74&gt;0,C74&gt;0),AS74-C74,"")</f>
        <v/>
      </c>
      <c r="AW74" s="41">
        <f>IF(AND(AS74&gt;0,D74&gt;0),(AS74-D74)/D74,"")</f>
        <v/>
      </c>
      <c r="AX74" s="41">
        <f>IF(AND(AU74&lt;&gt;"",P74&lt;&gt;""),(AU74-P74)/ABS(IF(P74=0,1,P74)),"")</f>
        <v/>
      </c>
      <c r="AY74" s="40">
        <f>IF(AND(AV74&lt;&gt;"",Q74&lt;&gt;""),AV74-Q74,"")</f>
        <v/>
      </c>
      <c r="AZ74" s="45" t="n"/>
      <c r="BA74" s="40">
        <f>IF(AND(AZ74&gt;0,C74&gt;0),C74/(1-AZ74),"")</f>
        <v/>
      </c>
      <c r="BB74" s="41">
        <f>IF(AND(BA74&lt;&gt;"",C74&gt;0),(BA74-C74)/C74,"")</f>
        <v/>
      </c>
      <c r="BC74" s="41">
        <f>IF(BA74&lt;&gt;"",AZ74,"")</f>
        <v/>
      </c>
      <c r="BD74" s="40">
        <f>IF(AND(BA74&lt;&gt;"",C74&gt;0),BA74-C74,"")</f>
        <v/>
      </c>
      <c r="BE74" s="41">
        <f>IF(AND(BA74&lt;&gt;"",D74&gt;0),(BA74-D74)/D74,"")</f>
        <v/>
      </c>
      <c r="BF74" s="41">
        <f>IF(AND(BC74&lt;&gt;"",P74&lt;&gt;""),(BC74-P74)/ABS(IF(P74=0,1,P74)),"")</f>
        <v/>
      </c>
      <c r="BG74" s="40">
        <f>IF(AND(BD74&lt;&gt;"",Q74&lt;&gt;""),BD74-Q74,"")</f>
        <v/>
      </c>
      <c r="BH74" s="40">
        <f>IF(AND(T74&gt;0,X74&lt;&gt;""),T74*X74,"")</f>
        <v/>
      </c>
      <c r="BI74" s="40">
        <f>IF(AND(T74&gt;0,AA74&lt;&gt;""),T74*AA74,"")</f>
        <v/>
      </c>
      <c r="BJ74" s="40">
        <f>IF(AND(T74&gt;0,AE74&lt;&gt;""),T74*AE74,"")</f>
        <v/>
      </c>
      <c r="BK74" s="40">
        <f>IF(AND(T74&gt;0,AH74&lt;&gt;""),T74*AH74,"")</f>
        <v/>
      </c>
      <c r="BL74" s="40">
        <f>IF(AND(T74&gt;0,AL74&lt;&gt;""),T74*AL74,"")</f>
        <v/>
      </c>
      <c r="BM74" s="40">
        <f>IF(AND(T74&gt;0,AO74&lt;&gt;""),T74*AO74,"")</f>
        <v/>
      </c>
      <c r="BN74" s="40">
        <f>IF(AND(T74&gt;0,AS74&gt;0),T74*AS74,"")</f>
        <v/>
      </c>
      <c r="BO74" s="40">
        <f>IF(AND(T74&gt;0,AV74&lt;&gt;""),T74*AV74,"")</f>
        <v/>
      </c>
      <c r="BP74" s="40">
        <f>IF(AND(T74&gt;0,BA74&lt;&gt;""),T74*BA74,"")</f>
        <v/>
      </c>
      <c r="BQ74" s="40">
        <f>IF(AND(T74&gt;0,BD74&lt;&gt;""),T74*BD74,"")</f>
        <v/>
      </c>
      <c r="BR74" s="46">
        <f>IF(AND(T74&gt;0,V74&gt;0,AA74&lt;&gt;0),V74/AA74-T74,"")</f>
        <v/>
      </c>
      <c r="BS74" s="41">
        <f>IF(AND(BR74&lt;&gt;"",T74&gt;0),BR74/T74,"")</f>
        <v/>
      </c>
      <c r="BT74" s="46">
        <f>IF(AND(T74&gt;0,V74&gt;0,AO74&lt;&gt;0),V74/AO74-T74,"")</f>
        <v/>
      </c>
      <c r="BU74" s="41">
        <f>IF(AND(BT74&lt;&gt;"",T74&gt;0),BT74/T74,"")</f>
        <v/>
      </c>
    </row>
    <row r="75">
      <c r="A75" s="36">
        <f>'📊 Исходные данные'!A74</f>
        <v/>
      </c>
      <c r="B75" s="37">
        <f>'📊 Исходные данные'!B74</f>
        <v/>
      </c>
      <c r="C75" s="38">
        <f>'📊 Исходные данные'!C74</f>
        <v/>
      </c>
      <c r="D75" s="38">
        <f>'📊 Исходные данные'!D74</f>
        <v/>
      </c>
      <c r="E75" s="39">
        <f>IF(OR(D75="",F75=""),"-",IF(D75&gt;F75*1.05,"Выше рынка",IF(D75&lt;F75*0.95,"Ниже рынка","На уровне")))</f>
        <v/>
      </c>
      <c r="F75" s="40">
        <f>IFERROR(AVERAGE('📊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G75" s="40">
        <f>IFERROR(MEDIAN('📊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H75" s="40">
        <f>IFERROR(MIN('📊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I75" s="40">
        <f>IFERROR(MAX('📊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данные'!K74),"")</f>
        <v/>
      </c>
      <c r="J75" s="41">
        <f>IF(AND(D75&lt;&gt;"",F75&lt;&gt;""),(D75-F75)/F75,"")</f>
        <v/>
      </c>
      <c r="K75" s="41">
        <f>IF(AND(D75&lt;&gt;"",G75&lt;&gt;""),(D75-G75)/G75,"")</f>
        <v/>
      </c>
      <c r="L75" s="41">
        <f>IF(AND(D75&lt;&gt;"",H75&lt;&gt;""),(D75-H75)/H75,"")</f>
        <v/>
      </c>
      <c r="M75" s="42">
        <f>IFERROR(RANK(D75,('📊 Исходные данные'!E74,'📊 Исходные данные'!F74,'📊 Исходные данные'!G74,'📊 Исходные данные'!H74,'📊 Исходные данные'!I74,'📊 Исходные данные'!J74,'📊 Исходные данные'!K74)),"")</f>
        <v/>
      </c>
      <c r="N75" s="39">
        <f>IF(M75="","-",IF(M75=1,"Дороже всех",IF(M75=2,"2-й по цене",IF(M75&lt;=4,"Средний","Ниже конкурентов"))))</f>
        <v/>
      </c>
      <c r="O75" s="41">
        <f>IF(AND(C75&gt;0,D75&gt;0),(D75-C75)/C75,"")</f>
        <v/>
      </c>
      <c r="P75" s="41">
        <f>IF(AND(C75&gt;0,D75&gt;0),(D75-C75)/D75,"")</f>
        <v/>
      </c>
      <c r="Q75" s="40">
        <f>IF(AND(C75&gt;0,D75&gt;0),D75-C75,"")</f>
        <v/>
      </c>
      <c r="R75" s="39">
        <f>IF(P75="","-",IF(P75&lt;0.1,"Низкая(&lt;10%)",IF(P75&lt;0.2,"Средняя(10-20%)","Хорошая(&gt;20%)")))</f>
        <v/>
      </c>
      <c r="S75" s="39">
        <f>IF(OR(H75="",C75=""),"-",IF((H75-C75)/H75&lt;0.05,"КРИТИЧНО",IF((H75-C75)/H75&lt;0.15,"УМЕРЕННЫЙ","НИЗКИЙ")))</f>
        <v/>
      </c>
      <c r="T75" s="43" t="n"/>
      <c r="U75" s="40">
        <f>IF(T75&gt;0,T75*D75,"")</f>
        <v/>
      </c>
      <c r="V75" s="40">
        <f>IF(T75&gt;0,T75*Q75,"")</f>
        <v/>
      </c>
      <c r="W75" s="41">
        <f>IF(U75&gt;0,V75/U75,"")</f>
        <v/>
      </c>
      <c r="X75" s="40">
        <f>IF(F75&lt;&gt;"",F75,"")</f>
        <v/>
      </c>
      <c r="Y75" s="41">
        <f>IF(AND(X75&lt;&gt;"",C75&gt;0),(X75-C75)/C75,"")</f>
        <v/>
      </c>
      <c r="Z75" s="41">
        <f>IF(AND(X75&lt;&gt;"",X75&gt;0),(X75-C75)/X75,"")</f>
        <v/>
      </c>
      <c r="AA75" s="40">
        <f>IF(AND(X75&lt;&gt;"",C75&gt;0),X75-C75,"")</f>
        <v/>
      </c>
      <c r="AB75" s="41">
        <f>IF(AND(X75&lt;&gt;"",D75&gt;0),(X75-D75)/D75,"")</f>
        <v/>
      </c>
      <c r="AC75" s="41">
        <f>IF(AND(Z75&lt;&gt;"",P75&lt;&gt;""),(Z75-P75)/ABS(IF(P75=0,1,P75)),"")</f>
        <v/>
      </c>
      <c r="AD75" s="40">
        <f>IF(AND(AA75&lt;&gt;"",Q75&lt;&gt;""),AA75-Q75,"")</f>
        <v/>
      </c>
      <c r="AE75" s="40">
        <f>IF(G75&lt;&gt;"",G75,"")</f>
        <v/>
      </c>
      <c r="AF75" s="41">
        <f>IF(AND(AE75&lt;&gt;"",C75&gt;0),(AE75-C75)/C75,"")</f>
        <v/>
      </c>
      <c r="AG75" s="41">
        <f>IF(AND(AE75&lt;&gt;"",AE75&gt;0),(AE75-C75)/AE75,"")</f>
        <v/>
      </c>
      <c r="AH75" s="40">
        <f>IF(AND(AE75&lt;&gt;"",C75&gt;0),AE75-C75,"")</f>
        <v/>
      </c>
      <c r="AI75" s="41">
        <f>IF(AND(AE75&lt;&gt;"",D75&gt;0),(AE75-D75)/D75,"")</f>
        <v/>
      </c>
      <c r="AJ75" s="41">
        <f>IF(AND(AG75&lt;&gt;"",P75&lt;&gt;""),(AG75-P75)/ABS(IF(P75=0,1,P75)),"")</f>
        <v/>
      </c>
      <c r="AK75" s="40">
        <f>IF(AND(AH75&lt;&gt;"",Q75&lt;&gt;""),AH75-Q75,"")</f>
        <v/>
      </c>
      <c r="AL75" s="40">
        <f>IF(H75&lt;&gt;"",H75,"")</f>
        <v/>
      </c>
      <c r="AM75" s="41">
        <f>IF(AND(AL75&lt;&gt;"",C75&gt;0),(AL75-C75)/C75,"")</f>
        <v/>
      </c>
      <c r="AN75" s="41">
        <f>IF(AND(AL75&lt;&gt;"",AL75&gt;0),(AL75-C75)/AL75,"")</f>
        <v/>
      </c>
      <c r="AO75" s="40">
        <f>IF(AND(AL75&lt;&gt;"",C75&gt;0),AL75-C75,"")</f>
        <v/>
      </c>
      <c r="AP75" s="41">
        <f>IF(AND(AL75&lt;&gt;"",D75&gt;0),(AL75-D75)/D75,"")</f>
        <v/>
      </c>
      <c r="AQ75" s="41">
        <f>IF(AND(AN75&lt;&gt;"",P75&lt;&gt;""),(AN75-P75)/ABS(IF(P75=0,1,P75)),"")</f>
        <v/>
      </c>
      <c r="AR75" s="40">
        <f>IF(AND(AO75&lt;&gt;"",Q75&lt;&gt;""),AO75-Q75,"")</f>
        <v/>
      </c>
      <c r="AS75" s="44" t="n"/>
      <c r="AT75" s="41">
        <f>IF(AND(AS75&gt;0,C75&gt;0),(AS75-C75)/C75,"")</f>
        <v/>
      </c>
      <c r="AU75" s="41">
        <f>IF(AND(AS75&gt;0,AS75&gt;0),(AS75-C75)/AS75,"")</f>
        <v/>
      </c>
      <c r="AV75" s="40">
        <f>IF(AND(AS75&gt;0,C75&gt;0),AS75-C75,"")</f>
        <v/>
      </c>
      <c r="AW75" s="41">
        <f>IF(AND(AS75&gt;0,D75&gt;0),(AS75-D75)/D75,"")</f>
        <v/>
      </c>
      <c r="AX75" s="41">
        <f>IF(AND(AU75&lt;&gt;"",P75&lt;&gt;""),(AU75-P75)/ABS(IF(P75=0,1,P75)),"")</f>
        <v/>
      </c>
      <c r="AY75" s="40">
        <f>IF(AND(AV75&lt;&gt;"",Q75&lt;&gt;""),AV75-Q75,"")</f>
        <v/>
      </c>
      <c r="AZ75" s="45" t="n"/>
      <c r="BA75" s="40">
        <f>IF(AND(AZ75&gt;0,C75&gt;0),C75/(1-AZ75),"")</f>
        <v/>
      </c>
      <c r="BB75" s="41">
        <f>IF(AND(BA75&lt;&gt;"",C75&gt;0),(BA75-C75)/C75,"")</f>
        <v/>
      </c>
      <c r="BC75" s="41">
        <f>IF(BA75&lt;&gt;"",AZ75,"")</f>
        <v/>
      </c>
      <c r="BD75" s="40">
        <f>IF(AND(BA75&lt;&gt;"",C75&gt;0),BA75-C75,"")</f>
        <v/>
      </c>
      <c r="BE75" s="41">
        <f>IF(AND(BA75&lt;&gt;"",D75&gt;0),(BA75-D75)/D75,"")</f>
        <v/>
      </c>
      <c r="BF75" s="41">
        <f>IF(AND(BC75&lt;&gt;"",P75&lt;&gt;""),(BC75-P75)/ABS(IF(P75=0,1,P75)),"")</f>
        <v/>
      </c>
      <c r="BG75" s="40">
        <f>IF(AND(BD75&lt;&gt;"",Q75&lt;&gt;""),BD75-Q75,"")</f>
        <v/>
      </c>
      <c r="BH75" s="40">
        <f>IF(AND(T75&gt;0,X75&lt;&gt;""),T75*X75,"")</f>
        <v/>
      </c>
      <c r="BI75" s="40">
        <f>IF(AND(T75&gt;0,AA75&lt;&gt;""),T75*AA75,"")</f>
        <v/>
      </c>
      <c r="BJ75" s="40">
        <f>IF(AND(T75&gt;0,AE75&lt;&gt;""),T75*AE75,"")</f>
        <v/>
      </c>
      <c r="BK75" s="40">
        <f>IF(AND(T75&gt;0,AH75&lt;&gt;""),T75*AH75,"")</f>
        <v/>
      </c>
      <c r="BL75" s="40">
        <f>IF(AND(T75&gt;0,AL75&lt;&gt;""),T75*AL75,"")</f>
        <v/>
      </c>
      <c r="BM75" s="40">
        <f>IF(AND(T75&gt;0,AO75&lt;&gt;""),T75*AO75,"")</f>
        <v/>
      </c>
      <c r="BN75" s="40">
        <f>IF(AND(T75&gt;0,AS75&gt;0),T75*AS75,"")</f>
        <v/>
      </c>
      <c r="BO75" s="40">
        <f>IF(AND(T75&gt;0,AV75&lt;&gt;""),T75*AV75,"")</f>
        <v/>
      </c>
      <c r="BP75" s="40">
        <f>IF(AND(T75&gt;0,BA75&lt;&gt;""),T75*BA75,"")</f>
        <v/>
      </c>
      <c r="BQ75" s="40">
        <f>IF(AND(T75&gt;0,BD75&lt;&gt;""),T75*BD75,"")</f>
        <v/>
      </c>
      <c r="BR75" s="46">
        <f>IF(AND(T75&gt;0,V75&gt;0,AA75&lt;&gt;0),V75/AA75-T75,"")</f>
        <v/>
      </c>
      <c r="BS75" s="41">
        <f>IF(AND(BR75&lt;&gt;"",T75&gt;0),BR75/T75,"")</f>
        <v/>
      </c>
      <c r="BT75" s="46">
        <f>IF(AND(T75&gt;0,V75&gt;0,AO75&lt;&gt;0),V75/AO75-T75,"")</f>
        <v/>
      </c>
      <c r="BU75" s="41">
        <f>IF(AND(BT75&lt;&gt;"",T75&gt;0),BT75/T75,"")</f>
        <v/>
      </c>
    </row>
    <row r="76">
      <c r="A76" s="36">
        <f>'📊 Исходные данные'!A75</f>
        <v/>
      </c>
      <c r="B76" s="37">
        <f>'📊 Исходные данные'!B75</f>
        <v/>
      </c>
      <c r="C76" s="38">
        <f>'📊 Исходные данные'!C75</f>
        <v/>
      </c>
      <c r="D76" s="38">
        <f>'📊 Исходные данные'!D75</f>
        <v/>
      </c>
      <c r="E76" s="39">
        <f>IF(OR(D76="",F76=""),"-",IF(D76&gt;F76*1.05,"Выше рынка",IF(D76&lt;F76*0.95,"Ниже рынка","На уровне")))</f>
        <v/>
      </c>
      <c r="F76" s="40">
        <f>IFERROR(AVERAGE('📊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G76" s="40">
        <f>IFERROR(MEDIAN('📊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H76" s="40">
        <f>IFERROR(MIN('📊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I76" s="40">
        <f>IFERROR(MAX('📊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данные'!K75),"")</f>
        <v/>
      </c>
      <c r="J76" s="41">
        <f>IF(AND(D76&lt;&gt;"",F76&lt;&gt;""),(D76-F76)/F76,"")</f>
        <v/>
      </c>
      <c r="K76" s="41">
        <f>IF(AND(D76&lt;&gt;"",G76&lt;&gt;""),(D76-G76)/G76,"")</f>
        <v/>
      </c>
      <c r="L76" s="41">
        <f>IF(AND(D76&lt;&gt;"",H76&lt;&gt;""),(D76-H76)/H76,"")</f>
        <v/>
      </c>
      <c r="M76" s="42">
        <f>IFERROR(RANK(D76,('📊 Исходные данные'!E75,'📊 Исходные данные'!F75,'📊 Исходные данные'!G75,'📊 Исходные данные'!H75,'📊 Исходные данные'!I75,'📊 Исходные данные'!J75,'📊 Исходные данные'!K75)),"")</f>
        <v/>
      </c>
      <c r="N76" s="39">
        <f>IF(M76="","-",IF(M76=1,"Дороже всех",IF(M76=2,"2-й по цене",IF(M76&lt;=4,"Средний","Ниже конкурентов"))))</f>
        <v/>
      </c>
      <c r="O76" s="41">
        <f>IF(AND(C76&gt;0,D76&gt;0),(D76-C76)/C76,"")</f>
        <v/>
      </c>
      <c r="P76" s="41">
        <f>IF(AND(C76&gt;0,D76&gt;0),(D76-C76)/D76,"")</f>
        <v/>
      </c>
      <c r="Q76" s="40">
        <f>IF(AND(C76&gt;0,D76&gt;0),D76-C76,"")</f>
        <v/>
      </c>
      <c r="R76" s="39">
        <f>IF(P76="","-",IF(P76&lt;0.1,"Низкая(&lt;10%)",IF(P76&lt;0.2,"Средняя(10-20%)","Хорошая(&gt;20%)")))</f>
        <v/>
      </c>
      <c r="S76" s="39">
        <f>IF(OR(H76="",C76=""),"-",IF((H76-C76)/H76&lt;0.05,"КРИТИЧНО",IF((H76-C76)/H76&lt;0.15,"УМЕРЕННЫЙ","НИЗКИЙ")))</f>
        <v/>
      </c>
      <c r="T76" s="43" t="n"/>
      <c r="U76" s="40">
        <f>IF(T76&gt;0,T76*D76,"")</f>
        <v/>
      </c>
      <c r="V76" s="40">
        <f>IF(T76&gt;0,T76*Q76,"")</f>
        <v/>
      </c>
      <c r="W76" s="41">
        <f>IF(U76&gt;0,V76/U76,"")</f>
        <v/>
      </c>
      <c r="X76" s="40">
        <f>IF(F76&lt;&gt;"",F76,"")</f>
        <v/>
      </c>
      <c r="Y76" s="41">
        <f>IF(AND(X76&lt;&gt;"",C76&gt;0),(X76-C76)/C76,"")</f>
        <v/>
      </c>
      <c r="Z76" s="41">
        <f>IF(AND(X76&lt;&gt;"",X76&gt;0),(X76-C76)/X76,"")</f>
        <v/>
      </c>
      <c r="AA76" s="40">
        <f>IF(AND(X76&lt;&gt;"",C76&gt;0),X76-C76,"")</f>
        <v/>
      </c>
      <c r="AB76" s="41">
        <f>IF(AND(X76&lt;&gt;"",D76&gt;0),(X76-D76)/D76,"")</f>
        <v/>
      </c>
      <c r="AC76" s="41">
        <f>IF(AND(Z76&lt;&gt;"",P76&lt;&gt;""),(Z76-P76)/ABS(IF(P76=0,1,P76)),"")</f>
        <v/>
      </c>
      <c r="AD76" s="40">
        <f>IF(AND(AA76&lt;&gt;"",Q76&lt;&gt;""),AA76-Q76,"")</f>
        <v/>
      </c>
      <c r="AE76" s="40">
        <f>IF(G76&lt;&gt;"",G76,"")</f>
        <v/>
      </c>
      <c r="AF76" s="41">
        <f>IF(AND(AE76&lt;&gt;"",C76&gt;0),(AE76-C76)/C76,"")</f>
        <v/>
      </c>
      <c r="AG76" s="41">
        <f>IF(AND(AE76&lt;&gt;"",AE76&gt;0),(AE76-C76)/AE76,"")</f>
        <v/>
      </c>
      <c r="AH76" s="40">
        <f>IF(AND(AE76&lt;&gt;"",C76&gt;0),AE76-C76,"")</f>
        <v/>
      </c>
      <c r="AI76" s="41">
        <f>IF(AND(AE76&lt;&gt;"",D76&gt;0),(AE76-D76)/D76,"")</f>
        <v/>
      </c>
      <c r="AJ76" s="41">
        <f>IF(AND(AG76&lt;&gt;"",P76&lt;&gt;""),(AG76-P76)/ABS(IF(P76=0,1,P76)),"")</f>
        <v/>
      </c>
      <c r="AK76" s="40">
        <f>IF(AND(AH76&lt;&gt;"",Q76&lt;&gt;""),AH76-Q76,"")</f>
        <v/>
      </c>
      <c r="AL76" s="40">
        <f>IF(H76&lt;&gt;"",H76,"")</f>
        <v/>
      </c>
      <c r="AM76" s="41">
        <f>IF(AND(AL76&lt;&gt;"",C76&gt;0),(AL76-C76)/C76,"")</f>
        <v/>
      </c>
      <c r="AN76" s="41">
        <f>IF(AND(AL76&lt;&gt;"",AL76&gt;0),(AL76-C76)/AL76,"")</f>
        <v/>
      </c>
      <c r="AO76" s="40">
        <f>IF(AND(AL76&lt;&gt;"",C76&gt;0),AL76-C76,"")</f>
        <v/>
      </c>
      <c r="AP76" s="41">
        <f>IF(AND(AL76&lt;&gt;"",D76&gt;0),(AL76-D76)/D76,"")</f>
        <v/>
      </c>
      <c r="AQ76" s="41">
        <f>IF(AND(AN76&lt;&gt;"",P76&lt;&gt;""),(AN76-P76)/ABS(IF(P76=0,1,P76)),"")</f>
        <v/>
      </c>
      <c r="AR76" s="40">
        <f>IF(AND(AO76&lt;&gt;"",Q76&lt;&gt;""),AO76-Q76,"")</f>
        <v/>
      </c>
      <c r="AS76" s="44" t="n"/>
      <c r="AT76" s="41">
        <f>IF(AND(AS76&gt;0,C76&gt;0),(AS76-C76)/C76,"")</f>
        <v/>
      </c>
      <c r="AU76" s="41">
        <f>IF(AND(AS76&gt;0,AS76&gt;0),(AS76-C76)/AS76,"")</f>
        <v/>
      </c>
      <c r="AV76" s="40">
        <f>IF(AND(AS76&gt;0,C76&gt;0),AS76-C76,"")</f>
        <v/>
      </c>
      <c r="AW76" s="41">
        <f>IF(AND(AS76&gt;0,D76&gt;0),(AS76-D76)/D76,"")</f>
        <v/>
      </c>
      <c r="AX76" s="41">
        <f>IF(AND(AU76&lt;&gt;"",P76&lt;&gt;""),(AU76-P76)/ABS(IF(P76=0,1,P76)),"")</f>
        <v/>
      </c>
      <c r="AY76" s="40">
        <f>IF(AND(AV76&lt;&gt;"",Q76&lt;&gt;""),AV76-Q76,"")</f>
        <v/>
      </c>
      <c r="AZ76" s="45" t="n"/>
      <c r="BA76" s="40">
        <f>IF(AND(AZ76&gt;0,C76&gt;0),C76/(1-AZ76),"")</f>
        <v/>
      </c>
      <c r="BB76" s="41">
        <f>IF(AND(BA76&lt;&gt;"",C76&gt;0),(BA76-C76)/C76,"")</f>
        <v/>
      </c>
      <c r="BC76" s="41">
        <f>IF(BA76&lt;&gt;"",AZ76,"")</f>
        <v/>
      </c>
      <c r="BD76" s="40">
        <f>IF(AND(BA76&lt;&gt;"",C76&gt;0),BA76-C76,"")</f>
        <v/>
      </c>
      <c r="BE76" s="41">
        <f>IF(AND(BA76&lt;&gt;"",D76&gt;0),(BA76-D76)/D76,"")</f>
        <v/>
      </c>
      <c r="BF76" s="41">
        <f>IF(AND(BC76&lt;&gt;"",P76&lt;&gt;""),(BC76-P76)/ABS(IF(P76=0,1,P76)),"")</f>
        <v/>
      </c>
      <c r="BG76" s="40">
        <f>IF(AND(BD76&lt;&gt;"",Q76&lt;&gt;""),BD76-Q76,"")</f>
        <v/>
      </c>
      <c r="BH76" s="40">
        <f>IF(AND(T76&gt;0,X76&lt;&gt;""),T76*X76,"")</f>
        <v/>
      </c>
      <c r="BI76" s="40">
        <f>IF(AND(T76&gt;0,AA76&lt;&gt;""),T76*AA76,"")</f>
        <v/>
      </c>
      <c r="BJ76" s="40">
        <f>IF(AND(T76&gt;0,AE76&lt;&gt;""),T76*AE76,"")</f>
        <v/>
      </c>
      <c r="BK76" s="40">
        <f>IF(AND(T76&gt;0,AH76&lt;&gt;""),T76*AH76,"")</f>
        <v/>
      </c>
      <c r="BL76" s="40">
        <f>IF(AND(T76&gt;0,AL76&lt;&gt;""),T76*AL76,"")</f>
        <v/>
      </c>
      <c r="BM76" s="40">
        <f>IF(AND(T76&gt;0,AO76&lt;&gt;""),T76*AO76,"")</f>
        <v/>
      </c>
      <c r="BN76" s="40">
        <f>IF(AND(T76&gt;0,AS76&gt;0),T76*AS76,"")</f>
        <v/>
      </c>
      <c r="BO76" s="40">
        <f>IF(AND(T76&gt;0,AV76&lt;&gt;""),T76*AV76,"")</f>
        <v/>
      </c>
      <c r="BP76" s="40">
        <f>IF(AND(T76&gt;0,BA76&lt;&gt;""),T76*BA76,"")</f>
        <v/>
      </c>
      <c r="BQ76" s="40">
        <f>IF(AND(T76&gt;0,BD76&lt;&gt;""),T76*BD76,"")</f>
        <v/>
      </c>
      <c r="BR76" s="46">
        <f>IF(AND(T76&gt;0,V76&gt;0,AA76&lt;&gt;0),V76/AA76-T76,"")</f>
        <v/>
      </c>
      <c r="BS76" s="41">
        <f>IF(AND(BR76&lt;&gt;"",T76&gt;0),BR76/T76,"")</f>
        <v/>
      </c>
      <c r="BT76" s="46">
        <f>IF(AND(T76&gt;0,V76&gt;0,AO76&lt;&gt;0),V76/AO76-T76,"")</f>
        <v/>
      </c>
      <c r="BU76" s="41">
        <f>IF(AND(BT76&lt;&gt;"",T76&gt;0),BT76/T76,"")</f>
        <v/>
      </c>
    </row>
    <row r="77">
      <c r="A77" s="36">
        <f>'📊 Исходные данные'!A76</f>
        <v/>
      </c>
      <c r="B77" s="37">
        <f>'📊 Исходные данные'!B76</f>
        <v/>
      </c>
      <c r="C77" s="38">
        <f>'📊 Исходные данные'!C76</f>
        <v/>
      </c>
      <c r="D77" s="38">
        <f>'📊 Исходные данные'!D76</f>
        <v/>
      </c>
      <c r="E77" s="39">
        <f>IF(OR(D77="",F77=""),"-",IF(D77&gt;F77*1.05,"Выше рынка",IF(D77&lt;F77*0.95,"Ниже рынка","На уровне")))</f>
        <v/>
      </c>
      <c r="F77" s="40">
        <f>IFERROR(AVERAGE('📊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G77" s="40">
        <f>IFERROR(MEDIAN('📊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H77" s="40">
        <f>IFERROR(MIN('📊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I77" s="40">
        <f>IFERROR(MAX('📊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данные'!K76),"")</f>
        <v/>
      </c>
      <c r="J77" s="41">
        <f>IF(AND(D77&lt;&gt;"",F77&lt;&gt;""),(D77-F77)/F77,"")</f>
        <v/>
      </c>
      <c r="K77" s="41">
        <f>IF(AND(D77&lt;&gt;"",G77&lt;&gt;""),(D77-G77)/G77,"")</f>
        <v/>
      </c>
      <c r="L77" s="41">
        <f>IF(AND(D77&lt;&gt;"",H77&lt;&gt;""),(D77-H77)/H77,"")</f>
        <v/>
      </c>
      <c r="M77" s="42">
        <f>IFERROR(RANK(D77,('📊 Исходные данные'!E76,'📊 Исходные данные'!F76,'📊 Исходные данные'!G76,'📊 Исходные данные'!H76,'📊 Исходные данные'!I76,'📊 Исходные данные'!J76,'📊 Исходные данные'!K76)),"")</f>
        <v/>
      </c>
      <c r="N77" s="39">
        <f>IF(M77="","-",IF(M77=1,"Дороже всех",IF(M77=2,"2-й по цене",IF(M77&lt;=4,"Средний","Ниже конкурентов"))))</f>
        <v/>
      </c>
      <c r="O77" s="41">
        <f>IF(AND(C77&gt;0,D77&gt;0),(D77-C77)/C77,"")</f>
        <v/>
      </c>
      <c r="P77" s="41">
        <f>IF(AND(C77&gt;0,D77&gt;0),(D77-C77)/D77,"")</f>
        <v/>
      </c>
      <c r="Q77" s="40">
        <f>IF(AND(C77&gt;0,D77&gt;0),D77-C77,"")</f>
        <v/>
      </c>
      <c r="R77" s="39">
        <f>IF(P77="","-",IF(P77&lt;0.1,"Низкая(&lt;10%)",IF(P77&lt;0.2,"Средняя(10-20%)","Хорошая(&gt;20%)")))</f>
        <v/>
      </c>
      <c r="S77" s="39">
        <f>IF(OR(H77="",C77=""),"-",IF((H77-C77)/H77&lt;0.05,"КРИТИЧНО",IF((H77-C77)/H77&lt;0.15,"УМЕРЕННЫЙ","НИЗКИЙ")))</f>
        <v/>
      </c>
      <c r="T77" s="43" t="n"/>
      <c r="U77" s="40">
        <f>IF(T77&gt;0,T77*D77,"")</f>
        <v/>
      </c>
      <c r="V77" s="40">
        <f>IF(T77&gt;0,T77*Q77,"")</f>
        <v/>
      </c>
      <c r="W77" s="41">
        <f>IF(U77&gt;0,V77/U77,"")</f>
        <v/>
      </c>
      <c r="X77" s="40">
        <f>IF(F77&lt;&gt;"",F77,"")</f>
        <v/>
      </c>
      <c r="Y77" s="41">
        <f>IF(AND(X77&lt;&gt;"",C77&gt;0),(X77-C77)/C77,"")</f>
        <v/>
      </c>
      <c r="Z77" s="41">
        <f>IF(AND(X77&lt;&gt;"",X77&gt;0),(X77-C77)/X77,"")</f>
        <v/>
      </c>
      <c r="AA77" s="40">
        <f>IF(AND(X77&lt;&gt;"",C77&gt;0),X77-C77,"")</f>
        <v/>
      </c>
      <c r="AB77" s="41">
        <f>IF(AND(X77&lt;&gt;"",D77&gt;0),(X77-D77)/D77,"")</f>
        <v/>
      </c>
      <c r="AC77" s="41">
        <f>IF(AND(Z77&lt;&gt;"",P77&lt;&gt;""),(Z77-P77)/ABS(IF(P77=0,1,P77)),"")</f>
        <v/>
      </c>
      <c r="AD77" s="40">
        <f>IF(AND(AA77&lt;&gt;"",Q77&lt;&gt;""),AA77-Q77,"")</f>
        <v/>
      </c>
      <c r="AE77" s="40">
        <f>IF(G77&lt;&gt;"",G77,"")</f>
        <v/>
      </c>
      <c r="AF77" s="41">
        <f>IF(AND(AE77&lt;&gt;"",C77&gt;0),(AE77-C77)/C77,"")</f>
        <v/>
      </c>
      <c r="AG77" s="41">
        <f>IF(AND(AE77&lt;&gt;"",AE77&gt;0),(AE77-C77)/AE77,"")</f>
        <v/>
      </c>
      <c r="AH77" s="40">
        <f>IF(AND(AE77&lt;&gt;"",C77&gt;0),AE77-C77,"")</f>
        <v/>
      </c>
      <c r="AI77" s="41">
        <f>IF(AND(AE77&lt;&gt;"",D77&gt;0),(AE77-D77)/D77,"")</f>
        <v/>
      </c>
      <c r="AJ77" s="41">
        <f>IF(AND(AG77&lt;&gt;"",P77&lt;&gt;""),(AG77-P77)/ABS(IF(P77=0,1,P77)),"")</f>
        <v/>
      </c>
      <c r="AK77" s="40">
        <f>IF(AND(AH77&lt;&gt;"",Q77&lt;&gt;""),AH77-Q77,"")</f>
        <v/>
      </c>
      <c r="AL77" s="40">
        <f>IF(H77&lt;&gt;"",H77,"")</f>
        <v/>
      </c>
      <c r="AM77" s="41">
        <f>IF(AND(AL77&lt;&gt;"",C77&gt;0),(AL77-C77)/C77,"")</f>
        <v/>
      </c>
      <c r="AN77" s="41">
        <f>IF(AND(AL77&lt;&gt;"",AL77&gt;0),(AL77-C77)/AL77,"")</f>
        <v/>
      </c>
      <c r="AO77" s="40">
        <f>IF(AND(AL77&lt;&gt;"",C77&gt;0),AL77-C77,"")</f>
        <v/>
      </c>
      <c r="AP77" s="41">
        <f>IF(AND(AL77&lt;&gt;"",D77&gt;0),(AL77-D77)/D77,"")</f>
        <v/>
      </c>
      <c r="AQ77" s="41">
        <f>IF(AND(AN77&lt;&gt;"",P77&lt;&gt;""),(AN77-P77)/ABS(IF(P77=0,1,P77)),"")</f>
        <v/>
      </c>
      <c r="AR77" s="40">
        <f>IF(AND(AO77&lt;&gt;"",Q77&lt;&gt;""),AO77-Q77,"")</f>
        <v/>
      </c>
      <c r="AS77" s="44" t="n"/>
      <c r="AT77" s="41">
        <f>IF(AND(AS77&gt;0,C77&gt;0),(AS77-C77)/C77,"")</f>
        <v/>
      </c>
      <c r="AU77" s="41">
        <f>IF(AND(AS77&gt;0,AS77&gt;0),(AS77-C77)/AS77,"")</f>
        <v/>
      </c>
      <c r="AV77" s="40">
        <f>IF(AND(AS77&gt;0,C77&gt;0),AS77-C77,"")</f>
        <v/>
      </c>
      <c r="AW77" s="41">
        <f>IF(AND(AS77&gt;0,D77&gt;0),(AS77-D77)/D77,"")</f>
        <v/>
      </c>
      <c r="AX77" s="41">
        <f>IF(AND(AU77&lt;&gt;"",P77&lt;&gt;""),(AU77-P77)/ABS(IF(P77=0,1,P77)),"")</f>
        <v/>
      </c>
      <c r="AY77" s="40">
        <f>IF(AND(AV77&lt;&gt;"",Q77&lt;&gt;""),AV77-Q77,"")</f>
        <v/>
      </c>
      <c r="AZ77" s="45" t="n"/>
      <c r="BA77" s="40">
        <f>IF(AND(AZ77&gt;0,C77&gt;0),C77/(1-AZ77),"")</f>
        <v/>
      </c>
      <c r="BB77" s="41">
        <f>IF(AND(BA77&lt;&gt;"",C77&gt;0),(BA77-C77)/C77,"")</f>
        <v/>
      </c>
      <c r="BC77" s="41">
        <f>IF(BA77&lt;&gt;"",AZ77,"")</f>
        <v/>
      </c>
      <c r="BD77" s="40">
        <f>IF(AND(BA77&lt;&gt;"",C77&gt;0),BA77-C77,"")</f>
        <v/>
      </c>
      <c r="BE77" s="41">
        <f>IF(AND(BA77&lt;&gt;"",D77&gt;0),(BA77-D77)/D77,"")</f>
        <v/>
      </c>
      <c r="BF77" s="41">
        <f>IF(AND(BC77&lt;&gt;"",P77&lt;&gt;""),(BC77-P77)/ABS(IF(P77=0,1,P77)),"")</f>
        <v/>
      </c>
      <c r="BG77" s="40">
        <f>IF(AND(BD77&lt;&gt;"",Q77&lt;&gt;""),BD77-Q77,"")</f>
        <v/>
      </c>
      <c r="BH77" s="40">
        <f>IF(AND(T77&gt;0,X77&lt;&gt;""),T77*X77,"")</f>
        <v/>
      </c>
      <c r="BI77" s="40">
        <f>IF(AND(T77&gt;0,AA77&lt;&gt;""),T77*AA77,"")</f>
        <v/>
      </c>
      <c r="BJ77" s="40">
        <f>IF(AND(T77&gt;0,AE77&lt;&gt;""),T77*AE77,"")</f>
        <v/>
      </c>
      <c r="BK77" s="40">
        <f>IF(AND(T77&gt;0,AH77&lt;&gt;""),T77*AH77,"")</f>
        <v/>
      </c>
      <c r="BL77" s="40">
        <f>IF(AND(T77&gt;0,AL77&lt;&gt;""),T77*AL77,"")</f>
        <v/>
      </c>
      <c r="BM77" s="40">
        <f>IF(AND(T77&gt;0,AO77&lt;&gt;""),T77*AO77,"")</f>
        <v/>
      </c>
      <c r="BN77" s="40">
        <f>IF(AND(T77&gt;0,AS77&gt;0),T77*AS77,"")</f>
        <v/>
      </c>
      <c r="BO77" s="40">
        <f>IF(AND(T77&gt;0,AV77&lt;&gt;""),T77*AV77,"")</f>
        <v/>
      </c>
      <c r="BP77" s="40">
        <f>IF(AND(T77&gt;0,BA77&lt;&gt;""),T77*BA77,"")</f>
        <v/>
      </c>
      <c r="BQ77" s="40">
        <f>IF(AND(T77&gt;0,BD77&lt;&gt;""),T77*BD77,"")</f>
        <v/>
      </c>
      <c r="BR77" s="46">
        <f>IF(AND(T77&gt;0,V77&gt;0,AA77&lt;&gt;0),V77/AA77-T77,"")</f>
        <v/>
      </c>
      <c r="BS77" s="41">
        <f>IF(AND(BR77&lt;&gt;"",T77&gt;0),BR77/T77,"")</f>
        <v/>
      </c>
      <c r="BT77" s="46">
        <f>IF(AND(T77&gt;0,V77&gt;0,AO77&lt;&gt;0),V77/AO77-T77,"")</f>
        <v/>
      </c>
      <c r="BU77" s="41">
        <f>IF(AND(BT77&lt;&gt;"",T77&gt;0),BT77/T77,"")</f>
        <v/>
      </c>
    </row>
    <row r="78">
      <c r="A78" s="36">
        <f>'📊 Исходные данные'!A77</f>
        <v/>
      </c>
      <c r="B78" s="37">
        <f>'📊 Исходные данные'!B77</f>
        <v/>
      </c>
      <c r="C78" s="38">
        <f>'📊 Исходные данные'!C77</f>
        <v/>
      </c>
      <c r="D78" s="38">
        <f>'📊 Исходные данные'!D77</f>
        <v/>
      </c>
      <c r="E78" s="39">
        <f>IF(OR(D78="",F78=""),"-",IF(D78&gt;F78*1.05,"Выше рынка",IF(D78&lt;F78*0.95,"Ниже рынка","На уровне")))</f>
        <v/>
      </c>
      <c r="F78" s="40">
        <f>IFERROR(AVERAGE('📊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G78" s="40">
        <f>IFERROR(MEDIAN('📊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H78" s="40">
        <f>IFERROR(MIN('📊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I78" s="40">
        <f>IFERROR(MAX('📊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данные'!K77),"")</f>
        <v/>
      </c>
      <c r="J78" s="41">
        <f>IF(AND(D78&lt;&gt;"",F78&lt;&gt;""),(D78-F78)/F78,"")</f>
        <v/>
      </c>
      <c r="K78" s="41">
        <f>IF(AND(D78&lt;&gt;"",G78&lt;&gt;""),(D78-G78)/G78,"")</f>
        <v/>
      </c>
      <c r="L78" s="41">
        <f>IF(AND(D78&lt;&gt;"",H78&lt;&gt;""),(D78-H78)/H78,"")</f>
        <v/>
      </c>
      <c r="M78" s="42">
        <f>IFERROR(RANK(D78,('📊 Исходные данные'!E77,'📊 Исходные данные'!F77,'📊 Исходные данные'!G77,'📊 Исходные данные'!H77,'📊 Исходные данные'!I77,'📊 Исходные данные'!J77,'📊 Исходные данные'!K77)),"")</f>
        <v/>
      </c>
      <c r="N78" s="39">
        <f>IF(M78="","-",IF(M78=1,"Дороже всех",IF(M78=2,"2-й по цене",IF(M78&lt;=4,"Средний","Ниже конкурентов"))))</f>
        <v/>
      </c>
      <c r="O78" s="41">
        <f>IF(AND(C78&gt;0,D78&gt;0),(D78-C78)/C78,"")</f>
        <v/>
      </c>
      <c r="P78" s="41">
        <f>IF(AND(C78&gt;0,D78&gt;0),(D78-C78)/D78,"")</f>
        <v/>
      </c>
      <c r="Q78" s="40">
        <f>IF(AND(C78&gt;0,D78&gt;0),D78-C78,"")</f>
        <v/>
      </c>
      <c r="R78" s="39">
        <f>IF(P78="","-",IF(P78&lt;0.1,"Низкая(&lt;10%)",IF(P78&lt;0.2,"Средняя(10-20%)","Хорошая(&gt;20%)")))</f>
        <v/>
      </c>
      <c r="S78" s="39">
        <f>IF(OR(H78="",C78=""),"-",IF((H78-C78)/H78&lt;0.05,"КРИТИЧНО",IF((H78-C78)/H78&lt;0.15,"УМЕРЕННЫЙ","НИЗКИЙ")))</f>
        <v/>
      </c>
      <c r="T78" s="43" t="n"/>
      <c r="U78" s="40">
        <f>IF(T78&gt;0,T78*D78,"")</f>
        <v/>
      </c>
      <c r="V78" s="40">
        <f>IF(T78&gt;0,T78*Q78,"")</f>
        <v/>
      </c>
      <c r="W78" s="41">
        <f>IF(U78&gt;0,V78/U78,"")</f>
        <v/>
      </c>
      <c r="X78" s="40">
        <f>IF(F78&lt;&gt;"",F78,"")</f>
        <v/>
      </c>
      <c r="Y78" s="41">
        <f>IF(AND(X78&lt;&gt;"",C78&gt;0),(X78-C78)/C78,"")</f>
        <v/>
      </c>
      <c r="Z78" s="41">
        <f>IF(AND(X78&lt;&gt;"",X78&gt;0),(X78-C78)/X78,"")</f>
        <v/>
      </c>
      <c r="AA78" s="40">
        <f>IF(AND(X78&lt;&gt;"",C78&gt;0),X78-C78,"")</f>
        <v/>
      </c>
      <c r="AB78" s="41">
        <f>IF(AND(X78&lt;&gt;"",D78&gt;0),(X78-D78)/D78,"")</f>
        <v/>
      </c>
      <c r="AC78" s="41">
        <f>IF(AND(Z78&lt;&gt;"",P78&lt;&gt;""),(Z78-P78)/ABS(IF(P78=0,1,P78)),"")</f>
        <v/>
      </c>
      <c r="AD78" s="40">
        <f>IF(AND(AA78&lt;&gt;"",Q78&lt;&gt;""),AA78-Q78,"")</f>
        <v/>
      </c>
      <c r="AE78" s="40">
        <f>IF(G78&lt;&gt;"",G78,"")</f>
        <v/>
      </c>
      <c r="AF78" s="41">
        <f>IF(AND(AE78&lt;&gt;"",C78&gt;0),(AE78-C78)/C78,"")</f>
        <v/>
      </c>
      <c r="AG78" s="41">
        <f>IF(AND(AE78&lt;&gt;"",AE78&gt;0),(AE78-C78)/AE78,"")</f>
        <v/>
      </c>
      <c r="AH78" s="40">
        <f>IF(AND(AE78&lt;&gt;"",C78&gt;0),AE78-C78,"")</f>
        <v/>
      </c>
      <c r="AI78" s="41">
        <f>IF(AND(AE78&lt;&gt;"",D78&gt;0),(AE78-D78)/D78,"")</f>
        <v/>
      </c>
      <c r="AJ78" s="41">
        <f>IF(AND(AG78&lt;&gt;"",P78&lt;&gt;""),(AG78-P78)/ABS(IF(P78=0,1,P78)),"")</f>
        <v/>
      </c>
      <c r="AK78" s="40">
        <f>IF(AND(AH78&lt;&gt;"",Q78&lt;&gt;""),AH78-Q78,"")</f>
        <v/>
      </c>
      <c r="AL78" s="40">
        <f>IF(H78&lt;&gt;"",H78,"")</f>
        <v/>
      </c>
      <c r="AM78" s="41">
        <f>IF(AND(AL78&lt;&gt;"",C78&gt;0),(AL78-C78)/C78,"")</f>
        <v/>
      </c>
      <c r="AN78" s="41">
        <f>IF(AND(AL78&lt;&gt;"",AL78&gt;0),(AL78-C78)/AL78,"")</f>
        <v/>
      </c>
      <c r="AO78" s="40">
        <f>IF(AND(AL78&lt;&gt;"",C78&gt;0),AL78-C78,"")</f>
        <v/>
      </c>
      <c r="AP78" s="41">
        <f>IF(AND(AL78&lt;&gt;"",D78&gt;0),(AL78-D78)/D78,"")</f>
        <v/>
      </c>
      <c r="AQ78" s="41">
        <f>IF(AND(AN78&lt;&gt;"",P78&lt;&gt;""),(AN78-P78)/ABS(IF(P78=0,1,P78)),"")</f>
        <v/>
      </c>
      <c r="AR78" s="40">
        <f>IF(AND(AO78&lt;&gt;"",Q78&lt;&gt;""),AO78-Q78,"")</f>
        <v/>
      </c>
      <c r="AS78" s="44" t="n"/>
      <c r="AT78" s="41">
        <f>IF(AND(AS78&gt;0,C78&gt;0),(AS78-C78)/C78,"")</f>
        <v/>
      </c>
      <c r="AU78" s="41">
        <f>IF(AND(AS78&gt;0,AS78&gt;0),(AS78-C78)/AS78,"")</f>
        <v/>
      </c>
      <c r="AV78" s="40">
        <f>IF(AND(AS78&gt;0,C78&gt;0),AS78-C78,"")</f>
        <v/>
      </c>
      <c r="AW78" s="41">
        <f>IF(AND(AS78&gt;0,D78&gt;0),(AS78-D78)/D78,"")</f>
        <v/>
      </c>
      <c r="AX78" s="41">
        <f>IF(AND(AU78&lt;&gt;"",P78&lt;&gt;""),(AU78-P78)/ABS(IF(P78=0,1,P78)),"")</f>
        <v/>
      </c>
      <c r="AY78" s="40">
        <f>IF(AND(AV78&lt;&gt;"",Q78&lt;&gt;""),AV78-Q78,"")</f>
        <v/>
      </c>
      <c r="AZ78" s="45" t="n"/>
      <c r="BA78" s="40">
        <f>IF(AND(AZ78&gt;0,C78&gt;0),C78/(1-AZ78),"")</f>
        <v/>
      </c>
      <c r="BB78" s="41">
        <f>IF(AND(BA78&lt;&gt;"",C78&gt;0),(BA78-C78)/C78,"")</f>
        <v/>
      </c>
      <c r="BC78" s="41">
        <f>IF(BA78&lt;&gt;"",AZ78,"")</f>
        <v/>
      </c>
      <c r="BD78" s="40">
        <f>IF(AND(BA78&lt;&gt;"",C78&gt;0),BA78-C78,"")</f>
        <v/>
      </c>
      <c r="BE78" s="41">
        <f>IF(AND(BA78&lt;&gt;"",D78&gt;0),(BA78-D78)/D78,"")</f>
        <v/>
      </c>
      <c r="BF78" s="41">
        <f>IF(AND(BC78&lt;&gt;"",P78&lt;&gt;""),(BC78-P78)/ABS(IF(P78=0,1,P78)),"")</f>
        <v/>
      </c>
      <c r="BG78" s="40">
        <f>IF(AND(BD78&lt;&gt;"",Q78&lt;&gt;""),BD78-Q78,"")</f>
        <v/>
      </c>
      <c r="BH78" s="40">
        <f>IF(AND(T78&gt;0,X78&lt;&gt;""),T78*X78,"")</f>
        <v/>
      </c>
      <c r="BI78" s="40">
        <f>IF(AND(T78&gt;0,AA78&lt;&gt;""),T78*AA78,"")</f>
        <v/>
      </c>
      <c r="BJ78" s="40">
        <f>IF(AND(T78&gt;0,AE78&lt;&gt;""),T78*AE78,"")</f>
        <v/>
      </c>
      <c r="BK78" s="40">
        <f>IF(AND(T78&gt;0,AH78&lt;&gt;""),T78*AH78,"")</f>
        <v/>
      </c>
      <c r="BL78" s="40">
        <f>IF(AND(T78&gt;0,AL78&lt;&gt;""),T78*AL78,"")</f>
        <v/>
      </c>
      <c r="BM78" s="40">
        <f>IF(AND(T78&gt;0,AO78&lt;&gt;""),T78*AO78,"")</f>
        <v/>
      </c>
      <c r="BN78" s="40">
        <f>IF(AND(T78&gt;0,AS78&gt;0),T78*AS78,"")</f>
        <v/>
      </c>
      <c r="BO78" s="40">
        <f>IF(AND(T78&gt;0,AV78&lt;&gt;""),T78*AV78,"")</f>
        <v/>
      </c>
      <c r="BP78" s="40">
        <f>IF(AND(T78&gt;0,BA78&lt;&gt;""),T78*BA78,"")</f>
        <v/>
      </c>
      <c r="BQ78" s="40">
        <f>IF(AND(T78&gt;0,BD78&lt;&gt;""),T78*BD78,"")</f>
        <v/>
      </c>
      <c r="BR78" s="46">
        <f>IF(AND(T78&gt;0,V78&gt;0,AA78&lt;&gt;0),V78/AA78-T78,"")</f>
        <v/>
      </c>
      <c r="BS78" s="41">
        <f>IF(AND(BR78&lt;&gt;"",T78&gt;0),BR78/T78,"")</f>
        <v/>
      </c>
      <c r="BT78" s="46">
        <f>IF(AND(T78&gt;0,V78&gt;0,AO78&lt;&gt;0),V78/AO78-T78,"")</f>
        <v/>
      </c>
      <c r="BU78" s="41">
        <f>IF(AND(BT78&lt;&gt;"",T78&gt;0),BT78/T78,"")</f>
        <v/>
      </c>
    </row>
    <row r="79">
      <c r="A79" s="36">
        <f>'📊 Исходные данные'!A78</f>
        <v/>
      </c>
      <c r="B79" s="37">
        <f>'📊 Исходные данные'!B78</f>
        <v/>
      </c>
      <c r="C79" s="38">
        <f>'📊 Исходные данные'!C78</f>
        <v/>
      </c>
      <c r="D79" s="38">
        <f>'📊 Исходные данные'!D78</f>
        <v/>
      </c>
      <c r="E79" s="39">
        <f>IF(OR(D79="",F79=""),"-",IF(D79&gt;F79*1.05,"Выше рынка",IF(D79&lt;F79*0.95,"Ниже рынка","На уровне")))</f>
        <v/>
      </c>
      <c r="F79" s="40">
        <f>IFERROR(AVERAGE('📊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G79" s="40">
        <f>IFERROR(MEDIAN('📊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H79" s="40">
        <f>IFERROR(MIN('📊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I79" s="40">
        <f>IFERROR(MAX('📊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данные'!K78),"")</f>
        <v/>
      </c>
      <c r="J79" s="41">
        <f>IF(AND(D79&lt;&gt;"",F79&lt;&gt;""),(D79-F79)/F79,"")</f>
        <v/>
      </c>
      <c r="K79" s="41">
        <f>IF(AND(D79&lt;&gt;"",G79&lt;&gt;""),(D79-G79)/G79,"")</f>
        <v/>
      </c>
      <c r="L79" s="41">
        <f>IF(AND(D79&lt;&gt;"",H79&lt;&gt;""),(D79-H79)/H79,"")</f>
        <v/>
      </c>
      <c r="M79" s="42">
        <f>IFERROR(RANK(D79,('📊 Исходные данные'!E78,'📊 Исходные данные'!F78,'📊 Исходные данные'!G78,'📊 Исходные данные'!H78,'📊 Исходные данные'!I78,'📊 Исходные данные'!J78,'📊 Исходные данные'!K78)),"")</f>
        <v/>
      </c>
      <c r="N79" s="39">
        <f>IF(M79="","-",IF(M79=1,"Дороже всех",IF(M79=2,"2-й по цене",IF(M79&lt;=4,"Средний","Ниже конкурентов"))))</f>
        <v/>
      </c>
      <c r="O79" s="41">
        <f>IF(AND(C79&gt;0,D79&gt;0),(D79-C79)/C79,"")</f>
        <v/>
      </c>
      <c r="P79" s="41">
        <f>IF(AND(C79&gt;0,D79&gt;0),(D79-C79)/D79,"")</f>
        <v/>
      </c>
      <c r="Q79" s="40">
        <f>IF(AND(C79&gt;0,D79&gt;0),D79-C79,"")</f>
        <v/>
      </c>
      <c r="R79" s="39">
        <f>IF(P79="","-",IF(P79&lt;0.1,"Низкая(&lt;10%)",IF(P79&lt;0.2,"Средняя(10-20%)","Хорошая(&gt;20%)")))</f>
        <v/>
      </c>
      <c r="S79" s="39">
        <f>IF(OR(H79="",C79=""),"-",IF((H79-C79)/H79&lt;0.05,"КРИТИЧНО",IF((H79-C79)/H79&lt;0.15,"УМЕРЕННЫЙ","НИЗКИЙ")))</f>
        <v/>
      </c>
      <c r="T79" s="43" t="n"/>
      <c r="U79" s="40">
        <f>IF(T79&gt;0,T79*D79,"")</f>
        <v/>
      </c>
      <c r="V79" s="40">
        <f>IF(T79&gt;0,T79*Q79,"")</f>
        <v/>
      </c>
      <c r="W79" s="41">
        <f>IF(U79&gt;0,V79/U79,"")</f>
        <v/>
      </c>
      <c r="X79" s="40">
        <f>IF(F79&lt;&gt;"",F79,"")</f>
        <v/>
      </c>
      <c r="Y79" s="41">
        <f>IF(AND(X79&lt;&gt;"",C79&gt;0),(X79-C79)/C79,"")</f>
        <v/>
      </c>
      <c r="Z79" s="41">
        <f>IF(AND(X79&lt;&gt;"",X79&gt;0),(X79-C79)/X79,"")</f>
        <v/>
      </c>
      <c r="AA79" s="40">
        <f>IF(AND(X79&lt;&gt;"",C79&gt;0),X79-C79,"")</f>
        <v/>
      </c>
      <c r="AB79" s="41">
        <f>IF(AND(X79&lt;&gt;"",D79&gt;0),(X79-D79)/D79,"")</f>
        <v/>
      </c>
      <c r="AC79" s="41">
        <f>IF(AND(Z79&lt;&gt;"",P79&lt;&gt;""),(Z79-P79)/ABS(IF(P79=0,1,P79)),"")</f>
        <v/>
      </c>
      <c r="AD79" s="40">
        <f>IF(AND(AA79&lt;&gt;"",Q79&lt;&gt;""),AA79-Q79,"")</f>
        <v/>
      </c>
      <c r="AE79" s="40">
        <f>IF(G79&lt;&gt;"",G79,"")</f>
        <v/>
      </c>
      <c r="AF79" s="41">
        <f>IF(AND(AE79&lt;&gt;"",C79&gt;0),(AE79-C79)/C79,"")</f>
        <v/>
      </c>
      <c r="AG79" s="41">
        <f>IF(AND(AE79&lt;&gt;"",AE79&gt;0),(AE79-C79)/AE79,"")</f>
        <v/>
      </c>
      <c r="AH79" s="40">
        <f>IF(AND(AE79&lt;&gt;"",C79&gt;0),AE79-C79,"")</f>
        <v/>
      </c>
      <c r="AI79" s="41">
        <f>IF(AND(AE79&lt;&gt;"",D79&gt;0),(AE79-D79)/D79,"")</f>
        <v/>
      </c>
      <c r="AJ79" s="41">
        <f>IF(AND(AG79&lt;&gt;"",P79&lt;&gt;""),(AG79-P79)/ABS(IF(P79=0,1,P79)),"")</f>
        <v/>
      </c>
      <c r="AK79" s="40">
        <f>IF(AND(AH79&lt;&gt;"",Q79&lt;&gt;""),AH79-Q79,"")</f>
        <v/>
      </c>
      <c r="AL79" s="40">
        <f>IF(H79&lt;&gt;"",H79,"")</f>
        <v/>
      </c>
      <c r="AM79" s="41">
        <f>IF(AND(AL79&lt;&gt;"",C79&gt;0),(AL79-C79)/C79,"")</f>
        <v/>
      </c>
      <c r="AN79" s="41">
        <f>IF(AND(AL79&lt;&gt;"",AL79&gt;0),(AL79-C79)/AL79,"")</f>
        <v/>
      </c>
      <c r="AO79" s="40">
        <f>IF(AND(AL79&lt;&gt;"",C79&gt;0),AL79-C79,"")</f>
        <v/>
      </c>
      <c r="AP79" s="41">
        <f>IF(AND(AL79&lt;&gt;"",D79&gt;0),(AL79-D79)/D79,"")</f>
        <v/>
      </c>
      <c r="AQ79" s="41">
        <f>IF(AND(AN79&lt;&gt;"",P79&lt;&gt;""),(AN79-P79)/ABS(IF(P79=0,1,P79)),"")</f>
        <v/>
      </c>
      <c r="AR79" s="40">
        <f>IF(AND(AO79&lt;&gt;"",Q79&lt;&gt;""),AO79-Q79,"")</f>
        <v/>
      </c>
      <c r="AS79" s="44" t="n"/>
      <c r="AT79" s="41">
        <f>IF(AND(AS79&gt;0,C79&gt;0),(AS79-C79)/C79,"")</f>
        <v/>
      </c>
      <c r="AU79" s="41">
        <f>IF(AND(AS79&gt;0,AS79&gt;0),(AS79-C79)/AS79,"")</f>
        <v/>
      </c>
      <c r="AV79" s="40">
        <f>IF(AND(AS79&gt;0,C79&gt;0),AS79-C79,"")</f>
        <v/>
      </c>
      <c r="AW79" s="41">
        <f>IF(AND(AS79&gt;0,D79&gt;0),(AS79-D79)/D79,"")</f>
        <v/>
      </c>
      <c r="AX79" s="41">
        <f>IF(AND(AU79&lt;&gt;"",P79&lt;&gt;""),(AU79-P79)/ABS(IF(P79=0,1,P79)),"")</f>
        <v/>
      </c>
      <c r="AY79" s="40">
        <f>IF(AND(AV79&lt;&gt;"",Q79&lt;&gt;""),AV79-Q79,"")</f>
        <v/>
      </c>
      <c r="AZ79" s="45" t="n"/>
      <c r="BA79" s="40">
        <f>IF(AND(AZ79&gt;0,C79&gt;0),C79/(1-AZ79),"")</f>
        <v/>
      </c>
      <c r="BB79" s="41">
        <f>IF(AND(BA79&lt;&gt;"",C79&gt;0),(BA79-C79)/C79,"")</f>
        <v/>
      </c>
      <c r="BC79" s="41">
        <f>IF(BA79&lt;&gt;"",AZ79,"")</f>
        <v/>
      </c>
      <c r="BD79" s="40">
        <f>IF(AND(BA79&lt;&gt;"",C79&gt;0),BA79-C79,"")</f>
        <v/>
      </c>
      <c r="BE79" s="41">
        <f>IF(AND(BA79&lt;&gt;"",D79&gt;0),(BA79-D79)/D79,"")</f>
        <v/>
      </c>
      <c r="BF79" s="41">
        <f>IF(AND(BC79&lt;&gt;"",P79&lt;&gt;""),(BC79-P79)/ABS(IF(P79=0,1,P79)),"")</f>
        <v/>
      </c>
      <c r="BG79" s="40">
        <f>IF(AND(BD79&lt;&gt;"",Q79&lt;&gt;""),BD79-Q79,"")</f>
        <v/>
      </c>
      <c r="BH79" s="40">
        <f>IF(AND(T79&gt;0,X79&lt;&gt;""),T79*X79,"")</f>
        <v/>
      </c>
      <c r="BI79" s="40">
        <f>IF(AND(T79&gt;0,AA79&lt;&gt;""),T79*AA79,"")</f>
        <v/>
      </c>
      <c r="BJ79" s="40">
        <f>IF(AND(T79&gt;0,AE79&lt;&gt;""),T79*AE79,"")</f>
        <v/>
      </c>
      <c r="BK79" s="40">
        <f>IF(AND(T79&gt;0,AH79&lt;&gt;""),T79*AH79,"")</f>
        <v/>
      </c>
      <c r="BL79" s="40">
        <f>IF(AND(T79&gt;0,AL79&lt;&gt;""),T79*AL79,"")</f>
        <v/>
      </c>
      <c r="BM79" s="40">
        <f>IF(AND(T79&gt;0,AO79&lt;&gt;""),T79*AO79,"")</f>
        <v/>
      </c>
      <c r="BN79" s="40">
        <f>IF(AND(T79&gt;0,AS79&gt;0),T79*AS79,"")</f>
        <v/>
      </c>
      <c r="BO79" s="40">
        <f>IF(AND(T79&gt;0,AV79&lt;&gt;""),T79*AV79,"")</f>
        <v/>
      </c>
      <c r="BP79" s="40">
        <f>IF(AND(T79&gt;0,BA79&lt;&gt;""),T79*BA79,"")</f>
        <v/>
      </c>
      <c r="BQ79" s="40">
        <f>IF(AND(T79&gt;0,BD79&lt;&gt;""),T79*BD79,"")</f>
        <v/>
      </c>
      <c r="BR79" s="46">
        <f>IF(AND(T79&gt;0,V79&gt;0,AA79&lt;&gt;0),V79/AA79-T79,"")</f>
        <v/>
      </c>
      <c r="BS79" s="41">
        <f>IF(AND(BR79&lt;&gt;"",T79&gt;0),BR79/T79,"")</f>
        <v/>
      </c>
      <c r="BT79" s="46">
        <f>IF(AND(T79&gt;0,V79&gt;0,AO79&lt;&gt;0),V79/AO79-T79,"")</f>
        <v/>
      </c>
      <c r="BU79" s="41">
        <f>IF(AND(BT79&lt;&gt;"",T79&gt;0),BT79/T79,"")</f>
        <v/>
      </c>
    </row>
    <row r="80">
      <c r="A80" s="36">
        <f>'📊 Исходные данные'!A79</f>
        <v/>
      </c>
      <c r="B80" s="37">
        <f>'📊 Исходные данные'!B79</f>
        <v/>
      </c>
      <c r="C80" s="38">
        <f>'📊 Исходные данные'!C79</f>
        <v/>
      </c>
      <c r="D80" s="38">
        <f>'📊 Исходные данные'!D79</f>
        <v/>
      </c>
      <c r="E80" s="39">
        <f>IF(OR(D80="",F80=""),"-",IF(D80&gt;F80*1.05,"Выше рынка",IF(D80&lt;F80*0.95,"Ниже рынка","На уровне")))</f>
        <v/>
      </c>
      <c r="F80" s="40">
        <f>IFERROR(AVERAGE('📊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G80" s="40">
        <f>IFERROR(MEDIAN('📊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H80" s="40">
        <f>IFERROR(MIN('📊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I80" s="40">
        <f>IFERROR(MAX('📊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данные'!K79),"")</f>
        <v/>
      </c>
      <c r="J80" s="41">
        <f>IF(AND(D80&lt;&gt;"",F80&lt;&gt;""),(D80-F80)/F80,"")</f>
        <v/>
      </c>
      <c r="K80" s="41">
        <f>IF(AND(D80&lt;&gt;"",G80&lt;&gt;""),(D80-G80)/G80,"")</f>
        <v/>
      </c>
      <c r="L80" s="41">
        <f>IF(AND(D80&lt;&gt;"",H80&lt;&gt;""),(D80-H80)/H80,"")</f>
        <v/>
      </c>
      <c r="M80" s="42">
        <f>IFERROR(RANK(D80,('📊 Исходные данные'!E79,'📊 Исходные данные'!F79,'📊 Исходные данные'!G79,'📊 Исходные данные'!H79,'📊 Исходные данные'!I79,'📊 Исходные данные'!J79,'📊 Исходные данные'!K79)),"")</f>
        <v/>
      </c>
      <c r="N80" s="39">
        <f>IF(M80="","-",IF(M80=1,"Дороже всех",IF(M80=2,"2-й по цене",IF(M80&lt;=4,"Средний","Ниже конкурентов"))))</f>
        <v/>
      </c>
      <c r="O80" s="41">
        <f>IF(AND(C80&gt;0,D80&gt;0),(D80-C80)/C80,"")</f>
        <v/>
      </c>
      <c r="P80" s="41">
        <f>IF(AND(C80&gt;0,D80&gt;0),(D80-C80)/D80,"")</f>
        <v/>
      </c>
      <c r="Q80" s="40">
        <f>IF(AND(C80&gt;0,D80&gt;0),D80-C80,"")</f>
        <v/>
      </c>
      <c r="R80" s="39">
        <f>IF(P80="","-",IF(P80&lt;0.1,"Низкая(&lt;10%)",IF(P80&lt;0.2,"Средняя(10-20%)","Хорошая(&gt;20%)")))</f>
        <v/>
      </c>
      <c r="S80" s="39">
        <f>IF(OR(H80="",C80=""),"-",IF((H80-C80)/H80&lt;0.05,"КРИТИЧНО",IF((H80-C80)/H80&lt;0.15,"УМЕРЕННЫЙ","НИЗКИЙ")))</f>
        <v/>
      </c>
      <c r="T80" s="43" t="n"/>
      <c r="U80" s="40">
        <f>IF(T80&gt;0,T80*D80,"")</f>
        <v/>
      </c>
      <c r="V80" s="40">
        <f>IF(T80&gt;0,T80*Q80,"")</f>
        <v/>
      </c>
      <c r="W80" s="41">
        <f>IF(U80&gt;0,V80/U80,"")</f>
        <v/>
      </c>
      <c r="X80" s="40">
        <f>IF(F80&lt;&gt;"",F80,"")</f>
        <v/>
      </c>
      <c r="Y80" s="41">
        <f>IF(AND(X80&lt;&gt;"",C80&gt;0),(X80-C80)/C80,"")</f>
        <v/>
      </c>
      <c r="Z80" s="41">
        <f>IF(AND(X80&lt;&gt;"",X80&gt;0),(X80-C80)/X80,"")</f>
        <v/>
      </c>
      <c r="AA80" s="40">
        <f>IF(AND(X80&lt;&gt;"",C80&gt;0),X80-C80,"")</f>
        <v/>
      </c>
      <c r="AB80" s="41">
        <f>IF(AND(X80&lt;&gt;"",D80&gt;0),(X80-D80)/D80,"")</f>
        <v/>
      </c>
      <c r="AC80" s="41">
        <f>IF(AND(Z80&lt;&gt;"",P80&lt;&gt;""),(Z80-P80)/ABS(IF(P80=0,1,P80)),"")</f>
        <v/>
      </c>
      <c r="AD80" s="40">
        <f>IF(AND(AA80&lt;&gt;"",Q80&lt;&gt;""),AA80-Q80,"")</f>
        <v/>
      </c>
      <c r="AE80" s="40">
        <f>IF(G80&lt;&gt;"",G80,"")</f>
        <v/>
      </c>
      <c r="AF80" s="41">
        <f>IF(AND(AE80&lt;&gt;"",C80&gt;0),(AE80-C80)/C80,"")</f>
        <v/>
      </c>
      <c r="AG80" s="41">
        <f>IF(AND(AE80&lt;&gt;"",AE80&gt;0),(AE80-C80)/AE80,"")</f>
        <v/>
      </c>
      <c r="AH80" s="40">
        <f>IF(AND(AE80&lt;&gt;"",C80&gt;0),AE80-C80,"")</f>
        <v/>
      </c>
      <c r="AI80" s="41">
        <f>IF(AND(AE80&lt;&gt;"",D80&gt;0),(AE80-D80)/D80,"")</f>
        <v/>
      </c>
      <c r="AJ80" s="41">
        <f>IF(AND(AG80&lt;&gt;"",P80&lt;&gt;""),(AG80-P80)/ABS(IF(P80=0,1,P80)),"")</f>
        <v/>
      </c>
      <c r="AK80" s="40">
        <f>IF(AND(AH80&lt;&gt;"",Q80&lt;&gt;""),AH80-Q80,"")</f>
        <v/>
      </c>
      <c r="AL80" s="40">
        <f>IF(H80&lt;&gt;"",H80,"")</f>
        <v/>
      </c>
      <c r="AM80" s="41">
        <f>IF(AND(AL80&lt;&gt;"",C80&gt;0),(AL80-C80)/C80,"")</f>
        <v/>
      </c>
      <c r="AN80" s="41">
        <f>IF(AND(AL80&lt;&gt;"",AL80&gt;0),(AL80-C80)/AL80,"")</f>
        <v/>
      </c>
      <c r="AO80" s="40">
        <f>IF(AND(AL80&lt;&gt;"",C80&gt;0),AL80-C80,"")</f>
        <v/>
      </c>
      <c r="AP80" s="41">
        <f>IF(AND(AL80&lt;&gt;"",D80&gt;0),(AL80-D80)/D80,"")</f>
        <v/>
      </c>
      <c r="AQ80" s="41">
        <f>IF(AND(AN80&lt;&gt;"",P80&lt;&gt;""),(AN80-P80)/ABS(IF(P80=0,1,P80)),"")</f>
        <v/>
      </c>
      <c r="AR80" s="40">
        <f>IF(AND(AO80&lt;&gt;"",Q80&lt;&gt;""),AO80-Q80,"")</f>
        <v/>
      </c>
      <c r="AS80" s="44" t="n"/>
      <c r="AT80" s="41">
        <f>IF(AND(AS80&gt;0,C80&gt;0),(AS80-C80)/C80,"")</f>
        <v/>
      </c>
      <c r="AU80" s="41">
        <f>IF(AND(AS80&gt;0,AS80&gt;0),(AS80-C80)/AS80,"")</f>
        <v/>
      </c>
      <c r="AV80" s="40">
        <f>IF(AND(AS80&gt;0,C80&gt;0),AS80-C80,"")</f>
        <v/>
      </c>
      <c r="AW80" s="41">
        <f>IF(AND(AS80&gt;0,D80&gt;0),(AS80-D80)/D80,"")</f>
        <v/>
      </c>
      <c r="AX80" s="41">
        <f>IF(AND(AU80&lt;&gt;"",P80&lt;&gt;""),(AU80-P80)/ABS(IF(P80=0,1,P80)),"")</f>
        <v/>
      </c>
      <c r="AY80" s="40">
        <f>IF(AND(AV80&lt;&gt;"",Q80&lt;&gt;""),AV80-Q80,"")</f>
        <v/>
      </c>
      <c r="AZ80" s="45" t="n"/>
      <c r="BA80" s="40">
        <f>IF(AND(AZ80&gt;0,C80&gt;0),C80/(1-AZ80),"")</f>
        <v/>
      </c>
      <c r="BB80" s="41">
        <f>IF(AND(BA80&lt;&gt;"",C80&gt;0),(BA80-C80)/C80,"")</f>
        <v/>
      </c>
      <c r="BC80" s="41">
        <f>IF(BA80&lt;&gt;"",AZ80,"")</f>
        <v/>
      </c>
      <c r="BD80" s="40">
        <f>IF(AND(BA80&lt;&gt;"",C80&gt;0),BA80-C80,"")</f>
        <v/>
      </c>
      <c r="BE80" s="41">
        <f>IF(AND(BA80&lt;&gt;"",D80&gt;0),(BA80-D80)/D80,"")</f>
        <v/>
      </c>
      <c r="BF80" s="41">
        <f>IF(AND(BC80&lt;&gt;"",P80&lt;&gt;""),(BC80-P80)/ABS(IF(P80=0,1,P80)),"")</f>
        <v/>
      </c>
      <c r="BG80" s="40">
        <f>IF(AND(BD80&lt;&gt;"",Q80&lt;&gt;""),BD80-Q80,"")</f>
        <v/>
      </c>
      <c r="BH80" s="40">
        <f>IF(AND(T80&gt;0,X80&lt;&gt;""),T80*X80,"")</f>
        <v/>
      </c>
      <c r="BI80" s="40">
        <f>IF(AND(T80&gt;0,AA80&lt;&gt;""),T80*AA80,"")</f>
        <v/>
      </c>
      <c r="BJ80" s="40">
        <f>IF(AND(T80&gt;0,AE80&lt;&gt;""),T80*AE80,"")</f>
        <v/>
      </c>
      <c r="BK80" s="40">
        <f>IF(AND(T80&gt;0,AH80&lt;&gt;""),T80*AH80,"")</f>
        <v/>
      </c>
      <c r="BL80" s="40">
        <f>IF(AND(T80&gt;0,AL80&lt;&gt;""),T80*AL80,"")</f>
        <v/>
      </c>
      <c r="BM80" s="40">
        <f>IF(AND(T80&gt;0,AO80&lt;&gt;""),T80*AO80,"")</f>
        <v/>
      </c>
      <c r="BN80" s="40">
        <f>IF(AND(T80&gt;0,AS80&gt;0),T80*AS80,"")</f>
        <v/>
      </c>
      <c r="BO80" s="40">
        <f>IF(AND(T80&gt;0,AV80&lt;&gt;""),T80*AV80,"")</f>
        <v/>
      </c>
      <c r="BP80" s="40">
        <f>IF(AND(T80&gt;0,BA80&lt;&gt;""),T80*BA80,"")</f>
        <v/>
      </c>
      <c r="BQ80" s="40">
        <f>IF(AND(T80&gt;0,BD80&lt;&gt;""),T80*BD80,"")</f>
        <v/>
      </c>
      <c r="BR80" s="46">
        <f>IF(AND(T80&gt;0,V80&gt;0,AA80&lt;&gt;0),V80/AA80-T80,"")</f>
        <v/>
      </c>
      <c r="BS80" s="41">
        <f>IF(AND(BR80&lt;&gt;"",T80&gt;0),BR80/T80,"")</f>
        <v/>
      </c>
      <c r="BT80" s="46">
        <f>IF(AND(T80&gt;0,V80&gt;0,AO80&lt;&gt;0),V80/AO80-T80,"")</f>
        <v/>
      </c>
      <c r="BU80" s="41">
        <f>IF(AND(BT80&lt;&gt;"",T80&gt;0),BT80/T80,"")</f>
        <v/>
      </c>
    </row>
    <row r="81">
      <c r="A81" s="36">
        <f>'📊 Исходные данные'!A80</f>
        <v/>
      </c>
      <c r="B81" s="37">
        <f>'📊 Исходные данные'!B80</f>
        <v/>
      </c>
      <c r="C81" s="38">
        <f>'📊 Исходные данные'!C80</f>
        <v/>
      </c>
      <c r="D81" s="38">
        <f>'📊 Исходные данные'!D80</f>
        <v/>
      </c>
      <c r="E81" s="39">
        <f>IF(OR(D81="",F81=""),"-",IF(D81&gt;F81*1.05,"Выше рынка",IF(D81&lt;F81*0.95,"Ниже рынка","На уровне")))</f>
        <v/>
      </c>
      <c r="F81" s="40">
        <f>IFERROR(AVERAGE('📊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G81" s="40">
        <f>IFERROR(MEDIAN('📊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H81" s="40">
        <f>IFERROR(MIN('📊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I81" s="40">
        <f>IFERROR(MAX('📊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данные'!K80),"")</f>
        <v/>
      </c>
      <c r="J81" s="41">
        <f>IF(AND(D81&lt;&gt;"",F81&lt;&gt;""),(D81-F81)/F81,"")</f>
        <v/>
      </c>
      <c r="K81" s="41">
        <f>IF(AND(D81&lt;&gt;"",G81&lt;&gt;""),(D81-G81)/G81,"")</f>
        <v/>
      </c>
      <c r="L81" s="41">
        <f>IF(AND(D81&lt;&gt;"",H81&lt;&gt;""),(D81-H81)/H81,"")</f>
        <v/>
      </c>
      <c r="M81" s="42">
        <f>IFERROR(RANK(D81,('📊 Исходные данные'!E80,'📊 Исходные данные'!F80,'📊 Исходные данные'!G80,'📊 Исходные данные'!H80,'📊 Исходные данные'!I80,'📊 Исходные данные'!J80,'📊 Исходные данные'!K80)),"")</f>
        <v/>
      </c>
      <c r="N81" s="39">
        <f>IF(M81="","-",IF(M81=1,"Дороже всех",IF(M81=2,"2-й по цене",IF(M81&lt;=4,"Средний","Ниже конкурентов"))))</f>
        <v/>
      </c>
      <c r="O81" s="41">
        <f>IF(AND(C81&gt;0,D81&gt;0),(D81-C81)/C81,"")</f>
        <v/>
      </c>
      <c r="P81" s="41">
        <f>IF(AND(C81&gt;0,D81&gt;0),(D81-C81)/D81,"")</f>
        <v/>
      </c>
      <c r="Q81" s="40">
        <f>IF(AND(C81&gt;0,D81&gt;0),D81-C81,"")</f>
        <v/>
      </c>
      <c r="R81" s="39">
        <f>IF(P81="","-",IF(P81&lt;0.1,"Низкая(&lt;10%)",IF(P81&lt;0.2,"Средняя(10-20%)","Хорошая(&gt;20%)")))</f>
        <v/>
      </c>
      <c r="S81" s="39">
        <f>IF(OR(H81="",C81=""),"-",IF((H81-C81)/H81&lt;0.05,"КРИТИЧНО",IF((H81-C81)/H81&lt;0.15,"УМЕРЕННЫЙ","НИЗКИЙ")))</f>
        <v/>
      </c>
      <c r="T81" s="43" t="n"/>
      <c r="U81" s="40">
        <f>IF(T81&gt;0,T81*D81,"")</f>
        <v/>
      </c>
      <c r="V81" s="40">
        <f>IF(T81&gt;0,T81*Q81,"")</f>
        <v/>
      </c>
      <c r="W81" s="41">
        <f>IF(U81&gt;0,V81/U81,"")</f>
        <v/>
      </c>
      <c r="X81" s="40">
        <f>IF(F81&lt;&gt;"",F81,"")</f>
        <v/>
      </c>
      <c r="Y81" s="41">
        <f>IF(AND(X81&lt;&gt;"",C81&gt;0),(X81-C81)/C81,"")</f>
        <v/>
      </c>
      <c r="Z81" s="41">
        <f>IF(AND(X81&lt;&gt;"",X81&gt;0),(X81-C81)/X81,"")</f>
        <v/>
      </c>
      <c r="AA81" s="40">
        <f>IF(AND(X81&lt;&gt;"",C81&gt;0),X81-C81,"")</f>
        <v/>
      </c>
      <c r="AB81" s="41">
        <f>IF(AND(X81&lt;&gt;"",D81&gt;0),(X81-D81)/D81,"")</f>
        <v/>
      </c>
      <c r="AC81" s="41">
        <f>IF(AND(Z81&lt;&gt;"",P81&lt;&gt;""),(Z81-P81)/ABS(IF(P81=0,1,P81)),"")</f>
        <v/>
      </c>
      <c r="AD81" s="40">
        <f>IF(AND(AA81&lt;&gt;"",Q81&lt;&gt;""),AA81-Q81,"")</f>
        <v/>
      </c>
      <c r="AE81" s="40">
        <f>IF(G81&lt;&gt;"",G81,"")</f>
        <v/>
      </c>
      <c r="AF81" s="41">
        <f>IF(AND(AE81&lt;&gt;"",C81&gt;0),(AE81-C81)/C81,"")</f>
        <v/>
      </c>
      <c r="AG81" s="41">
        <f>IF(AND(AE81&lt;&gt;"",AE81&gt;0),(AE81-C81)/AE81,"")</f>
        <v/>
      </c>
      <c r="AH81" s="40">
        <f>IF(AND(AE81&lt;&gt;"",C81&gt;0),AE81-C81,"")</f>
        <v/>
      </c>
      <c r="AI81" s="41">
        <f>IF(AND(AE81&lt;&gt;"",D81&gt;0),(AE81-D81)/D81,"")</f>
        <v/>
      </c>
      <c r="AJ81" s="41">
        <f>IF(AND(AG81&lt;&gt;"",P81&lt;&gt;""),(AG81-P81)/ABS(IF(P81=0,1,P81)),"")</f>
        <v/>
      </c>
      <c r="AK81" s="40">
        <f>IF(AND(AH81&lt;&gt;"",Q81&lt;&gt;""),AH81-Q81,"")</f>
        <v/>
      </c>
      <c r="AL81" s="40">
        <f>IF(H81&lt;&gt;"",H81,"")</f>
        <v/>
      </c>
      <c r="AM81" s="41">
        <f>IF(AND(AL81&lt;&gt;"",C81&gt;0),(AL81-C81)/C81,"")</f>
        <v/>
      </c>
      <c r="AN81" s="41">
        <f>IF(AND(AL81&lt;&gt;"",AL81&gt;0),(AL81-C81)/AL81,"")</f>
        <v/>
      </c>
      <c r="AO81" s="40">
        <f>IF(AND(AL81&lt;&gt;"",C81&gt;0),AL81-C81,"")</f>
        <v/>
      </c>
      <c r="AP81" s="41">
        <f>IF(AND(AL81&lt;&gt;"",D81&gt;0),(AL81-D81)/D81,"")</f>
        <v/>
      </c>
      <c r="AQ81" s="41">
        <f>IF(AND(AN81&lt;&gt;"",P81&lt;&gt;""),(AN81-P81)/ABS(IF(P81=0,1,P81)),"")</f>
        <v/>
      </c>
      <c r="AR81" s="40">
        <f>IF(AND(AO81&lt;&gt;"",Q81&lt;&gt;""),AO81-Q81,"")</f>
        <v/>
      </c>
      <c r="AS81" s="44" t="n"/>
      <c r="AT81" s="41">
        <f>IF(AND(AS81&gt;0,C81&gt;0),(AS81-C81)/C81,"")</f>
        <v/>
      </c>
      <c r="AU81" s="41">
        <f>IF(AND(AS81&gt;0,AS81&gt;0),(AS81-C81)/AS81,"")</f>
        <v/>
      </c>
      <c r="AV81" s="40">
        <f>IF(AND(AS81&gt;0,C81&gt;0),AS81-C81,"")</f>
        <v/>
      </c>
      <c r="AW81" s="41">
        <f>IF(AND(AS81&gt;0,D81&gt;0),(AS81-D81)/D81,"")</f>
        <v/>
      </c>
      <c r="AX81" s="41">
        <f>IF(AND(AU81&lt;&gt;"",P81&lt;&gt;""),(AU81-P81)/ABS(IF(P81=0,1,P81)),"")</f>
        <v/>
      </c>
      <c r="AY81" s="40">
        <f>IF(AND(AV81&lt;&gt;"",Q81&lt;&gt;""),AV81-Q81,"")</f>
        <v/>
      </c>
      <c r="AZ81" s="45" t="n"/>
      <c r="BA81" s="40">
        <f>IF(AND(AZ81&gt;0,C81&gt;0),C81/(1-AZ81),"")</f>
        <v/>
      </c>
      <c r="BB81" s="41">
        <f>IF(AND(BA81&lt;&gt;"",C81&gt;0),(BA81-C81)/C81,"")</f>
        <v/>
      </c>
      <c r="BC81" s="41">
        <f>IF(BA81&lt;&gt;"",AZ81,"")</f>
        <v/>
      </c>
      <c r="BD81" s="40">
        <f>IF(AND(BA81&lt;&gt;"",C81&gt;0),BA81-C81,"")</f>
        <v/>
      </c>
      <c r="BE81" s="41">
        <f>IF(AND(BA81&lt;&gt;"",D81&gt;0),(BA81-D81)/D81,"")</f>
        <v/>
      </c>
      <c r="BF81" s="41">
        <f>IF(AND(BC81&lt;&gt;"",P81&lt;&gt;""),(BC81-P81)/ABS(IF(P81=0,1,P81)),"")</f>
        <v/>
      </c>
      <c r="BG81" s="40">
        <f>IF(AND(BD81&lt;&gt;"",Q81&lt;&gt;""),BD81-Q81,"")</f>
        <v/>
      </c>
      <c r="BH81" s="40">
        <f>IF(AND(T81&gt;0,X81&lt;&gt;""),T81*X81,"")</f>
        <v/>
      </c>
      <c r="BI81" s="40">
        <f>IF(AND(T81&gt;0,AA81&lt;&gt;""),T81*AA81,"")</f>
        <v/>
      </c>
      <c r="BJ81" s="40">
        <f>IF(AND(T81&gt;0,AE81&lt;&gt;""),T81*AE81,"")</f>
        <v/>
      </c>
      <c r="BK81" s="40">
        <f>IF(AND(T81&gt;0,AH81&lt;&gt;""),T81*AH81,"")</f>
        <v/>
      </c>
      <c r="BL81" s="40">
        <f>IF(AND(T81&gt;0,AL81&lt;&gt;""),T81*AL81,"")</f>
        <v/>
      </c>
      <c r="BM81" s="40">
        <f>IF(AND(T81&gt;0,AO81&lt;&gt;""),T81*AO81,"")</f>
        <v/>
      </c>
      <c r="BN81" s="40">
        <f>IF(AND(T81&gt;0,AS81&gt;0),T81*AS81,"")</f>
        <v/>
      </c>
      <c r="BO81" s="40">
        <f>IF(AND(T81&gt;0,AV81&lt;&gt;""),T81*AV81,"")</f>
        <v/>
      </c>
      <c r="BP81" s="40">
        <f>IF(AND(T81&gt;0,BA81&lt;&gt;""),T81*BA81,"")</f>
        <v/>
      </c>
      <c r="BQ81" s="40">
        <f>IF(AND(T81&gt;0,BD81&lt;&gt;""),T81*BD81,"")</f>
        <v/>
      </c>
      <c r="BR81" s="46">
        <f>IF(AND(T81&gt;0,V81&gt;0,AA81&lt;&gt;0),V81/AA81-T81,"")</f>
        <v/>
      </c>
      <c r="BS81" s="41">
        <f>IF(AND(BR81&lt;&gt;"",T81&gt;0),BR81/T81,"")</f>
        <v/>
      </c>
      <c r="BT81" s="46">
        <f>IF(AND(T81&gt;0,V81&gt;0,AO81&lt;&gt;0),V81/AO81-T81,"")</f>
        <v/>
      </c>
      <c r="BU81" s="41">
        <f>IF(AND(BT81&lt;&gt;"",T81&gt;0),BT81/T81,"")</f>
        <v/>
      </c>
    </row>
    <row r="82">
      <c r="A82" s="36">
        <f>'📊 Исходные данные'!A81</f>
        <v/>
      </c>
      <c r="B82" s="37">
        <f>'📊 Исходные данные'!B81</f>
        <v/>
      </c>
      <c r="C82" s="38">
        <f>'📊 Исходные данные'!C81</f>
        <v/>
      </c>
      <c r="D82" s="38">
        <f>'📊 Исходные данные'!D81</f>
        <v/>
      </c>
      <c r="E82" s="39">
        <f>IF(OR(D82="",F82=""),"-",IF(D82&gt;F82*1.05,"Выше рынка",IF(D82&lt;F82*0.95,"Ниже рынка","На уровне")))</f>
        <v/>
      </c>
      <c r="F82" s="40">
        <f>IFERROR(AVERAGE('📊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G82" s="40">
        <f>IFERROR(MEDIAN('📊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H82" s="40">
        <f>IFERROR(MIN('📊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I82" s="40">
        <f>IFERROR(MAX('📊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данные'!K81),"")</f>
        <v/>
      </c>
      <c r="J82" s="41">
        <f>IF(AND(D82&lt;&gt;"",F82&lt;&gt;""),(D82-F82)/F82,"")</f>
        <v/>
      </c>
      <c r="K82" s="41">
        <f>IF(AND(D82&lt;&gt;"",G82&lt;&gt;""),(D82-G82)/G82,"")</f>
        <v/>
      </c>
      <c r="L82" s="41">
        <f>IF(AND(D82&lt;&gt;"",H82&lt;&gt;""),(D82-H82)/H82,"")</f>
        <v/>
      </c>
      <c r="M82" s="42">
        <f>IFERROR(RANK(D82,('📊 Исходные данные'!E81,'📊 Исходные данные'!F81,'📊 Исходные данные'!G81,'📊 Исходные данные'!H81,'📊 Исходные данные'!I81,'📊 Исходные данные'!J81,'📊 Исходные данные'!K81)),"")</f>
        <v/>
      </c>
      <c r="N82" s="39">
        <f>IF(M82="","-",IF(M82=1,"Дороже всех",IF(M82=2,"2-й по цене",IF(M82&lt;=4,"Средний","Ниже конкурентов"))))</f>
        <v/>
      </c>
      <c r="O82" s="41">
        <f>IF(AND(C82&gt;0,D82&gt;0),(D82-C82)/C82,"")</f>
        <v/>
      </c>
      <c r="P82" s="41">
        <f>IF(AND(C82&gt;0,D82&gt;0),(D82-C82)/D82,"")</f>
        <v/>
      </c>
      <c r="Q82" s="40">
        <f>IF(AND(C82&gt;0,D82&gt;0),D82-C82,"")</f>
        <v/>
      </c>
      <c r="R82" s="39">
        <f>IF(P82="","-",IF(P82&lt;0.1,"Низкая(&lt;10%)",IF(P82&lt;0.2,"Средняя(10-20%)","Хорошая(&gt;20%)")))</f>
        <v/>
      </c>
      <c r="S82" s="39">
        <f>IF(OR(H82="",C82=""),"-",IF((H82-C82)/H82&lt;0.05,"КРИТИЧНО",IF((H82-C82)/H82&lt;0.15,"УМЕРЕННЫЙ","НИЗКИЙ")))</f>
        <v/>
      </c>
      <c r="T82" s="43" t="n"/>
      <c r="U82" s="40">
        <f>IF(T82&gt;0,T82*D82,"")</f>
        <v/>
      </c>
      <c r="V82" s="40">
        <f>IF(T82&gt;0,T82*Q82,"")</f>
        <v/>
      </c>
      <c r="W82" s="41">
        <f>IF(U82&gt;0,V82/U82,"")</f>
        <v/>
      </c>
      <c r="X82" s="40">
        <f>IF(F82&lt;&gt;"",F82,"")</f>
        <v/>
      </c>
      <c r="Y82" s="41">
        <f>IF(AND(X82&lt;&gt;"",C82&gt;0),(X82-C82)/C82,"")</f>
        <v/>
      </c>
      <c r="Z82" s="41">
        <f>IF(AND(X82&lt;&gt;"",X82&gt;0),(X82-C82)/X82,"")</f>
        <v/>
      </c>
      <c r="AA82" s="40">
        <f>IF(AND(X82&lt;&gt;"",C82&gt;0),X82-C82,"")</f>
        <v/>
      </c>
      <c r="AB82" s="41">
        <f>IF(AND(X82&lt;&gt;"",D82&gt;0),(X82-D82)/D82,"")</f>
        <v/>
      </c>
      <c r="AC82" s="41">
        <f>IF(AND(Z82&lt;&gt;"",P82&lt;&gt;""),(Z82-P82)/ABS(IF(P82=0,1,P82)),"")</f>
        <v/>
      </c>
      <c r="AD82" s="40">
        <f>IF(AND(AA82&lt;&gt;"",Q82&lt;&gt;""),AA82-Q82,"")</f>
        <v/>
      </c>
      <c r="AE82" s="40">
        <f>IF(G82&lt;&gt;"",G82,"")</f>
        <v/>
      </c>
      <c r="AF82" s="41">
        <f>IF(AND(AE82&lt;&gt;"",C82&gt;0),(AE82-C82)/C82,"")</f>
        <v/>
      </c>
      <c r="AG82" s="41">
        <f>IF(AND(AE82&lt;&gt;"",AE82&gt;0),(AE82-C82)/AE82,"")</f>
        <v/>
      </c>
      <c r="AH82" s="40">
        <f>IF(AND(AE82&lt;&gt;"",C82&gt;0),AE82-C82,"")</f>
        <v/>
      </c>
      <c r="AI82" s="41">
        <f>IF(AND(AE82&lt;&gt;"",D82&gt;0),(AE82-D82)/D82,"")</f>
        <v/>
      </c>
      <c r="AJ82" s="41">
        <f>IF(AND(AG82&lt;&gt;"",P82&lt;&gt;""),(AG82-P82)/ABS(IF(P82=0,1,P82)),"")</f>
        <v/>
      </c>
      <c r="AK82" s="40">
        <f>IF(AND(AH82&lt;&gt;"",Q82&lt;&gt;""),AH82-Q82,"")</f>
        <v/>
      </c>
      <c r="AL82" s="40">
        <f>IF(H82&lt;&gt;"",H82,"")</f>
        <v/>
      </c>
      <c r="AM82" s="41">
        <f>IF(AND(AL82&lt;&gt;"",C82&gt;0),(AL82-C82)/C82,"")</f>
        <v/>
      </c>
      <c r="AN82" s="41">
        <f>IF(AND(AL82&lt;&gt;"",AL82&gt;0),(AL82-C82)/AL82,"")</f>
        <v/>
      </c>
      <c r="AO82" s="40">
        <f>IF(AND(AL82&lt;&gt;"",C82&gt;0),AL82-C82,"")</f>
        <v/>
      </c>
      <c r="AP82" s="41">
        <f>IF(AND(AL82&lt;&gt;"",D82&gt;0),(AL82-D82)/D82,"")</f>
        <v/>
      </c>
      <c r="AQ82" s="41">
        <f>IF(AND(AN82&lt;&gt;"",P82&lt;&gt;""),(AN82-P82)/ABS(IF(P82=0,1,P82)),"")</f>
        <v/>
      </c>
      <c r="AR82" s="40">
        <f>IF(AND(AO82&lt;&gt;"",Q82&lt;&gt;""),AO82-Q82,"")</f>
        <v/>
      </c>
      <c r="AS82" s="44" t="n"/>
      <c r="AT82" s="41">
        <f>IF(AND(AS82&gt;0,C82&gt;0),(AS82-C82)/C82,"")</f>
        <v/>
      </c>
      <c r="AU82" s="41">
        <f>IF(AND(AS82&gt;0,AS82&gt;0),(AS82-C82)/AS82,"")</f>
        <v/>
      </c>
      <c r="AV82" s="40">
        <f>IF(AND(AS82&gt;0,C82&gt;0),AS82-C82,"")</f>
        <v/>
      </c>
      <c r="AW82" s="41">
        <f>IF(AND(AS82&gt;0,D82&gt;0),(AS82-D82)/D82,"")</f>
        <v/>
      </c>
      <c r="AX82" s="41">
        <f>IF(AND(AU82&lt;&gt;"",P82&lt;&gt;""),(AU82-P82)/ABS(IF(P82=0,1,P82)),"")</f>
        <v/>
      </c>
      <c r="AY82" s="40">
        <f>IF(AND(AV82&lt;&gt;"",Q82&lt;&gt;""),AV82-Q82,"")</f>
        <v/>
      </c>
      <c r="AZ82" s="45" t="n"/>
      <c r="BA82" s="40">
        <f>IF(AND(AZ82&gt;0,C82&gt;0),C82/(1-AZ82),"")</f>
        <v/>
      </c>
      <c r="BB82" s="41">
        <f>IF(AND(BA82&lt;&gt;"",C82&gt;0),(BA82-C82)/C82,"")</f>
        <v/>
      </c>
      <c r="BC82" s="41">
        <f>IF(BA82&lt;&gt;"",AZ82,"")</f>
        <v/>
      </c>
      <c r="BD82" s="40">
        <f>IF(AND(BA82&lt;&gt;"",C82&gt;0),BA82-C82,"")</f>
        <v/>
      </c>
      <c r="BE82" s="41">
        <f>IF(AND(BA82&lt;&gt;"",D82&gt;0),(BA82-D82)/D82,"")</f>
        <v/>
      </c>
      <c r="BF82" s="41">
        <f>IF(AND(BC82&lt;&gt;"",P82&lt;&gt;""),(BC82-P82)/ABS(IF(P82=0,1,P82)),"")</f>
        <v/>
      </c>
      <c r="BG82" s="40">
        <f>IF(AND(BD82&lt;&gt;"",Q82&lt;&gt;""),BD82-Q82,"")</f>
        <v/>
      </c>
      <c r="BH82" s="40">
        <f>IF(AND(T82&gt;0,X82&lt;&gt;""),T82*X82,"")</f>
        <v/>
      </c>
      <c r="BI82" s="40">
        <f>IF(AND(T82&gt;0,AA82&lt;&gt;""),T82*AA82,"")</f>
        <v/>
      </c>
      <c r="BJ82" s="40">
        <f>IF(AND(T82&gt;0,AE82&lt;&gt;""),T82*AE82,"")</f>
        <v/>
      </c>
      <c r="BK82" s="40">
        <f>IF(AND(T82&gt;0,AH82&lt;&gt;""),T82*AH82,"")</f>
        <v/>
      </c>
      <c r="BL82" s="40">
        <f>IF(AND(T82&gt;0,AL82&lt;&gt;""),T82*AL82,"")</f>
        <v/>
      </c>
      <c r="BM82" s="40">
        <f>IF(AND(T82&gt;0,AO82&lt;&gt;""),T82*AO82,"")</f>
        <v/>
      </c>
      <c r="BN82" s="40">
        <f>IF(AND(T82&gt;0,AS82&gt;0),T82*AS82,"")</f>
        <v/>
      </c>
      <c r="BO82" s="40">
        <f>IF(AND(T82&gt;0,AV82&lt;&gt;""),T82*AV82,"")</f>
        <v/>
      </c>
      <c r="BP82" s="40">
        <f>IF(AND(T82&gt;0,BA82&lt;&gt;""),T82*BA82,"")</f>
        <v/>
      </c>
      <c r="BQ82" s="40">
        <f>IF(AND(T82&gt;0,BD82&lt;&gt;""),T82*BD82,"")</f>
        <v/>
      </c>
      <c r="BR82" s="46">
        <f>IF(AND(T82&gt;0,V82&gt;0,AA82&lt;&gt;0),V82/AA82-T82,"")</f>
        <v/>
      </c>
      <c r="BS82" s="41">
        <f>IF(AND(BR82&lt;&gt;"",T82&gt;0),BR82/T82,"")</f>
        <v/>
      </c>
      <c r="BT82" s="46">
        <f>IF(AND(T82&gt;0,V82&gt;0,AO82&lt;&gt;0),V82/AO82-T82,"")</f>
        <v/>
      </c>
      <c r="BU82" s="41">
        <f>IF(AND(BT82&lt;&gt;"",T82&gt;0),BT82/T82,"")</f>
        <v/>
      </c>
    </row>
    <row r="83">
      <c r="A83" s="36">
        <f>'📊 Исходные данные'!A82</f>
        <v/>
      </c>
      <c r="B83" s="37">
        <f>'📊 Исходные данные'!B82</f>
        <v/>
      </c>
      <c r="C83" s="38">
        <f>'📊 Исходные данные'!C82</f>
        <v/>
      </c>
      <c r="D83" s="38">
        <f>'📊 Исходные данные'!D82</f>
        <v/>
      </c>
      <c r="E83" s="39">
        <f>IF(OR(D83="",F83=""),"-",IF(D83&gt;F83*1.05,"Выше рынка",IF(D83&lt;F83*0.95,"Ниже рынка","На уровне")))</f>
        <v/>
      </c>
      <c r="F83" s="40">
        <f>IFERROR(AVERAGE('📊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G83" s="40">
        <f>IFERROR(MEDIAN('📊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H83" s="40">
        <f>IFERROR(MIN('📊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I83" s="40">
        <f>IFERROR(MAX('📊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данные'!K82),"")</f>
        <v/>
      </c>
      <c r="J83" s="41">
        <f>IF(AND(D83&lt;&gt;"",F83&lt;&gt;""),(D83-F83)/F83,"")</f>
        <v/>
      </c>
      <c r="K83" s="41">
        <f>IF(AND(D83&lt;&gt;"",G83&lt;&gt;""),(D83-G83)/G83,"")</f>
        <v/>
      </c>
      <c r="L83" s="41">
        <f>IF(AND(D83&lt;&gt;"",H83&lt;&gt;""),(D83-H83)/H83,"")</f>
        <v/>
      </c>
      <c r="M83" s="42">
        <f>IFERROR(RANK(D83,('📊 Исходные данные'!E82,'📊 Исходные данные'!F82,'📊 Исходные данные'!G82,'📊 Исходные данные'!H82,'📊 Исходные данные'!I82,'📊 Исходные данные'!J82,'📊 Исходные данные'!K82)),"")</f>
        <v/>
      </c>
      <c r="N83" s="39">
        <f>IF(M83="","-",IF(M83=1,"Дороже всех",IF(M83=2,"2-й по цене",IF(M83&lt;=4,"Средний","Ниже конкурентов"))))</f>
        <v/>
      </c>
      <c r="O83" s="41">
        <f>IF(AND(C83&gt;0,D83&gt;0),(D83-C83)/C83,"")</f>
        <v/>
      </c>
      <c r="P83" s="41">
        <f>IF(AND(C83&gt;0,D83&gt;0),(D83-C83)/D83,"")</f>
        <v/>
      </c>
      <c r="Q83" s="40">
        <f>IF(AND(C83&gt;0,D83&gt;0),D83-C83,"")</f>
        <v/>
      </c>
      <c r="R83" s="39">
        <f>IF(P83="","-",IF(P83&lt;0.1,"Низкая(&lt;10%)",IF(P83&lt;0.2,"Средняя(10-20%)","Хорошая(&gt;20%)")))</f>
        <v/>
      </c>
      <c r="S83" s="39">
        <f>IF(OR(H83="",C83=""),"-",IF((H83-C83)/H83&lt;0.05,"КРИТИЧНО",IF((H83-C83)/H83&lt;0.15,"УМЕРЕННЫЙ","НИЗКИЙ")))</f>
        <v/>
      </c>
      <c r="T83" s="43" t="n"/>
      <c r="U83" s="40">
        <f>IF(T83&gt;0,T83*D83,"")</f>
        <v/>
      </c>
      <c r="V83" s="40">
        <f>IF(T83&gt;0,T83*Q83,"")</f>
        <v/>
      </c>
      <c r="W83" s="41">
        <f>IF(U83&gt;0,V83/U83,"")</f>
        <v/>
      </c>
      <c r="X83" s="40">
        <f>IF(F83&lt;&gt;"",F83,"")</f>
        <v/>
      </c>
      <c r="Y83" s="41">
        <f>IF(AND(X83&lt;&gt;"",C83&gt;0),(X83-C83)/C83,"")</f>
        <v/>
      </c>
      <c r="Z83" s="41">
        <f>IF(AND(X83&lt;&gt;"",X83&gt;0),(X83-C83)/X83,"")</f>
        <v/>
      </c>
      <c r="AA83" s="40">
        <f>IF(AND(X83&lt;&gt;"",C83&gt;0),X83-C83,"")</f>
        <v/>
      </c>
      <c r="AB83" s="41">
        <f>IF(AND(X83&lt;&gt;"",D83&gt;0),(X83-D83)/D83,"")</f>
        <v/>
      </c>
      <c r="AC83" s="41">
        <f>IF(AND(Z83&lt;&gt;"",P83&lt;&gt;""),(Z83-P83)/ABS(IF(P83=0,1,P83)),"")</f>
        <v/>
      </c>
      <c r="AD83" s="40">
        <f>IF(AND(AA83&lt;&gt;"",Q83&lt;&gt;""),AA83-Q83,"")</f>
        <v/>
      </c>
      <c r="AE83" s="40">
        <f>IF(G83&lt;&gt;"",G83,"")</f>
        <v/>
      </c>
      <c r="AF83" s="41">
        <f>IF(AND(AE83&lt;&gt;"",C83&gt;0),(AE83-C83)/C83,"")</f>
        <v/>
      </c>
      <c r="AG83" s="41">
        <f>IF(AND(AE83&lt;&gt;"",AE83&gt;0),(AE83-C83)/AE83,"")</f>
        <v/>
      </c>
      <c r="AH83" s="40">
        <f>IF(AND(AE83&lt;&gt;"",C83&gt;0),AE83-C83,"")</f>
        <v/>
      </c>
      <c r="AI83" s="41">
        <f>IF(AND(AE83&lt;&gt;"",D83&gt;0),(AE83-D83)/D83,"")</f>
        <v/>
      </c>
      <c r="AJ83" s="41">
        <f>IF(AND(AG83&lt;&gt;"",P83&lt;&gt;""),(AG83-P83)/ABS(IF(P83=0,1,P83)),"")</f>
        <v/>
      </c>
      <c r="AK83" s="40">
        <f>IF(AND(AH83&lt;&gt;"",Q83&lt;&gt;""),AH83-Q83,"")</f>
        <v/>
      </c>
      <c r="AL83" s="40">
        <f>IF(H83&lt;&gt;"",H83,"")</f>
        <v/>
      </c>
      <c r="AM83" s="41">
        <f>IF(AND(AL83&lt;&gt;"",C83&gt;0),(AL83-C83)/C83,"")</f>
        <v/>
      </c>
      <c r="AN83" s="41">
        <f>IF(AND(AL83&lt;&gt;"",AL83&gt;0),(AL83-C83)/AL83,"")</f>
        <v/>
      </c>
      <c r="AO83" s="40">
        <f>IF(AND(AL83&lt;&gt;"",C83&gt;0),AL83-C83,"")</f>
        <v/>
      </c>
      <c r="AP83" s="41">
        <f>IF(AND(AL83&lt;&gt;"",D83&gt;0),(AL83-D83)/D83,"")</f>
        <v/>
      </c>
      <c r="AQ83" s="41">
        <f>IF(AND(AN83&lt;&gt;"",P83&lt;&gt;""),(AN83-P83)/ABS(IF(P83=0,1,P83)),"")</f>
        <v/>
      </c>
      <c r="AR83" s="40">
        <f>IF(AND(AO83&lt;&gt;"",Q83&lt;&gt;""),AO83-Q83,"")</f>
        <v/>
      </c>
      <c r="AS83" s="44" t="n"/>
      <c r="AT83" s="41">
        <f>IF(AND(AS83&gt;0,C83&gt;0),(AS83-C83)/C83,"")</f>
        <v/>
      </c>
      <c r="AU83" s="41">
        <f>IF(AND(AS83&gt;0,AS83&gt;0),(AS83-C83)/AS83,"")</f>
        <v/>
      </c>
      <c r="AV83" s="40">
        <f>IF(AND(AS83&gt;0,C83&gt;0),AS83-C83,"")</f>
        <v/>
      </c>
      <c r="AW83" s="41">
        <f>IF(AND(AS83&gt;0,D83&gt;0),(AS83-D83)/D83,"")</f>
        <v/>
      </c>
      <c r="AX83" s="41">
        <f>IF(AND(AU83&lt;&gt;"",P83&lt;&gt;""),(AU83-P83)/ABS(IF(P83=0,1,P83)),"")</f>
        <v/>
      </c>
      <c r="AY83" s="40">
        <f>IF(AND(AV83&lt;&gt;"",Q83&lt;&gt;""),AV83-Q83,"")</f>
        <v/>
      </c>
      <c r="AZ83" s="45" t="n"/>
      <c r="BA83" s="40">
        <f>IF(AND(AZ83&gt;0,C83&gt;0),C83/(1-AZ83),"")</f>
        <v/>
      </c>
      <c r="BB83" s="41">
        <f>IF(AND(BA83&lt;&gt;"",C83&gt;0),(BA83-C83)/C83,"")</f>
        <v/>
      </c>
      <c r="BC83" s="41">
        <f>IF(BA83&lt;&gt;"",AZ83,"")</f>
        <v/>
      </c>
      <c r="BD83" s="40">
        <f>IF(AND(BA83&lt;&gt;"",C83&gt;0),BA83-C83,"")</f>
        <v/>
      </c>
      <c r="BE83" s="41">
        <f>IF(AND(BA83&lt;&gt;"",D83&gt;0),(BA83-D83)/D83,"")</f>
        <v/>
      </c>
      <c r="BF83" s="41">
        <f>IF(AND(BC83&lt;&gt;"",P83&lt;&gt;""),(BC83-P83)/ABS(IF(P83=0,1,P83)),"")</f>
        <v/>
      </c>
      <c r="BG83" s="40">
        <f>IF(AND(BD83&lt;&gt;"",Q83&lt;&gt;""),BD83-Q83,"")</f>
        <v/>
      </c>
      <c r="BH83" s="40">
        <f>IF(AND(T83&gt;0,X83&lt;&gt;""),T83*X83,"")</f>
        <v/>
      </c>
      <c r="BI83" s="40">
        <f>IF(AND(T83&gt;0,AA83&lt;&gt;""),T83*AA83,"")</f>
        <v/>
      </c>
      <c r="BJ83" s="40">
        <f>IF(AND(T83&gt;0,AE83&lt;&gt;""),T83*AE83,"")</f>
        <v/>
      </c>
      <c r="BK83" s="40">
        <f>IF(AND(T83&gt;0,AH83&lt;&gt;""),T83*AH83,"")</f>
        <v/>
      </c>
      <c r="BL83" s="40">
        <f>IF(AND(T83&gt;0,AL83&lt;&gt;""),T83*AL83,"")</f>
        <v/>
      </c>
      <c r="BM83" s="40">
        <f>IF(AND(T83&gt;0,AO83&lt;&gt;""),T83*AO83,"")</f>
        <v/>
      </c>
      <c r="BN83" s="40">
        <f>IF(AND(T83&gt;0,AS83&gt;0),T83*AS83,"")</f>
        <v/>
      </c>
      <c r="BO83" s="40">
        <f>IF(AND(T83&gt;0,AV83&lt;&gt;""),T83*AV83,"")</f>
        <v/>
      </c>
      <c r="BP83" s="40">
        <f>IF(AND(T83&gt;0,BA83&lt;&gt;""),T83*BA83,"")</f>
        <v/>
      </c>
      <c r="BQ83" s="40">
        <f>IF(AND(T83&gt;0,BD83&lt;&gt;""),T83*BD83,"")</f>
        <v/>
      </c>
      <c r="BR83" s="46">
        <f>IF(AND(T83&gt;0,V83&gt;0,AA83&lt;&gt;0),V83/AA83-T83,"")</f>
        <v/>
      </c>
      <c r="BS83" s="41">
        <f>IF(AND(BR83&lt;&gt;"",T83&gt;0),BR83/T83,"")</f>
        <v/>
      </c>
      <c r="BT83" s="46">
        <f>IF(AND(T83&gt;0,V83&gt;0,AO83&lt;&gt;0),V83/AO83-T83,"")</f>
        <v/>
      </c>
      <c r="BU83" s="41">
        <f>IF(AND(BT83&lt;&gt;"",T83&gt;0),BT83/T83,"")</f>
        <v/>
      </c>
    </row>
    <row r="84">
      <c r="A84" s="36">
        <f>'📊 Исходные данные'!A83</f>
        <v/>
      </c>
      <c r="B84" s="37">
        <f>'📊 Исходные данные'!B83</f>
        <v/>
      </c>
      <c r="C84" s="38">
        <f>'📊 Исходные данные'!C83</f>
        <v/>
      </c>
      <c r="D84" s="38">
        <f>'📊 Исходные данные'!D83</f>
        <v/>
      </c>
      <c r="E84" s="39">
        <f>IF(OR(D84="",F84=""),"-",IF(D84&gt;F84*1.05,"Выше рынка",IF(D84&lt;F84*0.95,"Ниже рынка","На уровне")))</f>
        <v/>
      </c>
      <c r="F84" s="40">
        <f>IFERROR(AVERAGE('📊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G84" s="40">
        <f>IFERROR(MEDIAN('📊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H84" s="40">
        <f>IFERROR(MIN('📊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I84" s="40">
        <f>IFERROR(MAX('📊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данные'!K83),"")</f>
        <v/>
      </c>
      <c r="J84" s="41">
        <f>IF(AND(D84&lt;&gt;"",F84&lt;&gt;""),(D84-F84)/F84,"")</f>
        <v/>
      </c>
      <c r="K84" s="41">
        <f>IF(AND(D84&lt;&gt;"",G84&lt;&gt;""),(D84-G84)/G84,"")</f>
        <v/>
      </c>
      <c r="L84" s="41">
        <f>IF(AND(D84&lt;&gt;"",H84&lt;&gt;""),(D84-H84)/H84,"")</f>
        <v/>
      </c>
      <c r="M84" s="42">
        <f>IFERROR(RANK(D84,('📊 Исходные данные'!E83,'📊 Исходные данные'!F83,'📊 Исходные данные'!G83,'📊 Исходные данные'!H83,'📊 Исходные данные'!I83,'📊 Исходные данные'!J83,'📊 Исходные данные'!K83)),"")</f>
        <v/>
      </c>
      <c r="N84" s="39">
        <f>IF(M84="","-",IF(M84=1,"Дороже всех",IF(M84=2,"2-й по цене",IF(M84&lt;=4,"Средний","Ниже конкурентов"))))</f>
        <v/>
      </c>
      <c r="O84" s="41">
        <f>IF(AND(C84&gt;0,D84&gt;0),(D84-C84)/C84,"")</f>
        <v/>
      </c>
      <c r="P84" s="41">
        <f>IF(AND(C84&gt;0,D84&gt;0),(D84-C84)/D84,"")</f>
        <v/>
      </c>
      <c r="Q84" s="40">
        <f>IF(AND(C84&gt;0,D84&gt;0),D84-C84,"")</f>
        <v/>
      </c>
      <c r="R84" s="39">
        <f>IF(P84="","-",IF(P84&lt;0.1,"Низкая(&lt;10%)",IF(P84&lt;0.2,"Средняя(10-20%)","Хорошая(&gt;20%)")))</f>
        <v/>
      </c>
      <c r="S84" s="39">
        <f>IF(OR(H84="",C84=""),"-",IF((H84-C84)/H84&lt;0.05,"КРИТИЧНО",IF((H84-C84)/H84&lt;0.15,"УМЕРЕННЫЙ","НИЗКИЙ")))</f>
        <v/>
      </c>
      <c r="T84" s="43" t="n"/>
      <c r="U84" s="40">
        <f>IF(T84&gt;0,T84*D84,"")</f>
        <v/>
      </c>
      <c r="V84" s="40">
        <f>IF(T84&gt;0,T84*Q84,"")</f>
        <v/>
      </c>
      <c r="W84" s="41">
        <f>IF(U84&gt;0,V84/U84,"")</f>
        <v/>
      </c>
      <c r="X84" s="40">
        <f>IF(F84&lt;&gt;"",F84,"")</f>
        <v/>
      </c>
      <c r="Y84" s="41">
        <f>IF(AND(X84&lt;&gt;"",C84&gt;0),(X84-C84)/C84,"")</f>
        <v/>
      </c>
      <c r="Z84" s="41">
        <f>IF(AND(X84&lt;&gt;"",X84&gt;0),(X84-C84)/X84,"")</f>
        <v/>
      </c>
      <c r="AA84" s="40">
        <f>IF(AND(X84&lt;&gt;"",C84&gt;0),X84-C84,"")</f>
        <v/>
      </c>
      <c r="AB84" s="41">
        <f>IF(AND(X84&lt;&gt;"",D84&gt;0),(X84-D84)/D84,"")</f>
        <v/>
      </c>
      <c r="AC84" s="41">
        <f>IF(AND(Z84&lt;&gt;"",P84&lt;&gt;""),(Z84-P84)/ABS(IF(P84=0,1,P84)),"")</f>
        <v/>
      </c>
      <c r="AD84" s="40">
        <f>IF(AND(AA84&lt;&gt;"",Q84&lt;&gt;""),AA84-Q84,"")</f>
        <v/>
      </c>
      <c r="AE84" s="40">
        <f>IF(G84&lt;&gt;"",G84,"")</f>
        <v/>
      </c>
      <c r="AF84" s="41">
        <f>IF(AND(AE84&lt;&gt;"",C84&gt;0),(AE84-C84)/C84,"")</f>
        <v/>
      </c>
      <c r="AG84" s="41">
        <f>IF(AND(AE84&lt;&gt;"",AE84&gt;0),(AE84-C84)/AE84,"")</f>
        <v/>
      </c>
      <c r="AH84" s="40">
        <f>IF(AND(AE84&lt;&gt;"",C84&gt;0),AE84-C84,"")</f>
        <v/>
      </c>
      <c r="AI84" s="41">
        <f>IF(AND(AE84&lt;&gt;"",D84&gt;0),(AE84-D84)/D84,"")</f>
        <v/>
      </c>
      <c r="AJ84" s="41">
        <f>IF(AND(AG84&lt;&gt;"",P84&lt;&gt;""),(AG84-P84)/ABS(IF(P84=0,1,P84)),"")</f>
        <v/>
      </c>
      <c r="AK84" s="40">
        <f>IF(AND(AH84&lt;&gt;"",Q84&lt;&gt;""),AH84-Q84,"")</f>
        <v/>
      </c>
      <c r="AL84" s="40">
        <f>IF(H84&lt;&gt;"",H84,"")</f>
        <v/>
      </c>
      <c r="AM84" s="41">
        <f>IF(AND(AL84&lt;&gt;"",C84&gt;0),(AL84-C84)/C84,"")</f>
        <v/>
      </c>
      <c r="AN84" s="41">
        <f>IF(AND(AL84&lt;&gt;"",AL84&gt;0),(AL84-C84)/AL84,"")</f>
        <v/>
      </c>
      <c r="AO84" s="40">
        <f>IF(AND(AL84&lt;&gt;"",C84&gt;0),AL84-C84,"")</f>
        <v/>
      </c>
      <c r="AP84" s="41">
        <f>IF(AND(AL84&lt;&gt;"",D84&gt;0),(AL84-D84)/D84,"")</f>
        <v/>
      </c>
      <c r="AQ84" s="41">
        <f>IF(AND(AN84&lt;&gt;"",P84&lt;&gt;""),(AN84-P84)/ABS(IF(P84=0,1,P84)),"")</f>
        <v/>
      </c>
      <c r="AR84" s="40">
        <f>IF(AND(AO84&lt;&gt;"",Q84&lt;&gt;""),AO84-Q84,"")</f>
        <v/>
      </c>
      <c r="AS84" s="44" t="n"/>
      <c r="AT84" s="41">
        <f>IF(AND(AS84&gt;0,C84&gt;0),(AS84-C84)/C84,"")</f>
        <v/>
      </c>
      <c r="AU84" s="41">
        <f>IF(AND(AS84&gt;0,AS84&gt;0),(AS84-C84)/AS84,"")</f>
        <v/>
      </c>
      <c r="AV84" s="40">
        <f>IF(AND(AS84&gt;0,C84&gt;0),AS84-C84,"")</f>
        <v/>
      </c>
      <c r="AW84" s="41">
        <f>IF(AND(AS84&gt;0,D84&gt;0),(AS84-D84)/D84,"")</f>
        <v/>
      </c>
      <c r="AX84" s="41">
        <f>IF(AND(AU84&lt;&gt;"",P84&lt;&gt;""),(AU84-P84)/ABS(IF(P84=0,1,P84)),"")</f>
        <v/>
      </c>
      <c r="AY84" s="40">
        <f>IF(AND(AV84&lt;&gt;"",Q84&lt;&gt;""),AV84-Q84,"")</f>
        <v/>
      </c>
      <c r="AZ84" s="45" t="n"/>
      <c r="BA84" s="40">
        <f>IF(AND(AZ84&gt;0,C84&gt;0),C84/(1-AZ84),"")</f>
        <v/>
      </c>
      <c r="BB84" s="41">
        <f>IF(AND(BA84&lt;&gt;"",C84&gt;0),(BA84-C84)/C84,"")</f>
        <v/>
      </c>
      <c r="BC84" s="41">
        <f>IF(BA84&lt;&gt;"",AZ84,"")</f>
        <v/>
      </c>
      <c r="BD84" s="40">
        <f>IF(AND(BA84&lt;&gt;"",C84&gt;0),BA84-C84,"")</f>
        <v/>
      </c>
      <c r="BE84" s="41">
        <f>IF(AND(BA84&lt;&gt;"",D84&gt;0),(BA84-D84)/D84,"")</f>
        <v/>
      </c>
      <c r="BF84" s="41">
        <f>IF(AND(BC84&lt;&gt;"",P84&lt;&gt;""),(BC84-P84)/ABS(IF(P84=0,1,P84)),"")</f>
        <v/>
      </c>
      <c r="BG84" s="40">
        <f>IF(AND(BD84&lt;&gt;"",Q84&lt;&gt;""),BD84-Q84,"")</f>
        <v/>
      </c>
      <c r="BH84" s="40">
        <f>IF(AND(T84&gt;0,X84&lt;&gt;""),T84*X84,"")</f>
        <v/>
      </c>
      <c r="BI84" s="40">
        <f>IF(AND(T84&gt;0,AA84&lt;&gt;""),T84*AA84,"")</f>
        <v/>
      </c>
      <c r="BJ84" s="40">
        <f>IF(AND(T84&gt;0,AE84&lt;&gt;""),T84*AE84,"")</f>
        <v/>
      </c>
      <c r="BK84" s="40">
        <f>IF(AND(T84&gt;0,AH84&lt;&gt;""),T84*AH84,"")</f>
        <v/>
      </c>
      <c r="BL84" s="40">
        <f>IF(AND(T84&gt;0,AL84&lt;&gt;""),T84*AL84,"")</f>
        <v/>
      </c>
      <c r="BM84" s="40">
        <f>IF(AND(T84&gt;0,AO84&lt;&gt;""),T84*AO84,"")</f>
        <v/>
      </c>
      <c r="BN84" s="40">
        <f>IF(AND(T84&gt;0,AS84&gt;0),T84*AS84,"")</f>
        <v/>
      </c>
      <c r="BO84" s="40">
        <f>IF(AND(T84&gt;0,AV84&lt;&gt;""),T84*AV84,"")</f>
        <v/>
      </c>
      <c r="BP84" s="40">
        <f>IF(AND(T84&gt;0,BA84&lt;&gt;""),T84*BA84,"")</f>
        <v/>
      </c>
      <c r="BQ84" s="40">
        <f>IF(AND(T84&gt;0,BD84&lt;&gt;""),T84*BD84,"")</f>
        <v/>
      </c>
      <c r="BR84" s="46">
        <f>IF(AND(T84&gt;0,V84&gt;0,AA84&lt;&gt;0),V84/AA84-T84,"")</f>
        <v/>
      </c>
      <c r="BS84" s="41">
        <f>IF(AND(BR84&lt;&gt;"",T84&gt;0),BR84/T84,"")</f>
        <v/>
      </c>
      <c r="BT84" s="46">
        <f>IF(AND(T84&gt;0,V84&gt;0,AO84&lt;&gt;0),V84/AO84-T84,"")</f>
        <v/>
      </c>
      <c r="BU84" s="41">
        <f>IF(AND(BT84&lt;&gt;"",T84&gt;0),BT84/T84,"")</f>
        <v/>
      </c>
    </row>
    <row r="85">
      <c r="A85" s="36">
        <f>'📊 Исходные данные'!A84</f>
        <v/>
      </c>
      <c r="B85" s="37">
        <f>'📊 Исходные данные'!B84</f>
        <v/>
      </c>
      <c r="C85" s="38">
        <f>'📊 Исходные данные'!C84</f>
        <v/>
      </c>
      <c r="D85" s="38">
        <f>'📊 Исходные данные'!D84</f>
        <v/>
      </c>
      <c r="E85" s="39">
        <f>IF(OR(D85="",F85=""),"-",IF(D85&gt;F85*1.05,"Выше рынка",IF(D85&lt;F85*0.95,"Ниже рынка","На уровне")))</f>
        <v/>
      </c>
      <c r="F85" s="40">
        <f>IFERROR(AVERAGE('📊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G85" s="40">
        <f>IFERROR(MEDIAN('📊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H85" s="40">
        <f>IFERROR(MIN('📊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I85" s="40">
        <f>IFERROR(MAX('📊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данные'!K84),"")</f>
        <v/>
      </c>
      <c r="J85" s="41">
        <f>IF(AND(D85&lt;&gt;"",F85&lt;&gt;""),(D85-F85)/F85,"")</f>
        <v/>
      </c>
      <c r="K85" s="41">
        <f>IF(AND(D85&lt;&gt;"",G85&lt;&gt;""),(D85-G85)/G85,"")</f>
        <v/>
      </c>
      <c r="L85" s="41">
        <f>IF(AND(D85&lt;&gt;"",H85&lt;&gt;""),(D85-H85)/H85,"")</f>
        <v/>
      </c>
      <c r="M85" s="42">
        <f>IFERROR(RANK(D85,('📊 Исходные данные'!E84,'📊 Исходные данные'!F84,'📊 Исходные данные'!G84,'📊 Исходные данные'!H84,'📊 Исходные данные'!I84,'📊 Исходные данные'!J84,'📊 Исходные данные'!K84)),"")</f>
        <v/>
      </c>
      <c r="N85" s="39">
        <f>IF(M85="","-",IF(M85=1,"Дороже всех",IF(M85=2,"2-й по цене",IF(M85&lt;=4,"Средний","Ниже конкурентов"))))</f>
        <v/>
      </c>
      <c r="O85" s="41">
        <f>IF(AND(C85&gt;0,D85&gt;0),(D85-C85)/C85,"")</f>
        <v/>
      </c>
      <c r="P85" s="41">
        <f>IF(AND(C85&gt;0,D85&gt;0),(D85-C85)/D85,"")</f>
        <v/>
      </c>
      <c r="Q85" s="40">
        <f>IF(AND(C85&gt;0,D85&gt;0),D85-C85,"")</f>
        <v/>
      </c>
      <c r="R85" s="39">
        <f>IF(P85="","-",IF(P85&lt;0.1,"Низкая(&lt;10%)",IF(P85&lt;0.2,"Средняя(10-20%)","Хорошая(&gt;20%)")))</f>
        <v/>
      </c>
      <c r="S85" s="39">
        <f>IF(OR(H85="",C85=""),"-",IF((H85-C85)/H85&lt;0.05,"КРИТИЧНО",IF((H85-C85)/H85&lt;0.15,"УМЕРЕННЫЙ","НИЗКИЙ")))</f>
        <v/>
      </c>
      <c r="T85" s="43" t="n"/>
      <c r="U85" s="40">
        <f>IF(T85&gt;0,T85*D85,"")</f>
        <v/>
      </c>
      <c r="V85" s="40">
        <f>IF(T85&gt;0,T85*Q85,"")</f>
        <v/>
      </c>
      <c r="W85" s="41">
        <f>IF(U85&gt;0,V85/U85,"")</f>
        <v/>
      </c>
      <c r="X85" s="40">
        <f>IF(F85&lt;&gt;"",F85,"")</f>
        <v/>
      </c>
      <c r="Y85" s="41">
        <f>IF(AND(X85&lt;&gt;"",C85&gt;0),(X85-C85)/C85,"")</f>
        <v/>
      </c>
      <c r="Z85" s="41">
        <f>IF(AND(X85&lt;&gt;"",X85&gt;0),(X85-C85)/X85,"")</f>
        <v/>
      </c>
      <c r="AA85" s="40">
        <f>IF(AND(X85&lt;&gt;"",C85&gt;0),X85-C85,"")</f>
        <v/>
      </c>
      <c r="AB85" s="41">
        <f>IF(AND(X85&lt;&gt;"",D85&gt;0),(X85-D85)/D85,"")</f>
        <v/>
      </c>
      <c r="AC85" s="41">
        <f>IF(AND(Z85&lt;&gt;"",P85&lt;&gt;""),(Z85-P85)/ABS(IF(P85=0,1,P85)),"")</f>
        <v/>
      </c>
      <c r="AD85" s="40">
        <f>IF(AND(AA85&lt;&gt;"",Q85&lt;&gt;""),AA85-Q85,"")</f>
        <v/>
      </c>
      <c r="AE85" s="40">
        <f>IF(G85&lt;&gt;"",G85,"")</f>
        <v/>
      </c>
      <c r="AF85" s="41">
        <f>IF(AND(AE85&lt;&gt;"",C85&gt;0),(AE85-C85)/C85,"")</f>
        <v/>
      </c>
      <c r="AG85" s="41">
        <f>IF(AND(AE85&lt;&gt;"",AE85&gt;0),(AE85-C85)/AE85,"")</f>
        <v/>
      </c>
      <c r="AH85" s="40">
        <f>IF(AND(AE85&lt;&gt;"",C85&gt;0),AE85-C85,"")</f>
        <v/>
      </c>
      <c r="AI85" s="41">
        <f>IF(AND(AE85&lt;&gt;"",D85&gt;0),(AE85-D85)/D85,"")</f>
        <v/>
      </c>
      <c r="AJ85" s="41">
        <f>IF(AND(AG85&lt;&gt;"",P85&lt;&gt;""),(AG85-P85)/ABS(IF(P85=0,1,P85)),"")</f>
        <v/>
      </c>
      <c r="AK85" s="40">
        <f>IF(AND(AH85&lt;&gt;"",Q85&lt;&gt;""),AH85-Q85,"")</f>
        <v/>
      </c>
      <c r="AL85" s="40">
        <f>IF(H85&lt;&gt;"",H85,"")</f>
        <v/>
      </c>
      <c r="AM85" s="41">
        <f>IF(AND(AL85&lt;&gt;"",C85&gt;0),(AL85-C85)/C85,"")</f>
        <v/>
      </c>
      <c r="AN85" s="41">
        <f>IF(AND(AL85&lt;&gt;"",AL85&gt;0),(AL85-C85)/AL85,"")</f>
        <v/>
      </c>
      <c r="AO85" s="40">
        <f>IF(AND(AL85&lt;&gt;"",C85&gt;0),AL85-C85,"")</f>
        <v/>
      </c>
      <c r="AP85" s="41">
        <f>IF(AND(AL85&lt;&gt;"",D85&gt;0),(AL85-D85)/D85,"")</f>
        <v/>
      </c>
      <c r="AQ85" s="41">
        <f>IF(AND(AN85&lt;&gt;"",P85&lt;&gt;""),(AN85-P85)/ABS(IF(P85=0,1,P85)),"")</f>
        <v/>
      </c>
      <c r="AR85" s="40">
        <f>IF(AND(AO85&lt;&gt;"",Q85&lt;&gt;""),AO85-Q85,"")</f>
        <v/>
      </c>
      <c r="AS85" s="44" t="n"/>
      <c r="AT85" s="41">
        <f>IF(AND(AS85&gt;0,C85&gt;0),(AS85-C85)/C85,"")</f>
        <v/>
      </c>
      <c r="AU85" s="41">
        <f>IF(AND(AS85&gt;0,AS85&gt;0),(AS85-C85)/AS85,"")</f>
        <v/>
      </c>
      <c r="AV85" s="40">
        <f>IF(AND(AS85&gt;0,C85&gt;0),AS85-C85,"")</f>
        <v/>
      </c>
      <c r="AW85" s="41">
        <f>IF(AND(AS85&gt;0,D85&gt;0),(AS85-D85)/D85,"")</f>
        <v/>
      </c>
      <c r="AX85" s="41">
        <f>IF(AND(AU85&lt;&gt;"",P85&lt;&gt;""),(AU85-P85)/ABS(IF(P85=0,1,P85)),"")</f>
        <v/>
      </c>
      <c r="AY85" s="40">
        <f>IF(AND(AV85&lt;&gt;"",Q85&lt;&gt;""),AV85-Q85,"")</f>
        <v/>
      </c>
      <c r="AZ85" s="45" t="n"/>
      <c r="BA85" s="40">
        <f>IF(AND(AZ85&gt;0,C85&gt;0),C85/(1-AZ85),"")</f>
        <v/>
      </c>
      <c r="BB85" s="41">
        <f>IF(AND(BA85&lt;&gt;"",C85&gt;0),(BA85-C85)/C85,"")</f>
        <v/>
      </c>
      <c r="BC85" s="41">
        <f>IF(BA85&lt;&gt;"",AZ85,"")</f>
        <v/>
      </c>
      <c r="BD85" s="40">
        <f>IF(AND(BA85&lt;&gt;"",C85&gt;0),BA85-C85,"")</f>
        <v/>
      </c>
      <c r="BE85" s="41">
        <f>IF(AND(BA85&lt;&gt;"",D85&gt;0),(BA85-D85)/D85,"")</f>
        <v/>
      </c>
      <c r="BF85" s="41">
        <f>IF(AND(BC85&lt;&gt;"",P85&lt;&gt;""),(BC85-P85)/ABS(IF(P85=0,1,P85)),"")</f>
        <v/>
      </c>
      <c r="BG85" s="40">
        <f>IF(AND(BD85&lt;&gt;"",Q85&lt;&gt;""),BD85-Q85,"")</f>
        <v/>
      </c>
      <c r="BH85" s="40">
        <f>IF(AND(T85&gt;0,X85&lt;&gt;""),T85*X85,"")</f>
        <v/>
      </c>
      <c r="BI85" s="40">
        <f>IF(AND(T85&gt;0,AA85&lt;&gt;""),T85*AA85,"")</f>
        <v/>
      </c>
      <c r="BJ85" s="40">
        <f>IF(AND(T85&gt;0,AE85&lt;&gt;""),T85*AE85,"")</f>
        <v/>
      </c>
      <c r="BK85" s="40">
        <f>IF(AND(T85&gt;0,AH85&lt;&gt;""),T85*AH85,"")</f>
        <v/>
      </c>
      <c r="BL85" s="40">
        <f>IF(AND(T85&gt;0,AL85&lt;&gt;""),T85*AL85,"")</f>
        <v/>
      </c>
      <c r="BM85" s="40">
        <f>IF(AND(T85&gt;0,AO85&lt;&gt;""),T85*AO85,"")</f>
        <v/>
      </c>
      <c r="BN85" s="40">
        <f>IF(AND(T85&gt;0,AS85&gt;0),T85*AS85,"")</f>
        <v/>
      </c>
      <c r="BO85" s="40">
        <f>IF(AND(T85&gt;0,AV85&lt;&gt;""),T85*AV85,"")</f>
        <v/>
      </c>
      <c r="BP85" s="40">
        <f>IF(AND(T85&gt;0,BA85&lt;&gt;""),T85*BA85,"")</f>
        <v/>
      </c>
      <c r="BQ85" s="40">
        <f>IF(AND(T85&gt;0,BD85&lt;&gt;""),T85*BD85,"")</f>
        <v/>
      </c>
      <c r="BR85" s="46">
        <f>IF(AND(T85&gt;0,V85&gt;0,AA85&lt;&gt;0),V85/AA85-T85,"")</f>
        <v/>
      </c>
      <c r="BS85" s="41">
        <f>IF(AND(BR85&lt;&gt;"",T85&gt;0),BR85/T85,"")</f>
        <v/>
      </c>
      <c r="BT85" s="46">
        <f>IF(AND(T85&gt;0,V85&gt;0,AO85&lt;&gt;0),V85/AO85-T85,"")</f>
        <v/>
      </c>
      <c r="BU85" s="41">
        <f>IF(AND(BT85&lt;&gt;"",T85&gt;0),BT85/T85,"")</f>
        <v/>
      </c>
    </row>
    <row r="86">
      <c r="A86" s="36">
        <f>'📊 Исходные данные'!A85</f>
        <v/>
      </c>
      <c r="B86" s="37">
        <f>'📊 Исходные данные'!B85</f>
        <v/>
      </c>
      <c r="C86" s="38">
        <f>'📊 Исходные данные'!C85</f>
        <v/>
      </c>
      <c r="D86" s="38">
        <f>'📊 Исходные данные'!D85</f>
        <v/>
      </c>
      <c r="E86" s="39">
        <f>IF(OR(D86="",F86=""),"-",IF(D86&gt;F86*1.05,"Выше рынка",IF(D86&lt;F86*0.95,"Ниже рынка","На уровне")))</f>
        <v/>
      </c>
      <c r="F86" s="40">
        <f>IFERROR(AVERAGE('📊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G86" s="40">
        <f>IFERROR(MEDIAN('📊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H86" s="40">
        <f>IFERROR(MIN('📊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I86" s="40">
        <f>IFERROR(MAX('📊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данные'!K85),"")</f>
        <v/>
      </c>
      <c r="J86" s="41">
        <f>IF(AND(D86&lt;&gt;"",F86&lt;&gt;""),(D86-F86)/F86,"")</f>
        <v/>
      </c>
      <c r="K86" s="41">
        <f>IF(AND(D86&lt;&gt;"",G86&lt;&gt;""),(D86-G86)/G86,"")</f>
        <v/>
      </c>
      <c r="L86" s="41">
        <f>IF(AND(D86&lt;&gt;"",H86&lt;&gt;""),(D86-H86)/H86,"")</f>
        <v/>
      </c>
      <c r="M86" s="42">
        <f>IFERROR(RANK(D86,('📊 Исходные данные'!E85,'📊 Исходные данные'!F85,'📊 Исходные данные'!G85,'📊 Исходные данные'!H85,'📊 Исходные данные'!I85,'📊 Исходные данные'!J85,'📊 Исходные данные'!K85)),"")</f>
        <v/>
      </c>
      <c r="N86" s="39">
        <f>IF(M86="","-",IF(M86=1,"Дороже всех",IF(M86=2,"2-й по цене",IF(M86&lt;=4,"Средний","Ниже конкурентов"))))</f>
        <v/>
      </c>
      <c r="O86" s="41">
        <f>IF(AND(C86&gt;0,D86&gt;0),(D86-C86)/C86,"")</f>
        <v/>
      </c>
      <c r="P86" s="41">
        <f>IF(AND(C86&gt;0,D86&gt;0),(D86-C86)/D86,"")</f>
        <v/>
      </c>
      <c r="Q86" s="40">
        <f>IF(AND(C86&gt;0,D86&gt;0),D86-C86,"")</f>
        <v/>
      </c>
      <c r="R86" s="39">
        <f>IF(P86="","-",IF(P86&lt;0.1,"Низкая(&lt;10%)",IF(P86&lt;0.2,"Средняя(10-20%)","Хорошая(&gt;20%)")))</f>
        <v/>
      </c>
      <c r="S86" s="39">
        <f>IF(OR(H86="",C86=""),"-",IF((H86-C86)/H86&lt;0.05,"КРИТИЧНО",IF((H86-C86)/H86&lt;0.15,"УМЕРЕННЫЙ","НИЗКИЙ")))</f>
        <v/>
      </c>
      <c r="T86" s="43" t="n"/>
      <c r="U86" s="40">
        <f>IF(T86&gt;0,T86*D86,"")</f>
        <v/>
      </c>
      <c r="V86" s="40">
        <f>IF(T86&gt;0,T86*Q86,"")</f>
        <v/>
      </c>
      <c r="W86" s="41">
        <f>IF(U86&gt;0,V86/U86,"")</f>
        <v/>
      </c>
      <c r="X86" s="40">
        <f>IF(F86&lt;&gt;"",F86,"")</f>
        <v/>
      </c>
      <c r="Y86" s="41">
        <f>IF(AND(X86&lt;&gt;"",C86&gt;0),(X86-C86)/C86,"")</f>
        <v/>
      </c>
      <c r="Z86" s="41">
        <f>IF(AND(X86&lt;&gt;"",X86&gt;0),(X86-C86)/X86,"")</f>
        <v/>
      </c>
      <c r="AA86" s="40">
        <f>IF(AND(X86&lt;&gt;"",C86&gt;0),X86-C86,"")</f>
        <v/>
      </c>
      <c r="AB86" s="41">
        <f>IF(AND(X86&lt;&gt;"",D86&gt;0),(X86-D86)/D86,"")</f>
        <v/>
      </c>
      <c r="AC86" s="41">
        <f>IF(AND(Z86&lt;&gt;"",P86&lt;&gt;""),(Z86-P86)/ABS(IF(P86=0,1,P86)),"")</f>
        <v/>
      </c>
      <c r="AD86" s="40">
        <f>IF(AND(AA86&lt;&gt;"",Q86&lt;&gt;""),AA86-Q86,"")</f>
        <v/>
      </c>
      <c r="AE86" s="40">
        <f>IF(G86&lt;&gt;"",G86,"")</f>
        <v/>
      </c>
      <c r="AF86" s="41">
        <f>IF(AND(AE86&lt;&gt;"",C86&gt;0),(AE86-C86)/C86,"")</f>
        <v/>
      </c>
      <c r="AG86" s="41">
        <f>IF(AND(AE86&lt;&gt;"",AE86&gt;0),(AE86-C86)/AE86,"")</f>
        <v/>
      </c>
      <c r="AH86" s="40">
        <f>IF(AND(AE86&lt;&gt;"",C86&gt;0),AE86-C86,"")</f>
        <v/>
      </c>
      <c r="AI86" s="41">
        <f>IF(AND(AE86&lt;&gt;"",D86&gt;0),(AE86-D86)/D86,"")</f>
        <v/>
      </c>
      <c r="AJ86" s="41">
        <f>IF(AND(AG86&lt;&gt;"",P86&lt;&gt;""),(AG86-P86)/ABS(IF(P86=0,1,P86)),"")</f>
        <v/>
      </c>
      <c r="AK86" s="40">
        <f>IF(AND(AH86&lt;&gt;"",Q86&lt;&gt;""),AH86-Q86,"")</f>
        <v/>
      </c>
      <c r="AL86" s="40">
        <f>IF(H86&lt;&gt;"",H86,"")</f>
        <v/>
      </c>
      <c r="AM86" s="41">
        <f>IF(AND(AL86&lt;&gt;"",C86&gt;0),(AL86-C86)/C86,"")</f>
        <v/>
      </c>
      <c r="AN86" s="41">
        <f>IF(AND(AL86&lt;&gt;"",AL86&gt;0),(AL86-C86)/AL86,"")</f>
        <v/>
      </c>
      <c r="AO86" s="40">
        <f>IF(AND(AL86&lt;&gt;"",C86&gt;0),AL86-C86,"")</f>
        <v/>
      </c>
      <c r="AP86" s="41">
        <f>IF(AND(AL86&lt;&gt;"",D86&gt;0),(AL86-D86)/D86,"")</f>
        <v/>
      </c>
      <c r="AQ86" s="41">
        <f>IF(AND(AN86&lt;&gt;"",P86&lt;&gt;""),(AN86-P86)/ABS(IF(P86=0,1,P86)),"")</f>
        <v/>
      </c>
      <c r="AR86" s="40">
        <f>IF(AND(AO86&lt;&gt;"",Q86&lt;&gt;""),AO86-Q86,"")</f>
        <v/>
      </c>
      <c r="AS86" s="44" t="n"/>
      <c r="AT86" s="41">
        <f>IF(AND(AS86&gt;0,C86&gt;0),(AS86-C86)/C86,"")</f>
        <v/>
      </c>
      <c r="AU86" s="41">
        <f>IF(AND(AS86&gt;0,AS86&gt;0),(AS86-C86)/AS86,"")</f>
        <v/>
      </c>
      <c r="AV86" s="40">
        <f>IF(AND(AS86&gt;0,C86&gt;0),AS86-C86,"")</f>
        <v/>
      </c>
      <c r="AW86" s="41">
        <f>IF(AND(AS86&gt;0,D86&gt;0),(AS86-D86)/D86,"")</f>
        <v/>
      </c>
      <c r="AX86" s="41">
        <f>IF(AND(AU86&lt;&gt;"",P86&lt;&gt;""),(AU86-P86)/ABS(IF(P86=0,1,P86)),"")</f>
        <v/>
      </c>
      <c r="AY86" s="40">
        <f>IF(AND(AV86&lt;&gt;"",Q86&lt;&gt;""),AV86-Q86,"")</f>
        <v/>
      </c>
      <c r="AZ86" s="45" t="n"/>
      <c r="BA86" s="40">
        <f>IF(AND(AZ86&gt;0,C86&gt;0),C86/(1-AZ86),"")</f>
        <v/>
      </c>
      <c r="BB86" s="41">
        <f>IF(AND(BA86&lt;&gt;"",C86&gt;0),(BA86-C86)/C86,"")</f>
        <v/>
      </c>
      <c r="BC86" s="41">
        <f>IF(BA86&lt;&gt;"",AZ86,"")</f>
        <v/>
      </c>
      <c r="BD86" s="40">
        <f>IF(AND(BA86&lt;&gt;"",C86&gt;0),BA86-C86,"")</f>
        <v/>
      </c>
      <c r="BE86" s="41">
        <f>IF(AND(BA86&lt;&gt;"",D86&gt;0),(BA86-D86)/D86,"")</f>
        <v/>
      </c>
      <c r="BF86" s="41">
        <f>IF(AND(BC86&lt;&gt;"",P86&lt;&gt;""),(BC86-P86)/ABS(IF(P86=0,1,P86)),"")</f>
        <v/>
      </c>
      <c r="BG86" s="40">
        <f>IF(AND(BD86&lt;&gt;"",Q86&lt;&gt;""),BD86-Q86,"")</f>
        <v/>
      </c>
      <c r="BH86" s="40">
        <f>IF(AND(T86&gt;0,X86&lt;&gt;""),T86*X86,"")</f>
        <v/>
      </c>
      <c r="BI86" s="40">
        <f>IF(AND(T86&gt;0,AA86&lt;&gt;""),T86*AA86,"")</f>
        <v/>
      </c>
      <c r="BJ86" s="40">
        <f>IF(AND(T86&gt;0,AE86&lt;&gt;""),T86*AE86,"")</f>
        <v/>
      </c>
      <c r="BK86" s="40">
        <f>IF(AND(T86&gt;0,AH86&lt;&gt;""),T86*AH86,"")</f>
        <v/>
      </c>
      <c r="BL86" s="40">
        <f>IF(AND(T86&gt;0,AL86&lt;&gt;""),T86*AL86,"")</f>
        <v/>
      </c>
      <c r="BM86" s="40">
        <f>IF(AND(T86&gt;0,AO86&lt;&gt;""),T86*AO86,"")</f>
        <v/>
      </c>
      <c r="BN86" s="40">
        <f>IF(AND(T86&gt;0,AS86&gt;0),T86*AS86,"")</f>
        <v/>
      </c>
      <c r="BO86" s="40">
        <f>IF(AND(T86&gt;0,AV86&lt;&gt;""),T86*AV86,"")</f>
        <v/>
      </c>
      <c r="BP86" s="40">
        <f>IF(AND(T86&gt;0,BA86&lt;&gt;""),T86*BA86,"")</f>
        <v/>
      </c>
      <c r="BQ86" s="40">
        <f>IF(AND(T86&gt;0,BD86&lt;&gt;""),T86*BD86,"")</f>
        <v/>
      </c>
      <c r="BR86" s="46">
        <f>IF(AND(T86&gt;0,V86&gt;0,AA86&lt;&gt;0),V86/AA86-T86,"")</f>
        <v/>
      </c>
      <c r="BS86" s="41">
        <f>IF(AND(BR86&lt;&gt;"",T86&gt;0),BR86/T86,"")</f>
        <v/>
      </c>
      <c r="BT86" s="46">
        <f>IF(AND(T86&gt;0,V86&gt;0,AO86&lt;&gt;0),V86/AO86-T86,"")</f>
        <v/>
      </c>
      <c r="BU86" s="41">
        <f>IF(AND(BT86&lt;&gt;"",T86&gt;0),BT86/T86,"")</f>
        <v/>
      </c>
    </row>
    <row r="87">
      <c r="A87" s="36">
        <f>'📊 Исходные данные'!A86</f>
        <v/>
      </c>
      <c r="B87" s="37">
        <f>'📊 Исходные данные'!B86</f>
        <v/>
      </c>
      <c r="C87" s="38">
        <f>'📊 Исходные данные'!C86</f>
        <v/>
      </c>
      <c r="D87" s="38">
        <f>'📊 Исходные данные'!D86</f>
        <v/>
      </c>
      <c r="E87" s="39">
        <f>IF(OR(D87="",F87=""),"-",IF(D87&gt;F87*1.05,"Выше рынка",IF(D87&lt;F87*0.95,"Ниже рынка","На уровне")))</f>
        <v/>
      </c>
      <c r="F87" s="40">
        <f>IFERROR(AVERAGE('📊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G87" s="40">
        <f>IFERROR(MEDIAN('📊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H87" s="40">
        <f>IFERROR(MIN('📊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I87" s="40">
        <f>IFERROR(MAX('📊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данные'!K86),"")</f>
        <v/>
      </c>
      <c r="J87" s="41">
        <f>IF(AND(D87&lt;&gt;"",F87&lt;&gt;""),(D87-F87)/F87,"")</f>
        <v/>
      </c>
      <c r="K87" s="41">
        <f>IF(AND(D87&lt;&gt;"",G87&lt;&gt;""),(D87-G87)/G87,"")</f>
        <v/>
      </c>
      <c r="L87" s="41">
        <f>IF(AND(D87&lt;&gt;"",H87&lt;&gt;""),(D87-H87)/H87,"")</f>
        <v/>
      </c>
      <c r="M87" s="42">
        <f>IFERROR(RANK(D87,('📊 Исходные данные'!E86,'📊 Исходные данные'!F86,'📊 Исходные данные'!G86,'📊 Исходные данные'!H86,'📊 Исходные данные'!I86,'📊 Исходные данные'!J86,'📊 Исходные данные'!K86)),"")</f>
        <v/>
      </c>
      <c r="N87" s="39">
        <f>IF(M87="","-",IF(M87=1,"Дороже всех",IF(M87=2,"2-й по цене",IF(M87&lt;=4,"Средний","Ниже конкурентов"))))</f>
        <v/>
      </c>
      <c r="O87" s="41">
        <f>IF(AND(C87&gt;0,D87&gt;0),(D87-C87)/C87,"")</f>
        <v/>
      </c>
      <c r="P87" s="41">
        <f>IF(AND(C87&gt;0,D87&gt;0),(D87-C87)/D87,"")</f>
        <v/>
      </c>
      <c r="Q87" s="40">
        <f>IF(AND(C87&gt;0,D87&gt;0),D87-C87,"")</f>
        <v/>
      </c>
      <c r="R87" s="39">
        <f>IF(P87="","-",IF(P87&lt;0.1,"Низкая(&lt;10%)",IF(P87&lt;0.2,"Средняя(10-20%)","Хорошая(&gt;20%)")))</f>
        <v/>
      </c>
      <c r="S87" s="39">
        <f>IF(OR(H87="",C87=""),"-",IF((H87-C87)/H87&lt;0.05,"КРИТИЧНО",IF((H87-C87)/H87&lt;0.15,"УМЕРЕННЫЙ","НИЗКИЙ")))</f>
        <v/>
      </c>
      <c r="T87" s="43" t="n"/>
      <c r="U87" s="40">
        <f>IF(T87&gt;0,T87*D87,"")</f>
        <v/>
      </c>
      <c r="V87" s="40">
        <f>IF(T87&gt;0,T87*Q87,"")</f>
        <v/>
      </c>
      <c r="W87" s="41">
        <f>IF(U87&gt;0,V87/U87,"")</f>
        <v/>
      </c>
      <c r="X87" s="40">
        <f>IF(F87&lt;&gt;"",F87,"")</f>
        <v/>
      </c>
      <c r="Y87" s="41">
        <f>IF(AND(X87&lt;&gt;"",C87&gt;0),(X87-C87)/C87,"")</f>
        <v/>
      </c>
      <c r="Z87" s="41">
        <f>IF(AND(X87&lt;&gt;"",X87&gt;0),(X87-C87)/X87,"")</f>
        <v/>
      </c>
      <c r="AA87" s="40">
        <f>IF(AND(X87&lt;&gt;"",C87&gt;0),X87-C87,"")</f>
        <v/>
      </c>
      <c r="AB87" s="41">
        <f>IF(AND(X87&lt;&gt;"",D87&gt;0),(X87-D87)/D87,"")</f>
        <v/>
      </c>
      <c r="AC87" s="41">
        <f>IF(AND(Z87&lt;&gt;"",P87&lt;&gt;""),(Z87-P87)/ABS(IF(P87=0,1,P87)),"")</f>
        <v/>
      </c>
      <c r="AD87" s="40">
        <f>IF(AND(AA87&lt;&gt;"",Q87&lt;&gt;""),AA87-Q87,"")</f>
        <v/>
      </c>
      <c r="AE87" s="40">
        <f>IF(G87&lt;&gt;"",G87,"")</f>
        <v/>
      </c>
      <c r="AF87" s="41">
        <f>IF(AND(AE87&lt;&gt;"",C87&gt;0),(AE87-C87)/C87,"")</f>
        <v/>
      </c>
      <c r="AG87" s="41">
        <f>IF(AND(AE87&lt;&gt;"",AE87&gt;0),(AE87-C87)/AE87,"")</f>
        <v/>
      </c>
      <c r="AH87" s="40">
        <f>IF(AND(AE87&lt;&gt;"",C87&gt;0),AE87-C87,"")</f>
        <v/>
      </c>
      <c r="AI87" s="41">
        <f>IF(AND(AE87&lt;&gt;"",D87&gt;0),(AE87-D87)/D87,"")</f>
        <v/>
      </c>
      <c r="AJ87" s="41">
        <f>IF(AND(AG87&lt;&gt;"",P87&lt;&gt;""),(AG87-P87)/ABS(IF(P87=0,1,P87)),"")</f>
        <v/>
      </c>
      <c r="AK87" s="40">
        <f>IF(AND(AH87&lt;&gt;"",Q87&lt;&gt;""),AH87-Q87,"")</f>
        <v/>
      </c>
      <c r="AL87" s="40">
        <f>IF(H87&lt;&gt;"",H87,"")</f>
        <v/>
      </c>
      <c r="AM87" s="41">
        <f>IF(AND(AL87&lt;&gt;"",C87&gt;0),(AL87-C87)/C87,"")</f>
        <v/>
      </c>
      <c r="AN87" s="41">
        <f>IF(AND(AL87&lt;&gt;"",AL87&gt;0),(AL87-C87)/AL87,"")</f>
        <v/>
      </c>
      <c r="AO87" s="40">
        <f>IF(AND(AL87&lt;&gt;"",C87&gt;0),AL87-C87,"")</f>
        <v/>
      </c>
      <c r="AP87" s="41">
        <f>IF(AND(AL87&lt;&gt;"",D87&gt;0),(AL87-D87)/D87,"")</f>
        <v/>
      </c>
      <c r="AQ87" s="41">
        <f>IF(AND(AN87&lt;&gt;"",P87&lt;&gt;""),(AN87-P87)/ABS(IF(P87=0,1,P87)),"")</f>
        <v/>
      </c>
      <c r="AR87" s="40">
        <f>IF(AND(AO87&lt;&gt;"",Q87&lt;&gt;""),AO87-Q87,"")</f>
        <v/>
      </c>
      <c r="AS87" s="44" t="n"/>
      <c r="AT87" s="41">
        <f>IF(AND(AS87&gt;0,C87&gt;0),(AS87-C87)/C87,"")</f>
        <v/>
      </c>
      <c r="AU87" s="41">
        <f>IF(AND(AS87&gt;0,AS87&gt;0),(AS87-C87)/AS87,"")</f>
        <v/>
      </c>
      <c r="AV87" s="40">
        <f>IF(AND(AS87&gt;0,C87&gt;0),AS87-C87,"")</f>
        <v/>
      </c>
      <c r="AW87" s="41">
        <f>IF(AND(AS87&gt;0,D87&gt;0),(AS87-D87)/D87,"")</f>
        <v/>
      </c>
      <c r="AX87" s="41">
        <f>IF(AND(AU87&lt;&gt;"",P87&lt;&gt;""),(AU87-P87)/ABS(IF(P87=0,1,P87)),"")</f>
        <v/>
      </c>
      <c r="AY87" s="40">
        <f>IF(AND(AV87&lt;&gt;"",Q87&lt;&gt;""),AV87-Q87,"")</f>
        <v/>
      </c>
      <c r="AZ87" s="45" t="n"/>
      <c r="BA87" s="40">
        <f>IF(AND(AZ87&gt;0,C87&gt;0),C87/(1-AZ87),"")</f>
        <v/>
      </c>
      <c r="BB87" s="41">
        <f>IF(AND(BA87&lt;&gt;"",C87&gt;0),(BA87-C87)/C87,"")</f>
        <v/>
      </c>
      <c r="BC87" s="41">
        <f>IF(BA87&lt;&gt;"",AZ87,"")</f>
        <v/>
      </c>
      <c r="BD87" s="40">
        <f>IF(AND(BA87&lt;&gt;"",C87&gt;0),BA87-C87,"")</f>
        <v/>
      </c>
      <c r="BE87" s="41">
        <f>IF(AND(BA87&lt;&gt;"",D87&gt;0),(BA87-D87)/D87,"")</f>
        <v/>
      </c>
      <c r="BF87" s="41">
        <f>IF(AND(BC87&lt;&gt;"",P87&lt;&gt;""),(BC87-P87)/ABS(IF(P87=0,1,P87)),"")</f>
        <v/>
      </c>
      <c r="BG87" s="40">
        <f>IF(AND(BD87&lt;&gt;"",Q87&lt;&gt;""),BD87-Q87,"")</f>
        <v/>
      </c>
      <c r="BH87" s="40">
        <f>IF(AND(T87&gt;0,X87&lt;&gt;""),T87*X87,"")</f>
        <v/>
      </c>
      <c r="BI87" s="40">
        <f>IF(AND(T87&gt;0,AA87&lt;&gt;""),T87*AA87,"")</f>
        <v/>
      </c>
      <c r="BJ87" s="40">
        <f>IF(AND(T87&gt;0,AE87&lt;&gt;""),T87*AE87,"")</f>
        <v/>
      </c>
      <c r="BK87" s="40">
        <f>IF(AND(T87&gt;0,AH87&lt;&gt;""),T87*AH87,"")</f>
        <v/>
      </c>
      <c r="BL87" s="40">
        <f>IF(AND(T87&gt;0,AL87&lt;&gt;""),T87*AL87,"")</f>
        <v/>
      </c>
      <c r="BM87" s="40">
        <f>IF(AND(T87&gt;0,AO87&lt;&gt;""),T87*AO87,"")</f>
        <v/>
      </c>
      <c r="BN87" s="40">
        <f>IF(AND(T87&gt;0,AS87&gt;0),T87*AS87,"")</f>
        <v/>
      </c>
      <c r="BO87" s="40">
        <f>IF(AND(T87&gt;0,AV87&lt;&gt;""),T87*AV87,"")</f>
        <v/>
      </c>
      <c r="BP87" s="40">
        <f>IF(AND(T87&gt;0,BA87&lt;&gt;""),T87*BA87,"")</f>
        <v/>
      </c>
      <c r="BQ87" s="40">
        <f>IF(AND(T87&gt;0,BD87&lt;&gt;""),T87*BD87,"")</f>
        <v/>
      </c>
      <c r="BR87" s="46">
        <f>IF(AND(T87&gt;0,V87&gt;0,AA87&lt;&gt;0),V87/AA87-T87,"")</f>
        <v/>
      </c>
      <c r="BS87" s="41">
        <f>IF(AND(BR87&lt;&gt;"",T87&gt;0),BR87/T87,"")</f>
        <v/>
      </c>
      <c r="BT87" s="46">
        <f>IF(AND(T87&gt;0,V87&gt;0,AO87&lt;&gt;0),V87/AO87-T87,"")</f>
        <v/>
      </c>
      <c r="BU87" s="41">
        <f>IF(AND(BT87&lt;&gt;"",T87&gt;0),BT87/T87,"")</f>
        <v/>
      </c>
    </row>
    <row r="88">
      <c r="A88" s="36">
        <f>'📊 Исходные данные'!A87</f>
        <v/>
      </c>
      <c r="B88" s="37">
        <f>'📊 Исходные данные'!B87</f>
        <v/>
      </c>
      <c r="C88" s="38">
        <f>'📊 Исходные данные'!C87</f>
        <v/>
      </c>
      <c r="D88" s="38">
        <f>'📊 Исходные данные'!D87</f>
        <v/>
      </c>
      <c r="E88" s="39">
        <f>IF(OR(D88="",F88=""),"-",IF(D88&gt;F88*1.05,"Выше рынка",IF(D88&lt;F88*0.95,"Ниже рынка","На уровне")))</f>
        <v/>
      </c>
      <c r="F88" s="40">
        <f>IFERROR(AVERAGE('📊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G88" s="40">
        <f>IFERROR(MEDIAN('📊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H88" s="40">
        <f>IFERROR(MIN('📊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I88" s="40">
        <f>IFERROR(MAX('📊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данные'!K87),"")</f>
        <v/>
      </c>
      <c r="J88" s="41">
        <f>IF(AND(D88&lt;&gt;"",F88&lt;&gt;""),(D88-F88)/F88,"")</f>
        <v/>
      </c>
      <c r="K88" s="41">
        <f>IF(AND(D88&lt;&gt;"",G88&lt;&gt;""),(D88-G88)/G88,"")</f>
        <v/>
      </c>
      <c r="L88" s="41">
        <f>IF(AND(D88&lt;&gt;"",H88&lt;&gt;""),(D88-H88)/H88,"")</f>
        <v/>
      </c>
      <c r="M88" s="42">
        <f>IFERROR(RANK(D88,('📊 Исходные данные'!E87,'📊 Исходные данные'!F87,'📊 Исходные данные'!G87,'📊 Исходные данные'!H87,'📊 Исходные данные'!I87,'📊 Исходные данные'!J87,'📊 Исходные данные'!K87)),"")</f>
        <v/>
      </c>
      <c r="N88" s="39">
        <f>IF(M88="","-",IF(M88=1,"Дороже всех",IF(M88=2,"2-й по цене",IF(M88&lt;=4,"Средний","Ниже конкурентов"))))</f>
        <v/>
      </c>
      <c r="O88" s="41">
        <f>IF(AND(C88&gt;0,D88&gt;0),(D88-C88)/C88,"")</f>
        <v/>
      </c>
      <c r="P88" s="41">
        <f>IF(AND(C88&gt;0,D88&gt;0),(D88-C88)/D88,"")</f>
        <v/>
      </c>
      <c r="Q88" s="40">
        <f>IF(AND(C88&gt;0,D88&gt;0),D88-C88,"")</f>
        <v/>
      </c>
      <c r="R88" s="39">
        <f>IF(P88="","-",IF(P88&lt;0.1,"Низкая(&lt;10%)",IF(P88&lt;0.2,"Средняя(10-20%)","Хорошая(&gt;20%)")))</f>
        <v/>
      </c>
      <c r="S88" s="39">
        <f>IF(OR(H88="",C88=""),"-",IF((H88-C88)/H88&lt;0.05,"КРИТИЧНО",IF((H88-C88)/H88&lt;0.15,"УМЕРЕННЫЙ","НИЗКИЙ")))</f>
        <v/>
      </c>
      <c r="T88" s="43" t="n"/>
      <c r="U88" s="40">
        <f>IF(T88&gt;0,T88*D88,"")</f>
        <v/>
      </c>
      <c r="V88" s="40">
        <f>IF(T88&gt;0,T88*Q88,"")</f>
        <v/>
      </c>
      <c r="W88" s="41">
        <f>IF(U88&gt;0,V88/U88,"")</f>
        <v/>
      </c>
      <c r="X88" s="40">
        <f>IF(F88&lt;&gt;"",F88,"")</f>
        <v/>
      </c>
      <c r="Y88" s="41">
        <f>IF(AND(X88&lt;&gt;"",C88&gt;0),(X88-C88)/C88,"")</f>
        <v/>
      </c>
      <c r="Z88" s="41">
        <f>IF(AND(X88&lt;&gt;"",X88&gt;0),(X88-C88)/X88,"")</f>
        <v/>
      </c>
      <c r="AA88" s="40">
        <f>IF(AND(X88&lt;&gt;"",C88&gt;0),X88-C88,"")</f>
        <v/>
      </c>
      <c r="AB88" s="41">
        <f>IF(AND(X88&lt;&gt;"",D88&gt;0),(X88-D88)/D88,"")</f>
        <v/>
      </c>
      <c r="AC88" s="41">
        <f>IF(AND(Z88&lt;&gt;"",P88&lt;&gt;""),(Z88-P88)/ABS(IF(P88=0,1,P88)),"")</f>
        <v/>
      </c>
      <c r="AD88" s="40">
        <f>IF(AND(AA88&lt;&gt;"",Q88&lt;&gt;""),AA88-Q88,"")</f>
        <v/>
      </c>
      <c r="AE88" s="40">
        <f>IF(G88&lt;&gt;"",G88,"")</f>
        <v/>
      </c>
      <c r="AF88" s="41">
        <f>IF(AND(AE88&lt;&gt;"",C88&gt;0),(AE88-C88)/C88,"")</f>
        <v/>
      </c>
      <c r="AG88" s="41">
        <f>IF(AND(AE88&lt;&gt;"",AE88&gt;0),(AE88-C88)/AE88,"")</f>
        <v/>
      </c>
      <c r="AH88" s="40">
        <f>IF(AND(AE88&lt;&gt;"",C88&gt;0),AE88-C88,"")</f>
        <v/>
      </c>
      <c r="AI88" s="41">
        <f>IF(AND(AE88&lt;&gt;"",D88&gt;0),(AE88-D88)/D88,"")</f>
        <v/>
      </c>
      <c r="AJ88" s="41">
        <f>IF(AND(AG88&lt;&gt;"",P88&lt;&gt;""),(AG88-P88)/ABS(IF(P88=0,1,P88)),"")</f>
        <v/>
      </c>
      <c r="AK88" s="40">
        <f>IF(AND(AH88&lt;&gt;"",Q88&lt;&gt;""),AH88-Q88,"")</f>
        <v/>
      </c>
      <c r="AL88" s="40">
        <f>IF(H88&lt;&gt;"",H88,"")</f>
        <v/>
      </c>
      <c r="AM88" s="41">
        <f>IF(AND(AL88&lt;&gt;"",C88&gt;0),(AL88-C88)/C88,"")</f>
        <v/>
      </c>
      <c r="AN88" s="41">
        <f>IF(AND(AL88&lt;&gt;"",AL88&gt;0),(AL88-C88)/AL88,"")</f>
        <v/>
      </c>
      <c r="AO88" s="40">
        <f>IF(AND(AL88&lt;&gt;"",C88&gt;0),AL88-C88,"")</f>
        <v/>
      </c>
      <c r="AP88" s="41">
        <f>IF(AND(AL88&lt;&gt;"",D88&gt;0),(AL88-D88)/D88,"")</f>
        <v/>
      </c>
      <c r="AQ88" s="41">
        <f>IF(AND(AN88&lt;&gt;"",P88&lt;&gt;""),(AN88-P88)/ABS(IF(P88=0,1,P88)),"")</f>
        <v/>
      </c>
      <c r="AR88" s="40">
        <f>IF(AND(AO88&lt;&gt;"",Q88&lt;&gt;""),AO88-Q88,"")</f>
        <v/>
      </c>
      <c r="AS88" s="44" t="n"/>
      <c r="AT88" s="41">
        <f>IF(AND(AS88&gt;0,C88&gt;0),(AS88-C88)/C88,"")</f>
        <v/>
      </c>
      <c r="AU88" s="41">
        <f>IF(AND(AS88&gt;0,AS88&gt;0),(AS88-C88)/AS88,"")</f>
        <v/>
      </c>
      <c r="AV88" s="40">
        <f>IF(AND(AS88&gt;0,C88&gt;0),AS88-C88,"")</f>
        <v/>
      </c>
      <c r="AW88" s="41">
        <f>IF(AND(AS88&gt;0,D88&gt;0),(AS88-D88)/D88,"")</f>
        <v/>
      </c>
      <c r="AX88" s="41">
        <f>IF(AND(AU88&lt;&gt;"",P88&lt;&gt;""),(AU88-P88)/ABS(IF(P88=0,1,P88)),"")</f>
        <v/>
      </c>
      <c r="AY88" s="40">
        <f>IF(AND(AV88&lt;&gt;"",Q88&lt;&gt;""),AV88-Q88,"")</f>
        <v/>
      </c>
      <c r="AZ88" s="45" t="n"/>
      <c r="BA88" s="40">
        <f>IF(AND(AZ88&gt;0,C88&gt;0),C88/(1-AZ88),"")</f>
        <v/>
      </c>
      <c r="BB88" s="41">
        <f>IF(AND(BA88&lt;&gt;"",C88&gt;0),(BA88-C88)/C88,"")</f>
        <v/>
      </c>
      <c r="BC88" s="41">
        <f>IF(BA88&lt;&gt;"",AZ88,"")</f>
        <v/>
      </c>
      <c r="BD88" s="40">
        <f>IF(AND(BA88&lt;&gt;"",C88&gt;0),BA88-C88,"")</f>
        <v/>
      </c>
      <c r="BE88" s="41">
        <f>IF(AND(BA88&lt;&gt;"",D88&gt;0),(BA88-D88)/D88,"")</f>
        <v/>
      </c>
      <c r="BF88" s="41">
        <f>IF(AND(BC88&lt;&gt;"",P88&lt;&gt;""),(BC88-P88)/ABS(IF(P88=0,1,P88)),"")</f>
        <v/>
      </c>
      <c r="BG88" s="40">
        <f>IF(AND(BD88&lt;&gt;"",Q88&lt;&gt;""),BD88-Q88,"")</f>
        <v/>
      </c>
      <c r="BH88" s="40">
        <f>IF(AND(T88&gt;0,X88&lt;&gt;""),T88*X88,"")</f>
        <v/>
      </c>
      <c r="BI88" s="40">
        <f>IF(AND(T88&gt;0,AA88&lt;&gt;""),T88*AA88,"")</f>
        <v/>
      </c>
      <c r="BJ88" s="40">
        <f>IF(AND(T88&gt;0,AE88&lt;&gt;""),T88*AE88,"")</f>
        <v/>
      </c>
      <c r="BK88" s="40">
        <f>IF(AND(T88&gt;0,AH88&lt;&gt;""),T88*AH88,"")</f>
        <v/>
      </c>
      <c r="BL88" s="40">
        <f>IF(AND(T88&gt;0,AL88&lt;&gt;""),T88*AL88,"")</f>
        <v/>
      </c>
      <c r="BM88" s="40">
        <f>IF(AND(T88&gt;0,AO88&lt;&gt;""),T88*AO88,"")</f>
        <v/>
      </c>
      <c r="BN88" s="40">
        <f>IF(AND(T88&gt;0,AS88&gt;0),T88*AS88,"")</f>
        <v/>
      </c>
      <c r="BO88" s="40">
        <f>IF(AND(T88&gt;0,AV88&lt;&gt;""),T88*AV88,"")</f>
        <v/>
      </c>
      <c r="BP88" s="40">
        <f>IF(AND(T88&gt;0,BA88&lt;&gt;""),T88*BA88,"")</f>
        <v/>
      </c>
      <c r="BQ88" s="40">
        <f>IF(AND(T88&gt;0,BD88&lt;&gt;""),T88*BD88,"")</f>
        <v/>
      </c>
      <c r="BR88" s="46">
        <f>IF(AND(T88&gt;0,V88&gt;0,AA88&lt;&gt;0),V88/AA88-T88,"")</f>
        <v/>
      </c>
      <c r="BS88" s="41">
        <f>IF(AND(BR88&lt;&gt;"",T88&gt;0),BR88/T88,"")</f>
        <v/>
      </c>
      <c r="BT88" s="46">
        <f>IF(AND(T88&gt;0,V88&gt;0,AO88&lt;&gt;0),V88/AO88-T88,"")</f>
        <v/>
      </c>
      <c r="BU88" s="41">
        <f>IF(AND(BT88&lt;&gt;"",T88&gt;0),BT88/T88,"")</f>
        <v/>
      </c>
    </row>
    <row r="89">
      <c r="A89" s="36">
        <f>'📊 Исходные данные'!A88</f>
        <v/>
      </c>
      <c r="B89" s="37">
        <f>'📊 Исходные данные'!B88</f>
        <v/>
      </c>
      <c r="C89" s="38">
        <f>'📊 Исходные данные'!C88</f>
        <v/>
      </c>
      <c r="D89" s="38">
        <f>'📊 Исходные данные'!D88</f>
        <v/>
      </c>
      <c r="E89" s="39">
        <f>IF(OR(D89="",F89=""),"-",IF(D89&gt;F89*1.05,"Выше рынка",IF(D89&lt;F89*0.95,"Ниже рынка","На уровне")))</f>
        <v/>
      </c>
      <c r="F89" s="40">
        <f>IFERROR(AVERAGE('📊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G89" s="40">
        <f>IFERROR(MEDIAN('📊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H89" s="40">
        <f>IFERROR(MIN('📊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I89" s="40">
        <f>IFERROR(MAX('📊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данные'!K88),"")</f>
        <v/>
      </c>
      <c r="J89" s="41">
        <f>IF(AND(D89&lt;&gt;"",F89&lt;&gt;""),(D89-F89)/F89,"")</f>
        <v/>
      </c>
      <c r="K89" s="41">
        <f>IF(AND(D89&lt;&gt;"",G89&lt;&gt;""),(D89-G89)/G89,"")</f>
        <v/>
      </c>
      <c r="L89" s="41">
        <f>IF(AND(D89&lt;&gt;"",H89&lt;&gt;""),(D89-H89)/H89,"")</f>
        <v/>
      </c>
      <c r="M89" s="42">
        <f>IFERROR(RANK(D89,('📊 Исходные данные'!E88,'📊 Исходные данные'!F88,'📊 Исходные данные'!G88,'📊 Исходные данные'!H88,'📊 Исходные данные'!I88,'📊 Исходные данные'!J88,'📊 Исходные данные'!K88)),"")</f>
        <v/>
      </c>
      <c r="N89" s="39">
        <f>IF(M89="","-",IF(M89=1,"Дороже всех",IF(M89=2,"2-й по цене",IF(M89&lt;=4,"Средний","Ниже конкурентов"))))</f>
        <v/>
      </c>
      <c r="O89" s="41">
        <f>IF(AND(C89&gt;0,D89&gt;0),(D89-C89)/C89,"")</f>
        <v/>
      </c>
      <c r="P89" s="41">
        <f>IF(AND(C89&gt;0,D89&gt;0),(D89-C89)/D89,"")</f>
        <v/>
      </c>
      <c r="Q89" s="40">
        <f>IF(AND(C89&gt;0,D89&gt;0),D89-C89,"")</f>
        <v/>
      </c>
      <c r="R89" s="39">
        <f>IF(P89="","-",IF(P89&lt;0.1,"Низкая(&lt;10%)",IF(P89&lt;0.2,"Средняя(10-20%)","Хорошая(&gt;20%)")))</f>
        <v/>
      </c>
      <c r="S89" s="39">
        <f>IF(OR(H89="",C89=""),"-",IF((H89-C89)/H89&lt;0.05,"КРИТИЧНО",IF((H89-C89)/H89&lt;0.15,"УМЕРЕННЫЙ","НИЗКИЙ")))</f>
        <v/>
      </c>
      <c r="T89" s="43" t="n"/>
      <c r="U89" s="40">
        <f>IF(T89&gt;0,T89*D89,"")</f>
        <v/>
      </c>
      <c r="V89" s="40">
        <f>IF(T89&gt;0,T89*Q89,"")</f>
        <v/>
      </c>
      <c r="W89" s="41">
        <f>IF(U89&gt;0,V89/U89,"")</f>
        <v/>
      </c>
      <c r="X89" s="40">
        <f>IF(F89&lt;&gt;"",F89,"")</f>
        <v/>
      </c>
      <c r="Y89" s="41">
        <f>IF(AND(X89&lt;&gt;"",C89&gt;0),(X89-C89)/C89,"")</f>
        <v/>
      </c>
      <c r="Z89" s="41">
        <f>IF(AND(X89&lt;&gt;"",X89&gt;0),(X89-C89)/X89,"")</f>
        <v/>
      </c>
      <c r="AA89" s="40">
        <f>IF(AND(X89&lt;&gt;"",C89&gt;0),X89-C89,"")</f>
        <v/>
      </c>
      <c r="AB89" s="41">
        <f>IF(AND(X89&lt;&gt;"",D89&gt;0),(X89-D89)/D89,"")</f>
        <v/>
      </c>
      <c r="AC89" s="41">
        <f>IF(AND(Z89&lt;&gt;"",P89&lt;&gt;""),(Z89-P89)/ABS(IF(P89=0,1,P89)),"")</f>
        <v/>
      </c>
      <c r="AD89" s="40">
        <f>IF(AND(AA89&lt;&gt;"",Q89&lt;&gt;""),AA89-Q89,"")</f>
        <v/>
      </c>
      <c r="AE89" s="40">
        <f>IF(G89&lt;&gt;"",G89,"")</f>
        <v/>
      </c>
      <c r="AF89" s="41">
        <f>IF(AND(AE89&lt;&gt;"",C89&gt;0),(AE89-C89)/C89,"")</f>
        <v/>
      </c>
      <c r="AG89" s="41">
        <f>IF(AND(AE89&lt;&gt;"",AE89&gt;0),(AE89-C89)/AE89,"")</f>
        <v/>
      </c>
      <c r="AH89" s="40">
        <f>IF(AND(AE89&lt;&gt;"",C89&gt;0),AE89-C89,"")</f>
        <v/>
      </c>
      <c r="AI89" s="41">
        <f>IF(AND(AE89&lt;&gt;"",D89&gt;0),(AE89-D89)/D89,"")</f>
        <v/>
      </c>
      <c r="AJ89" s="41">
        <f>IF(AND(AG89&lt;&gt;"",P89&lt;&gt;""),(AG89-P89)/ABS(IF(P89=0,1,P89)),"")</f>
        <v/>
      </c>
      <c r="AK89" s="40">
        <f>IF(AND(AH89&lt;&gt;"",Q89&lt;&gt;""),AH89-Q89,"")</f>
        <v/>
      </c>
      <c r="AL89" s="40">
        <f>IF(H89&lt;&gt;"",H89,"")</f>
        <v/>
      </c>
      <c r="AM89" s="41">
        <f>IF(AND(AL89&lt;&gt;"",C89&gt;0),(AL89-C89)/C89,"")</f>
        <v/>
      </c>
      <c r="AN89" s="41">
        <f>IF(AND(AL89&lt;&gt;"",AL89&gt;0),(AL89-C89)/AL89,"")</f>
        <v/>
      </c>
      <c r="AO89" s="40">
        <f>IF(AND(AL89&lt;&gt;"",C89&gt;0),AL89-C89,"")</f>
        <v/>
      </c>
      <c r="AP89" s="41">
        <f>IF(AND(AL89&lt;&gt;"",D89&gt;0),(AL89-D89)/D89,"")</f>
        <v/>
      </c>
      <c r="AQ89" s="41">
        <f>IF(AND(AN89&lt;&gt;"",P89&lt;&gt;""),(AN89-P89)/ABS(IF(P89=0,1,P89)),"")</f>
        <v/>
      </c>
      <c r="AR89" s="40">
        <f>IF(AND(AO89&lt;&gt;"",Q89&lt;&gt;""),AO89-Q89,"")</f>
        <v/>
      </c>
      <c r="AS89" s="44" t="n"/>
      <c r="AT89" s="41">
        <f>IF(AND(AS89&gt;0,C89&gt;0),(AS89-C89)/C89,"")</f>
        <v/>
      </c>
      <c r="AU89" s="41">
        <f>IF(AND(AS89&gt;0,AS89&gt;0),(AS89-C89)/AS89,"")</f>
        <v/>
      </c>
      <c r="AV89" s="40">
        <f>IF(AND(AS89&gt;0,C89&gt;0),AS89-C89,"")</f>
        <v/>
      </c>
      <c r="AW89" s="41">
        <f>IF(AND(AS89&gt;0,D89&gt;0),(AS89-D89)/D89,"")</f>
        <v/>
      </c>
      <c r="AX89" s="41">
        <f>IF(AND(AU89&lt;&gt;"",P89&lt;&gt;""),(AU89-P89)/ABS(IF(P89=0,1,P89)),"")</f>
        <v/>
      </c>
      <c r="AY89" s="40">
        <f>IF(AND(AV89&lt;&gt;"",Q89&lt;&gt;""),AV89-Q89,"")</f>
        <v/>
      </c>
      <c r="AZ89" s="45" t="n"/>
      <c r="BA89" s="40">
        <f>IF(AND(AZ89&gt;0,C89&gt;0),C89/(1-AZ89),"")</f>
        <v/>
      </c>
      <c r="BB89" s="41">
        <f>IF(AND(BA89&lt;&gt;"",C89&gt;0),(BA89-C89)/C89,"")</f>
        <v/>
      </c>
      <c r="BC89" s="41">
        <f>IF(BA89&lt;&gt;"",AZ89,"")</f>
        <v/>
      </c>
      <c r="BD89" s="40">
        <f>IF(AND(BA89&lt;&gt;"",C89&gt;0),BA89-C89,"")</f>
        <v/>
      </c>
      <c r="BE89" s="41">
        <f>IF(AND(BA89&lt;&gt;"",D89&gt;0),(BA89-D89)/D89,"")</f>
        <v/>
      </c>
      <c r="BF89" s="41">
        <f>IF(AND(BC89&lt;&gt;"",P89&lt;&gt;""),(BC89-P89)/ABS(IF(P89=0,1,P89)),"")</f>
        <v/>
      </c>
      <c r="BG89" s="40">
        <f>IF(AND(BD89&lt;&gt;"",Q89&lt;&gt;""),BD89-Q89,"")</f>
        <v/>
      </c>
      <c r="BH89" s="40">
        <f>IF(AND(T89&gt;0,X89&lt;&gt;""),T89*X89,"")</f>
        <v/>
      </c>
      <c r="BI89" s="40">
        <f>IF(AND(T89&gt;0,AA89&lt;&gt;""),T89*AA89,"")</f>
        <v/>
      </c>
      <c r="BJ89" s="40">
        <f>IF(AND(T89&gt;0,AE89&lt;&gt;""),T89*AE89,"")</f>
        <v/>
      </c>
      <c r="BK89" s="40">
        <f>IF(AND(T89&gt;0,AH89&lt;&gt;""),T89*AH89,"")</f>
        <v/>
      </c>
      <c r="BL89" s="40">
        <f>IF(AND(T89&gt;0,AL89&lt;&gt;""),T89*AL89,"")</f>
        <v/>
      </c>
      <c r="BM89" s="40">
        <f>IF(AND(T89&gt;0,AO89&lt;&gt;""),T89*AO89,"")</f>
        <v/>
      </c>
      <c r="BN89" s="40">
        <f>IF(AND(T89&gt;0,AS89&gt;0),T89*AS89,"")</f>
        <v/>
      </c>
      <c r="BO89" s="40">
        <f>IF(AND(T89&gt;0,AV89&lt;&gt;""),T89*AV89,"")</f>
        <v/>
      </c>
      <c r="BP89" s="40">
        <f>IF(AND(T89&gt;0,BA89&lt;&gt;""),T89*BA89,"")</f>
        <v/>
      </c>
      <c r="BQ89" s="40">
        <f>IF(AND(T89&gt;0,BD89&lt;&gt;""),T89*BD89,"")</f>
        <v/>
      </c>
      <c r="BR89" s="46">
        <f>IF(AND(T89&gt;0,V89&gt;0,AA89&lt;&gt;0),V89/AA89-T89,"")</f>
        <v/>
      </c>
      <c r="BS89" s="41">
        <f>IF(AND(BR89&lt;&gt;"",T89&gt;0),BR89/T89,"")</f>
        <v/>
      </c>
      <c r="BT89" s="46">
        <f>IF(AND(T89&gt;0,V89&gt;0,AO89&lt;&gt;0),V89/AO89-T89,"")</f>
        <v/>
      </c>
      <c r="BU89" s="41">
        <f>IF(AND(BT89&lt;&gt;"",T89&gt;0),BT89/T89,"")</f>
        <v/>
      </c>
    </row>
    <row r="90">
      <c r="A90" s="36">
        <f>'📊 Исходные данные'!A89</f>
        <v/>
      </c>
      <c r="B90" s="37">
        <f>'📊 Исходные данные'!B89</f>
        <v/>
      </c>
      <c r="C90" s="38">
        <f>'📊 Исходные данные'!C89</f>
        <v/>
      </c>
      <c r="D90" s="38">
        <f>'📊 Исходные данные'!D89</f>
        <v/>
      </c>
      <c r="E90" s="39">
        <f>IF(OR(D90="",F90=""),"-",IF(D90&gt;F90*1.05,"Выше рынка",IF(D90&lt;F90*0.95,"Ниже рынка","На уровне")))</f>
        <v/>
      </c>
      <c r="F90" s="40">
        <f>IFERROR(AVERAGE('📊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G90" s="40">
        <f>IFERROR(MEDIAN('📊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H90" s="40">
        <f>IFERROR(MIN('📊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I90" s="40">
        <f>IFERROR(MAX('📊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данные'!K89),"")</f>
        <v/>
      </c>
      <c r="J90" s="41">
        <f>IF(AND(D90&lt;&gt;"",F90&lt;&gt;""),(D90-F90)/F90,"")</f>
        <v/>
      </c>
      <c r="K90" s="41">
        <f>IF(AND(D90&lt;&gt;"",G90&lt;&gt;""),(D90-G90)/G90,"")</f>
        <v/>
      </c>
      <c r="L90" s="41">
        <f>IF(AND(D90&lt;&gt;"",H90&lt;&gt;""),(D90-H90)/H90,"")</f>
        <v/>
      </c>
      <c r="M90" s="42">
        <f>IFERROR(RANK(D90,('📊 Исходные данные'!E89,'📊 Исходные данные'!F89,'📊 Исходные данные'!G89,'📊 Исходные данные'!H89,'📊 Исходные данные'!I89,'📊 Исходные данные'!J89,'📊 Исходные данные'!K89)),"")</f>
        <v/>
      </c>
      <c r="N90" s="39">
        <f>IF(M90="","-",IF(M90=1,"Дороже всех",IF(M90=2,"2-й по цене",IF(M90&lt;=4,"Средний","Ниже конкурентов"))))</f>
        <v/>
      </c>
      <c r="O90" s="41">
        <f>IF(AND(C90&gt;0,D90&gt;0),(D90-C90)/C90,"")</f>
        <v/>
      </c>
      <c r="P90" s="41">
        <f>IF(AND(C90&gt;0,D90&gt;0),(D90-C90)/D90,"")</f>
        <v/>
      </c>
      <c r="Q90" s="40">
        <f>IF(AND(C90&gt;0,D90&gt;0),D90-C90,"")</f>
        <v/>
      </c>
      <c r="R90" s="39">
        <f>IF(P90="","-",IF(P90&lt;0.1,"Низкая(&lt;10%)",IF(P90&lt;0.2,"Средняя(10-20%)","Хорошая(&gt;20%)")))</f>
        <v/>
      </c>
      <c r="S90" s="39">
        <f>IF(OR(H90="",C90=""),"-",IF((H90-C90)/H90&lt;0.05,"КРИТИЧНО",IF((H90-C90)/H90&lt;0.15,"УМЕРЕННЫЙ","НИЗКИЙ")))</f>
        <v/>
      </c>
      <c r="T90" s="43" t="n"/>
      <c r="U90" s="40">
        <f>IF(T90&gt;0,T90*D90,"")</f>
        <v/>
      </c>
      <c r="V90" s="40">
        <f>IF(T90&gt;0,T90*Q90,"")</f>
        <v/>
      </c>
      <c r="W90" s="41">
        <f>IF(U90&gt;0,V90/U90,"")</f>
        <v/>
      </c>
      <c r="X90" s="40">
        <f>IF(F90&lt;&gt;"",F90,"")</f>
        <v/>
      </c>
      <c r="Y90" s="41">
        <f>IF(AND(X90&lt;&gt;"",C90&gt;0),(X90-C90)/C90,"")</f>
        <v/>
      </c>
      <c r="Z90" s="41">
        <f>IF(AND(X90&lt;&gt;"",X90&gt;0),(X90-C90)/X90,"")</f>
        <v/>
      </c>
      <c r="AA90" s="40">
        <f>IF(AND(X90&lt;&gt;"",C90&gt;0),X90-C90,"")</f>
        <v/>
      </c>
      <c r="AB90" s="41">
        <f>IF(AND(X90&lt;&gt;"",D90&gt;0),(X90-D90)/D90,"")</f>
        <v/>
      </c>
      <c r="AC90" s="41">
        <f>IF(AND(Z90&lt;&gt;"",P90&lt;&gt;""),(Z90-P90)/ABS(IF(P90=0,1,P90)),"")</f>
        <v/>
      </c>
      <c r="AD90" s="40">
        <f>IF(AND(AA90&lt;&gt;"",Q90&lt;&gt;""),AA90-Q90,"")</f>
        <v/>
      </c>
      <c r="AE90" s="40">
        <f>IF(G90&lt;&gt;"",G90,"")</f>
        <v/>
      </c>
      <c r="AF90" s="41">
        <f>IF(AND(AE90&lt;&gt;"",C90&gt;0),(AE90-C90)/C90,"")</f>
        <v/>
      </c>
      <c r="AG90" s="41">
        <f>IF(AND(AE90&lt;&gt;"",AE90&gt;0),(AE90-C90)/AE90,"")</f>
        <v/>
      </c>
      <c r="AH90" s="40">
        <f>IF(AND(AE90&lt;&gt;"",C90&gt;0),AE90-C90,"")</f>
        <v/>
      </c>
      <c r="AI90" s="41">
        <f>IF(AND(AE90&lt;&gt;"",D90&gt;0),(AE90-D90)/D90,"")</f>
        <v/>
      </c>
      <c r="AJ90" s="41">
        <f>IF(AND(AG90&lt;&gt;"",P90&lt;&gt;""),(AG90-P90)/ABS(IF(P90=0,1,P90)),"")</f>
        <v/>
      </c>
      <c r="AK90" s="40">
        <f>IF(AND(AH90&lt;&gt;"",Q90&lt;&gt;""),AH90-Q90,"")</f>
        <v/>
      </c>
      <c r="AL90" s="40">
        <f>IF(H90&lt;&gt;"",H90,"")</f>
        <v/>
      </c>
      <c r="AM90" s="41">
        <f>IF(AND(AL90&lt;&gt;"",C90&gt;0),(AL90-C90)/C90,"")</f>
        <v/>
      </c>
      <c r="AN90" s="41">
        <f>IF(AND(AL90&lt;&gt;"",AL90&gt;0),(AL90-C90)/AL90,"")</f>
        <v/>
      </c>
      <c r="AO90" s="40">
        <f>IF(AND(AL90&lt;&gt;"",C90&gt;0),AL90-C90,"")</f>
        <v/>
      </c>
      <c r="AP90" s="41">
        <f>IF(AND(AL90&lt;&gt;"",D90&gt;0),(AL90-D90)/D90,"")</f>
        <v/>
      </c>
      <c r="AQ90" s="41">
        <f>IF(AND(AN90&lt;&gt;"",P90&lt;&gt;""),(AN90-P90)/ABS(IF(P90=0,1,P90)),"")</f>
        <v/>
      </c>
      <c r="AR90" s="40">
        <f>IF(AND(AO90&lt;&gt;"",Q90&lt;&gt;""),AO90-Q90,"")</f>
        <v/>
      </c>
      <c r="AS90" s="44" t="n"/>
      <c r="AT90" s="41">
        <f>IF(AND(AS90&gt;0,C90&gt;0),(AS90-C90)/C90,"")</f>
        <v/>
      </c>
      <c r="AU90" s="41">
        <f>IF(AND(AS90&gt;0,AS90&gt;0),(AS90-C90)/AS90,"")</f>
        <v/>
      </c>
      <c r="AV90" s="40">
        <f>IF(AND(AS90&gt;0,C90&gt;0),AS90-C90,"")</f>
        <v/>
      </c>
      <c r="AW90" s="41">
        <f>IF(AND(AS90&gt;0,D90&gt;0),(AS90-D90)/D90,"")</f>
        <v/>
      </c>
      <c r="AX90" s="41">
        <f>IF(AND(AU90&lt;&gt;"",P90&lt;&gt;""),(AU90-P90)/ABS(IF(P90=0,1,P90)),"")</f>
        <v/>
      </c>
      <c r="AY90" s="40">
        <f>IF(AND(AV90&lt;&gt;"",Q90&lt;&gt;""),AV90-Q90,"")</f>
        <v/>
      </c>
      <c r="AZ90" s="45" t="n"/>
      <c r="BA90" s="40">
        <f>IF(AND(AZ90&gt;0,C90&gt;0),C90/(1-AZ90),"")</f>
        <v/>
      </c>
      <c r="BB90" s="41">
        <f>IF(AND(BA90&lt;&gt;"",C90&gt;0),(BA90-C90)/C90,"")</f>
        <v/>
      </c>
      <c r="BC90" s="41">
        <f>IF(BA90&lt;&gt;"",AZ90,"")</f>
        <v/>
      </c>
      <c r="BD90" s="40">
        <f>IF(AND(BA90&lt;&gt;"",C90&gt;0),BA90-C90,"")</f>
        <v/>
      </c>
      <c r="BE90" s="41">
        <f>IF(AND(BA90&lt;&gt;"",D90&gt;0),(BA90-D90)/D90,"")</f>
        <v/>
      </c>
      <c r="BF90" s="41">
        <f>IF(AND(BC90&lt;&gt;"",P90&lt;&gt;""),(BC90-P90)/ABS(IF(P90=0,1,P90)),"")</f>
        <v/>
      </c>
      <c r="BG90" s="40">
        <f>IF(AND(BD90&lt;&gt;"",Q90&lt;&gt;""),BD90-Q90,"")</f>
        <v/>
      </c>
      <c r="BH90" s="40">
        <f>IF(AND(T90&gt;0,X90&lt;&gt;""),T90*X90,"")</f>
        <v/>
      </c>
      <c r="BI90" s="40">
        <f>IF(AND(T90&gt;0,AA90&lt;&gt;""),T90*AA90,"")</f>
        <v/>
      </c>
      <c r="BJ90" s="40">
        <f>IF(AND(T90&gt;0,AE90&lt;&gt;""),T90*AE90,"")</f>
        <v/>
      </c>
      <c r="BK90" s="40">
        <f>IF(AND(T90&gt;0,AH90&lt;&gt;""),T90*AH90,"")</f>
        <v/>
      </c>
      <c r="BL90" s="40">
        <f>IF(AND(T90&gt;0,AL90&lt;&gt;""),T90*AL90,"")</f>
        <v/>
      </c>
      <c r="BM90" s="40">
        <f>IF(AND(T90&gt;0,AO90&lt;&gt;""),T90*AO90,"")</f>
        <v/>
      </c>
      <c r="BN90" s="40">
        <f>IF(AND(T90&gt;0,AS90&gt;0),T90*AS90,"")</f>
        <v/>
      </c>
      <c r="BO90" s="40">
        <f>IF(AND(T90&gt;0,AV90&lt;&gt;""),T90*AV90,"")</f>
        <v/>
      </c>
      <c r="BP90" s="40">
        <f>IF(AND(T90&gt;0,BA90&lt;&gt;""),T90*BA90,"")</f>
        <v/>
      </c>
      <c r="BQ90" s="40">
        <f>IF(AND(T90&gt;0,BD90&lt;&gt;""),T90*BD90,"")</f>
        <v/>
      </c>
      <c r="BR90" s="46">
        <f>IF(AND(T90&gt;0,V90&gt;0,AA90&lt;&gt;0),V90/AA90-T90,"")</f>
        <v/>
      </c>
      <c r="BS90" s="41">
        <f>IF(AND(BR90&lt;&gt;"",T90&gt;0),BR90/T90,"")</f>
        <v/>
      </c>
      <c r="BT90" s="46">
        <f>IF(AND(T90&gt;0,V90&gt;0,AO90&lt;&gt;0),V90/AO90-T90,"")</f>
        <v/>
      </c>
      <c r="BU90" s="41">
        <f>IF(AND(BT90&lt;&gt;"",T90&gt;0),BT90/T90,"")</f>
        <v/>
      </c>
    </row>
    <row r="91">
      <c r="A91" s="36">
        <f>'📊 Исходные данные'!A90</f>
        <v/>
      </c>
      <c r="B91" s="37">
        <f>'📊 Исходные данные'!B90</f>
        <v/>
      </c>
      <c r="C91" s="38">
        <f>'📊 Исходные данные'!C90</f>
        <v/>
      </c>
      <c r="D91" s="38">
        <f>'📊 Исходные данные'!D90</f>
        <v/>
      </c>
      <c r="E91" s="39">
        <f>IF(OR(D91="",F91=""),"-",IF(D91&gt;F91*1.05,"Выше рынка",IF(D91&lt;F91*0.95,"Ниже рынка","На уровне")))</f>
        <v/>
      </c>
      <c r="F91" s="40">
        <f>IFERROR(AVERAGE('📊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G91" s="40">
        <f>IFERROR(MEDIAN('📊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H91" s="40">
        <f>IFERROR(MIN('📊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I91" s="40">
        <f>IFERROR(MAX('📊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данные'!K90),"")</f>
        <v/>
      </c>
      <c r="J91" s="41">
        <f>IF(AND(D91&lt;&gt;"",F91&lt;&gt;""),(D91-F91)/F91,"")</f>
        <v/>
      </c>
      <c r="K91" s="41">
        <f>IF(AND(D91&lt;&gt;"",G91&lt;&gt;""),(D91-G91)/G91,"")</f>
        <v/>
      </c>
      <c r="L91" s="41">
        <f>IF(AND(D91&lt;&gt;"",H91&lt;&gt;""),(D91-H91)/H91,"")</f>
        <v/>
      </c>
      <c r="M91" s="42">
        <f>IFERROR(RANK(D91,('📊 Исходные данные'!E90,'📊 Исходные данные'!F90,'📊 Исходные данные'!G90,'📊 Исходные данные'!H90,'📊 Исходные данные'!I90,'📊 Исходные данные'!J90,'📊 Исходные данные'!K90)),"")</f>
        <v/>
      </c>
      <c r="N91" s="39">
        <f>IF(M91="","-",IF(M91=1,"Дороже всех",IF(M91=2,"2-й по цене",IF(M91&lt;=4,"Средний","Ниже конкурентов"))))</f>
        <v/>
      </c>
      <c r="O91" s="41">
        <f>IF(AND(C91&gt;0,D91&gt;0),(D91-C91)/C91,"")</f>
        <v/>
      </c>
      <c r="P91" s="41">
        <f>IF(AND(C91&gt;0,D91&gt;0),(D91-C91)/D91,"")</f>
        <v/>
      </c>
      <c r="Q91" s="40">
        <f>IF(AND(C91&gt;0,D91&gt;0),D91-C91,"")</f>
        <v/>
      </c>
      <c r="R91" s="39">
        <f>IF(P91="","-",IF(P91&lt;0.1,"Низкая(&lt;10%)",IF(P91&lt;0.2,"Средняя(10-20%)","Хорошая(&gt;20%)")))</f>
        <v/>
      </c>
      <c r="S91" s="39">
        <f>IF(OR(H91="",C91=""),"-",IF((H91-C91)/H91&lt;0.05,"КРИТИЧНО",IF((H91-C91)/H91&lt;0.15,"УМЕРЕННЫЙ","НИЗКИЙ")))</f>
        <v/>
      </c>
      <c r="T91" s="43" t="n"/>
      <c r="U91" s="40">
        <f>IF(T91&gt;0,T91*D91,"")</f>
        <v/>
      </c>
      <c r="V91" s="40">
        <f>IF(T91&gt;0,T91*Q91,"")</f>
        <v/>
      </c>
      <c r="W91" s="41">
        <f>IF(U91&gt;0,V91/U91,"")</f>
        <v/>
      </c>
      <c r="X91" s="40">
        <f>IF(F91&lt;&gt;"",F91,"")</f>
        <v/>
      </c>
      <c r="Y91" s="41">
        <f>IF(AND(X91&lt;&gt;"",C91&gt;0),(X91-C91)/C91,"")</f>
        <v/>
      </c>
      <c r="Z91" s="41">
        <f>IF(AND(X91&lt;&gt;"",X91&gt;0),(X91-C91)/X91,"")</f>
        <v/>
      </c>
      <c r="AA91" s="40">
        <f>IF(AND(X91&lt;&gt;"",C91&gt;0),X91-C91,"")</f>
        <v/>
      </c>
      <c r="AB91" s="41">
        <f>IF(AND(X91&lt;&gt;"",D91&gt;0),(X91-D91)/D91,"")</f>
        <v/>
      </c>
      <c r="AC91" s="41">
        <f>IF(AND(Z91&lt;&gt;"",P91&lt;&gt;""),(Z91-P91)/ABS(IF(P91=0,1,P91)),"")</f>
        <v/>
      </c>
      <c r="AD91" s="40">
        <f>IF(AND(AA91&lt;&gt;"",Q91&lt;&gt;""),AA91-Q91,"")</f>
        <v/>
      </c>
      <c r="AE91" s="40">
        <f>IF(G91&lt;&gt;"",G91,"")</f>
        <v/>
      </c>
      <c r="AF91" s="41">
        <f>IF(AND(AE91&lt;&gt;"",C91&gt;0),(AE91-C91)/C91,"")</f>
        <v/>
      </c>
      <c r="AG91" s="41">
        <f>IF(AND(AE91&lt;&gt;"",AE91&gt;0),(AE91-C91)/AE91,"")</f>
        <v/>
      </c>
      <c r="AH91" s="40">
        <f>IF(AND(AE91&lt;&gt;"",C91&gt;0),AE91-C91,"")</f>
        <v/>
      </c>
      <c r="AI91" s="41">
        <f>IF(AND(AE91&lt;&gt;"",D91&gt;0),(AE91-D91)/D91,"")</f>
        <v/>
      </c>
      <c r="AJ91" s="41">
        <f>IF(AND(AG91&lt;&gt;"",P91&lt;&gt;""),(AG91-P91)/ABS(IF(P91=0,1,P91)),"")</f>
        <v/>
      </c>
      <c r="AK91" s="40">
        <f>IF(AND(AH91&lt;&gt;"",Q91&lt;&gt;""),AH91-Q91,"")</f>
        <v/>
      </c>
      <c r="AL91" s="40">
        <f>IF(H91&lt;&gt;"",H91,"")</f>
        <v/>
      </c>
      <c r="AM91" s="41">
        <f>IF(AND(AL91&lt;&gt;"",C91&gt;0),(AL91-C91)/C91,"")</f>
        <v/>
      </c>
      <c r="AN91" s="41">
        <f>IF(AND(AL91&lt;&gt;"",AL91&gt;0),(AL91-C91)/AL91,"")</f>
        <v/>
      </c>
      <c r="AO91" s="40">
        <f>IF(AND(AL91&lt;&gt;"",C91&gt;0),AL91-C91,"")</f>
        <v/>
      </c>
      <c r="AP91" s="41">
        <f>IF(AND(AL91&lt;&gt;"",D91&gt;0),(AL91-D91)/D91,"")</f>
        <v/>
      </c>
      <c r="AQ91" s="41">
        <f>IF(AND(AN91&lt;&gt;"",P91&lt;&gt;""),(AN91-P91)/ABS(IF(P91=0,1,P91)),"")</f>
        <v/>
      </c>
      <c r="AR91" s="40">
        <f>IF(AND(AO91&lt;&gt;"",Q91&lt;&gt;""),AO91-Q91,"")</f>
        <v/>
      </c>
      <c r="AS91" s="44" t="n"/>
      <c r="AT91" s="41">
        <f>IF(AND(AS91&gt;0,C91&gt;0),(AS91-C91)/C91,"")</f>
        <v/>
      </c>
      <c r="AU91" s="41">
        <f>IF(AND(AS91&gt;0,AS91&gt;0),(AS91-C91)/AS91,"")</f>
        <v/>
      </c>
      <c r="AV91" s="40">
        <f>IF(AND(AS91&gt;0,C91&gt;0),AS91-C91,"")</f>
        <v/>
      </c>
      <c r="AW91" s="41">
        <f>IF(AND(AS91&gt;0,D91&gt;0),(AS91-D91)/D91,"")</f>
        <v/>
      </c>
      <c r="AX91" s="41">
        <f>IF(AND(AU91&lt;&gt;"",P91&lt;&gt;""),(AU91-P91)/ABS(IF(P91=0,1,P91)),"")</f>
        <v/>
      </c>
      <c r="AY91" s="40">
        <f>IF(AND(AV91&lt;&gt;"",Q91&lt;&gt;""),AV91-Q91,"")</f>
        <v/>
      </c>
      <c r="AZ91" s="45" t="n"/>
      <c r="BA91" s="40">
        <f>IF(AND(AZ91&gt;0,C91&gt;0),C91/(1-AZ91),"")</f>
        <v/>
      </c>
      <c r="BB91" s="41">
        <f>IF(AND(BA91&lt;&gt;"",C91&gt;0),(BA91-C91)/C91,"")</f>
        <v/>
      </c>
      <c r="BC91" s="41">
        <f>IF(BA91&lt;&gt;"",AZ91,"")</f>
        <v/>
      </c>
      <c r="BD91" s="40">
        <f>IF(AND(BA91&lt;&gt;"",C91&gt;0),BA91-C91,"")</f>
        <v/>
      </c>
      <c r="BE91" s="41">
        <f>IF(AND(BA91&lt;&gt;"",D91&gt;0),(BA91-D91)/D91,"")</f>
        <v/>
      </c>
      <c r="BF91" s="41">
        <f>IF(AND(BC91&lt;&gt;"",P91&lt;&gt;""),(BC91-P91)/ABS(IF(P91=0,1,P91)),"")</f>
        <v/>
      </c>
      <c r="BG91" s="40">
        <f>IF(AND(BD91&lt;&gt;"",Q91&lt;&gt;""),BD91-Q91,"")</f>
        <v/>
      </c>
      <c r="BH91" s="40">
        <f>IF(AND(T91&gt;0,X91&lt;&gt;""),T91*X91,"")</f>
        <v/>
      </c>
      <c r="BI91" s="40">
        <f>IF(AND(T91&gt;0,AA91&lt;&gt;""),T91*AA91,"")</f>
        <v/>
      </c>
      <c r="BJ91" s="40">
        <f>IF(AND(T91&gt;0,AE91&lt;&gt;""),T91*AE91,"")</f>
        <v/>
      </c>
      <c r="BK91" s="40">
        <f>IF(AND(T91&gt;0,AH91&lt;&gt;""),T91*AH91,"")</f>
        <v/>
      </c>
      <c r="BL91" s="40">
        <f>IF(AND(T91&gt;0,AL91&lt;&gt;""),T91*AL91,"")</f>
        <v/>
      </c>
      <c r="BM91" s="40">
        <f>IF(AND(T91&gt;0,AO91&lt;&gt;""),T91*AO91,"")</f>
        <v/>
      </c>
      <c r="BN91" s="40">
        <f>IF(AND(T91&gt;0,AS91&gt;0),T91*AS91,"")</f>
        <v/>
      </c>
      <c r="BO91" s="40">
        <f>IF(AND(T91&gt;0,AV91&lt;&gt;""),T91*AV91,"")</f>
        <v/>
      </c>
      <c r="BP91" s="40">
        <f>IF(AND(T91&gt;0,BA91&lt;&gt;""),T91*BA91,"")</f>
        <v/>
      </c>
      <c r="BQ91" s="40">
        <f>IF(AND(T91&gt;0,BD91&lt;&gt;""),T91*BD91,"")</f>
        <v/>
      </c>
      <c r="BR91" s="46">
        <f>IF(AND(T91&gt;0,V91&gt;0,AA91&lt;&gt;0),V91/AA91-T91,"")</f>
        <v/>
      </c>
      <c r="BS91" s="41">
        <f>IF(AND(BR91&lt;&gt;"",T91&gt;0),BR91/T91,"")</f>
        <v/>
      </c>
      <c r="BT91" s="46">
        <f>IF(AND(T91&gt;0,V91&gt;0,AO91&lt;&gt;0),V91/AO91-T91,"")</f>
        <v/>
      </c>
      <c r="BU91" s="41">
        <f>IF(AND(BT91&lt;&gt;"",T91&gt;0),BT91/T91,"")</f>
        <v/>
      </c>
    </row>
    <row r="92">
      <c r="A92" s="36">
        <f>'📊 Исходные данные'!A91</f>
        <v/>
      </c>
      <c r="B92" s="37">
        <f>'📊 Исходные данные'!B91</f>
        <v/>
      </c>
      <c r="C92" s="38">
        <f>'📊 Исходные данные'!C91</f>
        <v/>
      </c>
      <c r="D92" s="38">
        <f>'📊 Исходные данные'!D91</f>
        <v/>
      </c>
      <c r="E92" s="39">
        <f>IF(OR(D92="",F92=""),"-",IF(D92&gt;F92*1.05,"Выше рынка",IF(D92&lt;F92*0.95,"Ниже рынка","На уровне")))</f>
        <v/>
      </c>
      <c r="F92" s="40">
        <f>IFERROR(AVERAGE('📊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G92" s="40">
        <f>IFERROR(MEDIAN('📊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H92" s="40">
        <f>IFERROR(MIN('📊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I92" s="40">
        <f>IFERROR(MAX('📊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данные'!K91),"")</f>
        <v/>
      </c>
      <c r="J92" s="41">
        <f>IF(AND(D92&lt;&gt;"",F92&lt;&gt;""),(D92-F92)/F92,"")</f>
        <v/>
      </c>
      <c r="K92" s="41">
        <f>IF(AND(D92&lt;&gt;"",G92&lt;&gt;""),(D92-G92)/G92,"")</f>
        <v/>
      </c>
      <c r="L92" s="41">
        <f>IF(AND(D92&lt;&gt;"",H92&lt;&gt;""),(D92-H92)/H92,"")</f>
        <v/>
      </c>
      <c r="M92" s="42">
        <f>IFERROR(RANK(D92,('📊 Исходные данные'!E91,'📊 Исходные данные'!F91,'📊 Исходные данные'!G91,'📊 Исходные данные'!H91,'📊 Исходные данные'!I91,'📊 Исходные данные'!J91,'📊 Исходные данные'!K91)),"")</f>
        <v/>
      </c>
      <c r="N92" s="39">
        <f>IF(M92="","-",IF(M92=1,"Дороже всех",IF(M92=2,"2-й по цене",IF(M92&lt;=4,"Средний","Ниже конкурентов"))))</f>
        <v/>
      </c>
      <c r="O92" s="41">
        <f>IF(AND(C92&gt;0,D92&gt;0),(D92-C92)/C92,"")</f>
        <v/>
      </c>
      <c r="P92" s="41">
        <f>IF(AND(C92&gt;0,D92&gt;0),(D92-C92)/D92,"")</f>
        <v/>
      </c>
      <c r="Q92" s="40">
        <f>IF(AND(C92&gt;0,D92&gt;0),D92-C92,"")</f>
        <v/>
      </c>
      <c r="R92" s="39">
        <f>IF(P92="","-",IF(P92&lt;0.1,"Низкая(&lt;10%)",IF(P92&lt;0.2,"Средняя(10-20%)","Хорошая(&gt;20%)")))</f>
        <v/>
      </c>
      <c r="S92" s="39">
        <f>IF(OR(H92="",C92=""),"-",IF((H92-C92)/H92&lt;0.05,"КРИТИЧНО",IF((H92-C92)/H92&lt;0.15,"УМЕРЕННЫЙ","НИЗКИЙ")))</f>
        <v/>
      </c>
      <c r="T92" s="43" t="n"/>
      <c r="U92" s="40">
        <f>IF(T92&gt;0,T92*D92,"")</f>
        <v/>
      </c>
      <c r="V92" s="40">
        <f>IF(T92&gt;0,T92*Q92,"")</f>
        <v/>
      </c>
      <c r="W92" s="41">
        <f>IF(U92&gt;0,V92/U92,"")</f>
        <v/>
      </c>
      <c r="X92" s="40">
        <f>IF(F92&lt;&gt;"",F92,"")</f>
        <v/>
      </c>
      <c r="Y92" s="41">
        <f>IF(AND(X92&lt;&gt;"",C92&gt;0),(X92-C92)/C92,"")</f>
        <v/>
      </c>
      <c r="Z92" s="41">
        <f>IF(AND(X92&lt;&gt;"",X92&gt;0),(X92-C92)/X92,"")</f>
        <v/>
      </c>
      <c r="AA92" s="40">
        <f>IF(AND(X92&lt;&gt;"",C92&gt;0),X92-C92,"")</f>
        <v/>
      </c>
      <c r="AB92" s="41">
        <f>IF(AND(X92&lt;&gt;"",D92&gt;0),(X92-D92)/D92,"")</f>
        <v/>
      </c>
      <c r="AC92" s="41">
        <f>IF(AND(Z92&lt;&gt;"",P92&lt;&gt;""),(Z92-P92)/ABS(IF(P92=0,1,P92)),"")</f>
        <v/>
      </c>
      <c r="AD92" s="40">
        <f>IF(AND(AA92&lt;&gt;"",Q92&lt;&gt;""),AA92-Q92,"")</f>
        <v/>
      </c>
      <c r="AE92" s="40">
        <f>IF(G92&lt;&gt;"",G92,"")</f>
        <v/>
      </c>
      <c r="AF92" s="41">
        <f>IF(AND(AE92&lt;&gt;"",C92&gt;0),(AE92-C92)/C92,"")</f>
        <v/>
      </c>
      <c r="AG92" s="41">
        <f>IF(AND(AE92&lt;&gt;"",AE92&gt;0),(AE92-C92)/AE92,"")</f>
        <v/>
      </c>
      <c r="AH92" s="40">
        <f>IF(AND(AE92&lt;&gt;"",C92&gt;0),AE92-C92,"")</f>
        <v/>
      </c>
      <c r="AI92" s="41">
        <f>IF(AND(AE92&lt;&gt;"",D92&gt;0),(AE92-D92)/D92,"")</f>
        <v/>
      </c>
      <c r="AJ92" s="41">
        <f>IF(AND(AG92&lt;&gt;"",P92&lt;&gt;""),(AG92-P92)/ABS(IF(P92=0,1,P92)),"")</f>
        <v/>
      </c>
      <c r="AK92" s="40">
        <f>IF(AND(AH92&lt;&gt;"",Q92&lt;&gt;""),AH92-Q92,"")</f>
        <v/>
      </c>
      <c r="AL92" s="40">
        <f>IF(H92&lt;&gt;"",H92,"")</f>
        <v/>
      </c>
      <c r="AM92" s="41">
        <f>IF(AND(AL92&lt;&gt;"",C92&gt;0),(AL92-C92)/C92,"")</f>
        <v/>
      </c>
      <c r="AN92" s="41">
        <f>IF(AND(AL92&lt;&gt;"",AL92&gt;0),(AL92-C92)/AL92,"")</f>
        <v/>
      </c>
      <c r="AO92" s="40">
        <f>IF(AND(AL92&lt;&gt;"",C92&gt;0),AL92-C92,"")</f>
        <v/>
      </c>
      <c r="AP92" s="41">
        <f>IF(AND(AL92&lt;&gt;"",D92&gt;0),(AL92-D92)/D92,"")</f>
        <v/>
      </c>
      <c r="AQ92" s="41">
        <f>IF(AND(AN92&lt;&gt;"",P92&lt;&gt;""),(AN92-P92)/ABS(IF(P92=0,1,P92)),"")</f>
        <v/>
      </c>
      <c r="AR92" s="40">
        <f>IF(AND(AO92&lt;&gt;"",Q92&lt;&gt;""),AO92-Q92,"")</f>
        <v/>
      </c>
      <c r="AS92" s="44" t="n"/>
      <c r="AT92" s="41">
        <f>IF(AND(AS92&gt;0,C92&gt;0),(AS92-C92)/C92,"")</f>
        <v/>
      </c>
      <c r="AU92" s="41">
        <f>IF(AND(AS92&gt;0,AS92&gt;0),(AS92-C92)/AS92,"")</f>
        <v/>
      </c>
      <c r="AV92" s="40">
        <f>IF(AND(AS92&gt;0,C92&gt;0),AS92-C92,"")</f>
        <v/>
      </c>
      <c r="AW92" s="41">
        <f>IF(AND(AS92&gt;0,D92&gt;0),(AS92-D92)/D92,"")</f>
        <v/>
      </c>
      <c r="AX92" s="41">
        <f>IF(AND(AU92&lt;&gt;"",P92&lt;&gt;""),(AU92-P92)/ABS(IF(P92=0,1,P92)),"")</f>
        <v/>
      </c>
      <c r="AY92" s="40">
        <f>IF(AND(AV92&lt;&gt;"",Q92&lt;&gt;""),AV92-Q92,"")</f>
        <v/>
      </c>
      <c r="AZ92" s="45" t="n"/>
      <c r="BA92" s="40">
        <f>IF(AND(AZ92&gt;0,C92&gt;0),C92/(1-AZ92),"")</f>
        <v/>
      </c>
      <c r="BB92" s="41">
        <f>IF(AND(BA92&lt;&gt;"",C92&gt;0),(BA92-C92)/C92,"")</f>
        <v/>
      </c>
      <c r="BC92" s="41">
        <f>IF(BA92&lt;&gt;"",AZ92,"")</f>
        <v/>
      </c>
      <c r="BD92" s="40">
        <f>IF(AND(BA92&lt;&gt;"",C92&gt;0),BA92-C92,"")</f>
        <v/>
      </c>
      <c r="BE92" s="41">
        <f>IF(AND(BA92&lt;&gt;"",D92&gt;0),(BA92-D92)/D92,"")</f>
        <v/>
      </c>
      <c r="BF92" s="41">
        <f>IF(AND(BC92&lt;&gt;"",P92&lt;&gt;""),(BC92-P92)/ABS(IF(P92=0,1,P92)),"")</f>
        <v/>
      </c>
      <c r="BG92" s="40">
        <f>IF(AND(BD92&lt;&gt;"",Q92&lt;&gt;""),BD92-Q92,"")</f>
        <v/>
      </c>
      <c r="BH92" s="40">
        <f>IF(AND(T92&gt;0,X92&lt;&gt;""),T92*X92,"")</f>
        <v/>
      </c>
      <c r="BI92" s="40">
        <f>IF(AND(T92&gt;0,AA92&lt;&gt;""),T92*AA92,"")</f>
        <v/>
      </c>
      <c r="BJ92" s="40">
        <f>IF(AND(T92&gt;0,AE92&lt;&gt;""),T92*AE92,"")</f>
        <v/>
      </c>
      <c r="BK92" s="40">
        <f>IF(AND(T92&gt;0,AH92&lt;&gt;""),T92*AH92,"")</f>
        <v/>
      </c>
      <c r="BL92" s="40">
        <f>IF(AND(T92&gt;0,AL92&lt;&gt;""),T92*AL92,"")</f>
        <v/>
      </c>
      <c r="BM92" s="40">
        <f>IF(AND(T92&gt;0,AO92&lt;&gt;""),T92*AO92,"")</f>
        <v/>
      </c>
      <c r="BN92" s="40">
        <f>IF(AND(T92&gt;0,AS92&gt;0),T92*AS92,"")</f>
        <v/>
      </c>
      <c r="BO92" s="40">
        <f>IF(AND(T92&gt;0,AV92&lt;&gt;""),T92*AV92,"")</f>
        <v/>
      </c>
      <c r="BP92" s="40">
        <f>IF(AND(T92&gt;0,BA92&lt;&gt;""),T92*BA92,"")</f>
        <v/>
      </c>
      <c r="BQ92" s="40">
        <f>IF(AND(T92&gt;0,BD92&lt;&gt;""),T92*BD92,"")</f>
        <v/>
      </c>
      <c r="BR92" s="46">
        <f>IF(AND(T92&gt;0,V92&gt;0,AA92&lt;&gt;0),V92/AA92-T92,"")</f>
        <v/>
      </c>
      <c r="BS92" s="41">
        <f>IF(AND(BR92&lt;&gt;"",T92&gt;0),BR92/T92,"")</f>
        <v/>
      </c>
      <c r="BT92" s="46">
        <f>IF(AND(T92&gt;0,V92&gt;0,AO92&lt;&gt;0),V92/AO92-T92,"")</f>
        <v/>
      </c>
      <c r="BU92" s="41">
        <f>IF(AND(BT92&lt;&gt;"",T92&gt;0),BT92/T92,"")</f>
        <v/>
      </c>
    </row>
    <row r="93">
      <c r="A93" s="36">
        <f>'📊 Исходные данные'!A92</f>
        <v/>
      </c>
      <c r="B93" s="37">
        <f>'📊 Исходные данные'!B92</f>
        <v/>
      </c>
      <c r="C93" s="38">
        <f>'📊 Исходные данные'!C92</f>
        <v/>
      </c>
      <c r="D93" s="38">
        <f>'📊 Исходные данные'!D92</f>
        <v/>
      </c>
      <c r="E93" s="39">
        <f>IF(OR(D93="",F93=""),"-",IF(D93&gt;F93*1.05,"Выше рынка",IF(D93&lt;F93*0.95,"Ниже рынка","На уровне")))</f>
        <v/>
      </c>
      <c r="F93" s="40">
        <f>IFERROR(AVERAGE('📊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G93" s="40">
        <f>IFERROR(MEDIAN('📊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H93" s="40">
        <f>IFERROR(MIN('📊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I93" s="40">
        <f>IFERROR(MAX('📊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данные'!K92),"")</f>
        <v/>
      </c>
      <c r="J93" s="41">
        <f>IF(AND(D93&lt;&gt;"",F93&lt;&gt;""),(D93-F93)/F93,"")</f>
        <v/>
      </c>
      <c r="K93" s="41">
        <f>IF(AND(D93&lt;&gt;"",G93&lt;&gt;""),(D93-G93)/G93,"")</f>
        <v/>
      </c>
      <c r="L93" s="41">
        <f>IF(AND(D93&lt;&gt;"",H93&lt;&gt;""),(D93-H93)/H93,"")</f>
        <v/>
      </c>
      <c r="M93" s="42">
        <f>IFERROR(RANK(D93,('📊 Исходные данные'!E92,'📊 Исходные данные'!F92,'📊 Исходные данные'!G92,'📊 Исходные данные'!H92,'📊 Исходные данные'!I92,'📊 Исходные данные'!J92,'📊 Исходные данные'!K92)),"")</f>
        <v/>
      </c>
      <c r="N93" s="39">
        <f>IF(M93="","-",IF(M93=1,"Дороже всех",IF(M93=2,"2-й по цене",IF(M93&lt;=4,"Средний","Ниже конкурентов"))))</f>
        <v/>
      </c>
      <c r="O93" s="41">
        <f>IF(AND(C93&gt;0,D93&gt;0),(D93-C93)/C93,"")</f>
        <v/>
      </c>
      <c r="P93" s="41">
        <f>IF(AND(C93&gt;0,D93&gt;0),(D93-C93)/D93,"")</f>
        <v/>
      </c>
      <c r="Q93" s="40">
        <f>IF(AND(C93&gt;0,D93&gt;0),D93-C93,"")</f>
        <v/>
      </c>
      <c r="R93" s="39">
        <f>IF(P93="","-",IF(P93&lt;0.1,"Низкая(&lt;10%)",IF(P93&lt;0.2,"Средняя(10-20%)","Хорошая(&gt;20%)")))</f>
        <v/>
      </c>
      <c r="S93" s="39">
        <f>IF(OR(H93="",C93=""),"-",IF((H93-C93)/H93&lt;0.05,"КРИТИЧНО",IF((H93-C93)/H93&lt;0.15,"УМЕРЕННЫЙ","НИЗКИЙ")))</f>
        <v/>
      </c>
      <c r="T93" s="43" t="n"/>
      <c r="U93" s="40">
        <f>IF(T93&gt;0,T93*D93,"")</f>
        <v/>
      </c>
      <c r="V93" s="40">
        <f>IF(T93&gt;0,T93*Q93,"")</f>
        <v/>
      </c>
      <c r="W93" s="41">
        <f>IF(U93&gt;0,V93/U93,"")</f>
        <v/>
      </c>
      <c r="X93" s="40">
        <f>IF(F93&lt;&gt;"",F93,"")</f>
        <v/>
      </c>
      <c r="Y93" s="41">
        <f>IF(AND(X93&lt;&gt;"",C93&gt;0),(X93-C93)/C93,"")</f>
        <v/>
      </c>
      <c r="Z93" s="41">
        <f>IF(AND(X93&lt;&gt;"",X93&gt;0),(X93-C93)/X93,"")</f>
        <v/>
      </c>
      <c r="AA93" s="40">
        <f>IF(AND(X93&lt;&gt;"",C93&gt;0),X93-C93,"")</f>
        <v/>
      </c>
      <c r="AB93" s="41">
        <f>IF(AND(X93&lt;&gt;"",D93&gt;0),(X93-D93)/D93,"")</f>
        <v/>
      </c>
      <c r="AC93" s="41">
        <f>IF(AND(Z93&lt;&gt;"",P93&lt;&gt;""),(Z93-P93)/ABS(IF(P93=0,1,P93)),"")</f>
        <v/>
      </c>
      <c r="AD93" s="40">
        <f>IF(AND(AA93&lt;&gt;"",Q93&lt;&gt;""),AA93-Q93,"")</f>
        <v/>
      </c>
      <c r="AE93" s="40">
        <f>IF(G93&lt;&gt;"",G93,"")</f>
        <v/>
      </c>
      <c r="AF93" s="41">
        <f>IF(AND(AE93&lt;&gt;"",C93&gt;0),(AE93-C93)/C93,"")</f>
        <v/>
      </c>
      <c r="AG93" s="41">
        <f>IF(AND(AE93&lt;&gt;"",AE93&gt;0),(AE93-C93)/AE93,"")</f>
        <v/>
      </c>
      <c r="AH93" s="40">
        <f>IF(AND(AE93&lt;&gt;"",C93&gt;0),AE93-C93,"")</f>
        <v/>
      </c>
      <c r="AI93" s="41">
        <f>IF(AND(AE93&lt;&gt;"",D93&gt;0),(AE93-D93)/D93,"")</f>
        <v/>
      </c>
      <c r="AJ93" s="41">
        <f>IF(AND(AG93&lt;&gt;"",P93&lt;&gt;""),(AG93-P93)/ABS(IF(P93=0,1,P93)),"")</f>
        <v/>
      </c>
      <c r="AK93" s="40">
        <f>IF(AND(AH93&lt;&gt;"",Q93&lt;&gt;""),AH93-Q93,"")</f>
        <v/>
      </c>
      <c r="AL93" s="40">
        <f>IF(H93&lt;&gt;"",H93,"")</f>
        <v/>
      </c>
      <c r="AM93" s="41">
        <f>IF(AND(AL93&lt;&gt;"",C93&gt;0),(AL93-C93)/C93,"")</f>
        <v/>
      </c>
      <c r="AN93" s="41">
        <f>IF(AND(AL93&lt;&gt;"",AL93&gt;0),(AL93-C93)/AL93,"")</f>
        <v/>
      </c>
      <c r="AO93" s="40">
        <f>IF(AND(AL93&lt;&gt;"",C93&gt;0),AL93-C93,"")</f>
        <v/>
      </c>
      <c r="AP93" s="41">
        <f>IF(AND(AL93&lt;&gt;"",D93&gt;0),(AL93-D93)/D93,"")</f>
        <v/>
      </c>
      <c r="AQ93" s="41">
        <f>IF(AND(AN93&lt;&gt;"",P93&lt;&gt;""),(AN93-P93)/ABS(IF(P93=0,1,P93)),"")</f>
        <v/>
      </c>
      <c r="AR93" s="40">
        <f>IF(AND(AO93&lt;&gt;"",Q93&lt;&gt;""),AO93-Q93,"")</f>
        <v/>
      </c>
      <c r="AS93" s="44" t="n"/>
      <c r="AT93" s="41">
        <f>IF(AND(AS93&gt;0,C93&gt;0),(AS93-C93)/C93,"")</f>
        <v/>
      </c>
      <c r="AU93" s="41">
        <f>IF(AND(AS93&gt;0,AS93&gt;0),(AS93-C93)/AS93,"")</f>
        <v/>
      </c>
      <c r="AV93" s="40">
        <f>IF(AND(AS93&gt;0,C93&gt;0),AS93-C93,"")</f>
        <v/>
      </c>
      <c r="AW93" s="41">
        <f>IF(AND(AS93&gt;0,D93&gt;0),(AS93-D93)/D93,"")</f>
        <v/>
      </c>
      <c r="AX93" s="41">
        <f>IF(AND(AU93&lt;&gt;"",P93&lt;&gt;""),(AU93-P93)/ABS(IF(P93=0,1,P93)),"")</f>
        <v/>
      </c>
      <c r="AY93" s="40">
        <f>IF(AND(AV93&lt;&gt;"",Q93&lt;&gt;""),AV93-Q93,"")</f>
        <v/>
      </c>
      <c r="AZ93" s="45" t="n"/>
      <c r="BA93" s="40">
        <f>IF(AND(AZ93&gt;0,C93&gt;0),C93/(1-AZ93),"")</f>
        <v/>
      </c>
      <c r="BB93" s="41">
        <f>IF(AND(BA93&lt;&gt;"",C93&gt;0),(BA93-C93)/C93,"")</f>
        <v/>
      </c>
      <c r="BC93" s="41">
        <f>IF(BA93&lt;&gt;"",AZ93,"")</f>
        <v/>
      </c>
      <c r="BD93" s="40">
        <f>IF(AND(BA93&lt;&gt;"",C93&gt;0),BA93-C93,"")</f>
        <v/>
      </c>
      <c r="BE93" s="41">
        <f>IF(AND(BA93&lt;&gt;"",D93&gt;0),(BA93-D93)/D93,"")</f>
        <v/>
      </c>
      <c r="BF93" s="41">
        <f>IF(AND(BC93&lt;&gt;"",P93&lt;&gt;""),(BC93-P93)/ABS(IF(P93=0,1,P93)),"")</f>
        <v/>
      </c>
      <c r="BG93" s="40">
        <f>IF(AND(BD93&lt;&gt;"",Q93&lt;&gt;""),BD93-Q93,"")</f>
        <v/>
      </c>
      <c r="BH93" s="40">
        <f>IF(AND(T93&gt;0,X93&lt;&gt;""),T93*X93,"")</f>
        <v/>
      </c>
      <c r="BI93" s="40">
        <f>IF(AND(T93&gt;0,AA93&lt;&gt;""),T93*AA93,"")</f>
        <v/>
      </c>
      <c r="BJ93" s="40">
        <f>IF(AND(T93&gt;0,AE93&lt;&gt;""),T93*AE93,"")</f>
        <v/>
      </c>
      <c r="BK93" s="40">
        <f>IF(AND(T93&gt;0,AH93&lt;&gt;""),T93*AH93,"")</f>
        <v/>
      </c>
      <c r="BL93" s="40">
        <f>IF(AND(T93&gt;0,AL93&lt;&gt;""),T93*AL93,"")</f>
        <v/>
      </c>
      <c r="BM93" s="40">
        <f>IF(AND(T93&gt;0,AO93&lt;&gt;""),T93*AO93,"")</f>
        <v/>
      </c>
      <c r="BN93" s="40">
        <f>IF(AND(T93&gt;0,AS93&gt;0),T93*AS93,"")</f>
        <v/>
      </c>
      <c r="BO93" s="40">
        <f>IF(AND(T93&gt;0,AV93&lt;&gt;""),T93*AV93,"")</f>
        <v/>
      </c>
      <c r="BP93" s="40">
        <f>IF(AND(T93&gt;0,BA93&lt;&gt;""),T93*BA93,"")</f>
        <v/>
      </c>
      <c r="BQ93" s="40">
        <f>IF(AND(T93&gt;0,BD93&lt;&gt;""),T93*BD93,"")</f>
        <v/>
      </c>
      <c r="BR93" s="46">
        <f>IF(AND(T93&gt;0,V93&gt;0,AA93&lt;&gt;0),V93/AA93-T93,"")</f>
        <v/>
      </c>
      <c r="BS93" s="41">
        <f>IF(AND(BR93&lt;&gt;"",T93&gt;0),BR93/T93,"")</f>
        <v/>
      </c>
      <c r="BT93" s="46">
        <f>IF(AND(T93&gt;0,V93&gt;0,AO93&lt;&gt;0),V93/AO93-T93,"")</f>
        <v/>
      </c>
      <c r="BU93" s="41">
        <f>IF(AND(BT93&lt;&gt;"",T93&gt;0),BT93/T93,"")</f>
        <v/>
      </c>
    </row>
    <row r="94">
      <c r="A94" s="36">
        <f>'📊 Исходные данные'!A93</f>
        <v/>
      </c>
      <c r="B94" s="37">
        <f>'📊 Исходные данные'!B93</f>
        <v/>
      </c>
      <c r="C94" s="38">
        <f>'📊 Исходные данные'!C93</f>
        <v/>
      </c>
      <c r="D94" s="38">
        <f>'📊 Исходные данные'!D93</f>
        <v/>
      </c>
      <c r="E94" s="39">
        <f>IF(OR(D94="",F94=""),"-",IF(D94&gt;F94*1.05,"Выше рынка",IF(D94&lt;F94*0.95,"Ниже рынка","На уровне")))</f>
        <v/>
      </c>
      <c r="F94" s="40">
        <f>IFERROR(AVERAGE('📊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G94" s="40">
        <f>IFERROR(MEDIAN('📊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H94" s="40">
        <f>IFERROR(MIN('📊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I94" s="40">
        <f>IFERROR(MAX('📊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данные'!K93),"")</f>
        <v/>
      </c>
      <c r="J94" s="41">
        <f>IF(AND(D94&lt;&gt;"",F94&lt;&gt;""),(D94-F94)/F94,"")</f>
        <v/>
      </c>
      <c r="K94" s="41">
        <f>IF(AND(D94&lt;&gt;"",G94&lt;&gt;""),(D94-G94)/G94,"")</f>
        <v/>
      </c>
      <c r="L94" s="41">
        <f>IF(AND(D94&lt;&gt;"",H94&lt;&gt;""),(D94-H94)/H94,"")</f>
        <v/>
      </c>
      <c r="M94" s="42">
        <f>IFERROR(RANK(D94,('📊 Исходные данные'!E93,'📊 Исходные данные'!F93,'📊 Исходные данные'!G93,'📊 Исходные данные'!H93,'📊 Исходные данные'!I93,'📊 Исходные данные'!J93,'📊 Исходные данные'!K93)),"")</f>
        <v/>
      </c>
      <c r="N94" s="39">
        <f>IF(M94="","-",IF(M94=1,"Дороже всех",IF(M94=2,"2-й по цене",IF(M94&lt;=4,"Средний","Ниже конкурентов"))))</f>
        <v/>
      </c>
      <c r="O94" s="41">
        <f>IF(AND(C94&gt;0,D94&gt;0),(D94-C94)/C94,"")</f>
        <v/>
      </c>
      <c r="P94" s="41">
        <f>IF(AND(C94&gt;0,D94&gt;0),(D94-C94)/D94,"")</f>
        <v/>
      </c>
      <c r="Q94" s="40">
        <f>IF(AND(C94&gt;0,D94&gt;0),D94-C94,"")</f>
        <v/>
      </c>
      <c r="R94" s="39">
        <f>IF(P94="","-",IF(P94&lt;0.1,"Низкая(&lt;10%)",IF(P94&lt;0.2,"Средняя(10-20%)","Хорошая(&gt;20%)")))</f>
        <v/>
      </c>
      <c r="S94" s="39">
        <f>IF(OR(H94="",C94=""),"-",IF((H94-C94)/H94&lt;0.05,"КРИТИЧНО",IF((H94-C94)/H94&lt;0.15,"УМЕРЕННЫЙ","НИЗКИЙ")))</f>
        <v/>
      </c>
      <c r="T94" s="43" t="n"/>
      <c r="U94" s="40">
        <f>IF(T94&gt;0,T94*D94,"")</f>
        <v/>
      </c>
      <c r="V94" s="40">
        <f>IF(T94&gt;0,T94*Q94,"")</f>
        <v/>
      </c>
      <c r="W94" s="41">
        <f>IF(U94&gt;0,V94/U94,"")</f>
        <v/>
      </c>
      <c r="X94" s="40">
        <f>IF(F94&lt;&gt;"",F94,"")</f>
        <v/>
      </c>
      <c r="Y94" s="41">
        <f>IF(AND(X94&lt;&gt;"",C94&gt;0),(X94-C94)/C94,"")</f>
        <v/>
      </c>
      <c r="Z94" s="41">
        <f>IF(AND(X94&lt;&gt;"",X94&gt;0),(X94-C94)/X94,"")</f>
        <v/>
      </c>
      <c r="AA94" s="40">
        <f>IF(AND(X94&lt;&gt;"",C94&gt;0),X94-C94,"")</f>
        <v/>
      </c>
      <c r="AB94" s="41">
        <f>IF(AND(X94&lt;&gt;"",D94&gt;0),(X94-D94)/D94,"")</f>
        <v/>
      </c>
      <c r="AC94" s="41">
        <f>IF(AND(Z94&lt;&gt;"",P94&lt;&gt;""),(Z94-P94)/ABS(IF(P94=0,1,P94)),"")</f>
        <v/>
      </c>
      <c r="AD94" s="40">
        <f>IF(AND(AA94&lt;&gt;"",Q94&lt;&gt;""),AA94-Q94,"")</f>
        <v/>
      </c>
      <c r="AE94" s="40">
        <f>IF(G94&lt;&gt;"",G94,"")</f>
        <v/>
      </c>
      <c r="AF94" s="41">
        <f>IF(AND(AE94&lt;&gt;"",C94&gt;0),(AE94-C94)/C94,"")</f>
        <v/>
      </c>
      <c r="AG94" s="41">
        <f>IF(AND(AE94&lt;&gt;"",AE94&gt;0),(AE94-C94)/AE94,"")</f>
        <v/>
      </c>
      <c r="AH94" s="40">
        <f>IF(AND(AE94&lt;&gt;"",C94&gt;0),AE94-C94,"")</f>
        <v/>
      </c>
      <c r="AI94" s="41">
        <f>IF(AND(AE94&lt;&gt;"",D94&gt;0),(AE94-D94)/D94,"")</f>
        <v/>
      </c>
      <c r="AJ94" s="41">
        <f>IF(AND(AG94&lt;&gt;"",P94&lt;&gt;""),(AG94-P94)/ABS(IF(P94=0,1,P94)),"")</f>
        <v/>
      </c>
      <c r="AK94" s="40">
        <f>IF(AND(AH94&lt;&gt;"",Q94&lt;&gt;""),AH94-Q94,"")</f>
        <v/>
      </c>
      <c r="AL94" s="40">
        <f>IF(H94&lt;&gt;"",H94,"")</f>
        <v/>
      </c>
      <c r="AM94" s="41">
        <f>IF(AND(AL94&lt;&gt;"",C94&gt;0),(AL94-C94)/C94,"")</f>
        <v/>
      </c>
      <c r="AN94" s="41">
        <f>IF(AND(AL94&lt;&gt;"",AL94&gt;0),(AL94-C94)/AL94,"")</f>
        <v/>
      </c>
      <c r="AO94" s="40">
        <f>IF(AND(AL94&lt;&gt;"",C94&gt;0),AL94-C94,"")</f>
        <v/>
      </c>
      <c r="AP94" s="41">
        <f>IF(AND(AL94&lt;&gt;"",D94&gt;0),(AL94-D94)/D94,"")</f>
        <v/>
      </c>
      <c r="AQ94" s="41">
        <f>IF(AND(AN94&lt;&gt;"",P94&lt;&gt;""),(AN94-P94)/ABS(IF(P94=0,1,P94)),"")</f>
        <v/>
      </c>
      <c r="AR94" s="40">
        <f>IF(AND(AO94&lt;&gt;"",Q94&lt;&gt;""),AO94-Q94,"")</f>
        <v/>
      </c>
      <c r="AS94" s="44" t="n"/>
      <c r="AT94" s="41">
        <f>IF(AND(AS94&gt;0,C94&gt;0),(AS94-C94)/C94,"")</f>
        <v/>
      </c>
      <c r="AU94" s="41">
        <f>IF(AND(AS94&gt;0,AS94&gt;0),(AS94-C94)/AS94,"")</f>
        <v/>
      </c>
      <c r="AV94" s="40">
        <f>IF(AND(AS94&gt;0,C94&gt;0),AS94-C94,"")</f>
        <v/>
      </c>
      <c r="AW94" s="41">
        <f>IF(AND(AS94&gt;0,D94&gt;0),(AS94-D94)/D94,"")</f>
        <v/>
      </c>
      <c r="AX94" s="41">
        <f>IF(AND(AU94&lt;&gt;"",P94&lt;&gt;""),(AU94-P94)/ABS(IF(P94=0,1,P94)),"")</f>
        <v/>
      </c>
      <c r="AY94" s="40">
        <f>IF(AND(AV94&lt;&gt;"",Q94&lt;&gt;""),AV94-Q94,"")</f>
        <v/>
      </c>
      <c r="AZ94" s="45" t="n"/>
      <c r="BA94" s="40">
        <f>IF(AND(AZ94&gt;0,C94&gt;0),C94/(1-AZ94),"")</f>
        <v/>
      </c>
      <c r="BB94" s="41">
        <f>IF(AND(BA94&lt;&gt;"",C94&gt;0),(BA94-C94)/C94,"")</f>
        <v/>
      </c>
      <c r="BC94" s="41">
        <f>IF(BA94&lt;&gt;"",AZ94,"")</f>
        <v/>
      </c>
      <c r="BD94" s="40">
        <f>IF(AND(BA94&lt;&gt;"",C94&gt;0),BA94-C94,"")</f>
        <v/>
      </c>
      <c r="BE94" s="41">
        <f>IF(AND(BA94&lt;&gt;"",D94&gt;0),(BA94-D94)/D94,"")</f>
        <v/>
      </c>
      <c r="BF94" s="41">
        <f>IF(AND(BC94&lt;&gt;"",P94&lt;&gt;""),(BC94-P94)/ABS(IF(P94=0,1,P94)),"")</f>
        <v/>
      </c>
      <c r="BG94" s="40">
        <f>IF(AND(BD94&lt;&gt;"",Q94&lt;&gt;""),BD94-Q94,"")</f>
        <v/>
      </c>
      <c r="BH94" s="40">
        <f>IF(AND(T94&gt;0,X94&lt;&gt;""),T94*X94,"")</f>
        <v/>
      </c>
      <c r="BI94" s="40">
        <f>IF(AND(T94&gt;0,AA94&lt;&gt;""),T94*AA94,"")</f>
        <v/>
      </c>
      <c r="BJ94" s="40">
        <f>IF(AND(T94&gt;0,AE94&lt;&gt;""),T94*AE94,"")</f>
        <v/>
      </c>
      <c r="BK94" s="40">
        <f>IF(AND(T94&gt;0,AH94&lt;&gt;""),T94*AH94,"")</f>
        <v/>
      </c>
      <c r="BL94" s="40">
        <f>IF(AND(T94&gt;0,AL94&lt;&gt;""),T94*AL94,"")</f>
        <v/>
      </c>
      <c r="BM94" s="40">
        <f>IF(AND(T94&gt;0,AO94&lt;&gt;""),T94*AO94,"")</f>
        <v/>
      </c>
      <c r="BN94" s="40">
        <f>IF(AND(T94&gt;0,AS94&gt;0),T94*AS94,"")</f>
        <v/>
      </c>
      <c r="BO94" s="40">
        <f>IF(AND(T94&gt;0,AV94&lt;&gt;""),T94*AV94,"")</f>
        <v/>
      </c>
      <c r="BP94" s="40">
        <f>IF(AND(T94&gt;0,BA94&lt;&gt;""),T94*BA94,"")</f>
        <v/>
      </c>
      <c r="BQ94" s="40">
        <f>IF(AND(T94&gt;0,BD94&lt;&gt;""),T94*BD94,"")</f>
        <v/>
      </c>
      <c r="BR94" s="46">
        <f>IF(AND(T94&gt;0,V94&gt;0,AA94&lt;&gt;0),V94/AA94-T94,"")</f>
        <v/>
      </c>
      <c r="BS94" s="41">
        <f>IF(AND(BR94&lt;&gt;"",T94&gt;0),BR94/T94,"")</f>
        <v/>
      </c>
      <c r="BT94" s="46">
        <f>IF(AND(T94&gt;0,V94&gt;0,AO94&lt;&gt;0),V94/AO94-T94,"")</f>
        <v/>
      </c>
      <c r="BU94" s="41">
        <f>IF(AND(BT94&lt;&gt;"",T94&gt;0),BT94/T94,"")</f>
        <v/>
      </c>
    </row>
    <row r="95">
      <c r="A95" s="36">
        <f>'📊 Исходные данные'!A94</f>
        <v/>
      </c>
      <c r="B95" s="37">
        <f>'📊 Исходные данные'!B94</f>
        <v/>
      </c>
      <c r="C95" s="38">
        <f>'📊 Исходные данные'!C94</f>
        <v/>
      </c>
      <c r="D95" s="38">
        <f>'📊 Исходные данные'!D94</f>
        <v/>
      </c>
      <c r="E95" s="39">
        <f>IF(OR(D95="",F95=""),"-",IF(D95&gt;F95*1.05,"Выше рынка",IF(D95&lt;F95*0.95,"Ниже рынка","На уровне")))</f>
        <v/>
      </c>
      <c r="F95" s="40">
        <f>IFERROR(AVERAGE('📊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G95" s="40">
        <f>IFERROR(MEDIAN('📊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H95" s="40">
        <f>IFERROR(MIN('📊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I95" s="40">
        <f>IFERROR(MAX('📊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данные'!K94),"")</f>
        <v/>
      </c>
      <c r="J95" s="41">
        <f>IF(AND(D95&lt;&gt;"",F95&lt;&gt;""),(D95-F95)/F95,"")</f>
        <v/>
      </c>
      <c r="K95" s="41">
        <f>IF(AND(D95&lt;&gt;"",G95&lt;&gt;""),(D95-G95)/G95,"")</f>
        <v/>
      </c>
      <c r="L95" s="41">
        <f>IF(AND(D95&lt;&gt;"",H95&lt;&gt;""),(D95-H95)/H95,"")</f>
        <v/>
      </c>
      <c r="M95" s="42">
        <f>IFERROR(RANK(D95,('📊 Исходные данные'!E94,'📊 Исходные данные'!F94,'📊 Исходные данные'!G94,'📊 Исходные данные'!H94,'📊 Исходные данные'!I94,'📊 Исходные данные'!J94,'📊 Исходные данные'!K94)),"")</f>
        <v/>
      </c>
      <c r="N95" s="39">
        <f>IF(M95="","-",IF(M95=1,"Дороже всех",IF(M95=2,"2-й по цене",IF(M95&lt;=4,"Средний","Ниже конкурентов"))))</f>
        <v/>
      </c>
      <c r="O95" s="41">
        <f>IF(AND(C95&gt;0,D95&gt;0),(D95-C95)/C95,"")</f>
        <v/>
      </c>
      <c r="P95" s="41">
        <f>IF(AND(C95&gt;0,D95&gt;0),(D95-C95)/D95,"")</f>
        <v/>
      </c>
      <c r="Q95" s="40">
        <f>IF(AND(C95&gt;0,D95&gt;0),D95-C95,"")</f>
        <v/>
      </c>
      <c r="R95" s="39">
        <f>IF(P95="","-",IF(P95&lt;0.1,"Низкая(&lt;10%)",IF(P95&lt;0.2,"Средняя(10-20%)","Хорошая(&gt;20%)")))</f>
        <v/>
      </c>
      <c r="S95" s="39">
        <f>IF(OR(H95="",C95=""),"-",IF((H95-C95)/H95&lt;0.05,"КРИТИЧНО",IF((H95-C95)/H95&lt;0.15,"УМЕРЕННЫЙ","НИЗКИЙ")))</f>
        <v/>
      </c>
      <c r="T95" s="43" t="n"/>
      <c r="U95" s="40">
        <f>IF(T95&gt;0,T95*D95,"")</f>
        <v/>
      </c>
      <c r="V95" s="40">
        <f>IF(T95&gt;0,T95*Q95,"")</f>
        <v/>
      </c>
      <c r="W95" s="41">
        <f>IF(U95&gt;0,V95/U95,"")</f>
        <v/>
      </c>
      <c r="X95" s="40">
        <f>IF(F95&lt;&gt;"",F95,"")</f>
        <v/>
      </c>
      <c r="Y95" s="41">
        <f>IF(AND(X95&lt;&gt;"",C95&gt;0),(X95-C95)/C95,"")</f>
        <v/>
      </c>
      <c r="Z95" s="41">
        <f>IF(AND(X95&lt;&gt;"",X95&gt;0),(X95-C95)/X95,"")</f>
        <v/>
      </c>
      <c r="AA95" s="40">
        <f>IF(AND(X95&lt;&gt;"",C95&gt;0),X95-C95,"")</f>
        <v/>
      </c>
      <c r="AB95" s="41">
        <f>IF(AND(X95&lt;&gt;"",D95&gt;0),(X95-D95)/D95,"")</f>
        <v/>
      </c>
      <c r="AC95" s="41">
        <f>IF(AND(Z95&lt;&gt;"",P95&lt;&gt;""),(Z95-P95)/ABS(IF(P95=0,1,P95)),"")</f>
        <v/>
      </c>
      <c r="AD95" s="40">
        <f>IF(AND(AA95&lt;&gt;"",Q95&lt;&gt;""),AA95-Q95,"")</f>
        <v/>
      </c>
      <c r="AE95" s="40">
        <f>IF(G95&lt;&gt;"",G95,"")</f>
        <v/>
      </c>
      <c r="AF95" s="41">
        <f>IF(AND(AE95&lt;&gt;"",C95&gt;0),(AE95-C95)/C95,"")</f>
        <v/>
      </c>
      <c r="AG95" s="41">
        <f>IF(AND(AE95&lt;&gt;"",AE95&gt;0),(AE95-C95)/AE95,"")</f>
        <v/>
      </c>
      <c r="AH95" s="40">
        <f>IF(AND(AE95&lt;&gt;"",C95&gt;0),AE95-C95,"")</f>
        <v/>
      </c>
      <c r="AI95" s="41">
        <f>IF(AND(AE95&lt;&gt;"",D95&gt;0),(AE95-D95)/D95,"")</f>
        <v/>
      </c>
      <c r="AJ95" s="41">
        <f>IF(AND(AG95&lt;&gt;"",P95&lt;&gt;""),(AG95-P95)/ABS(IF(P95=0,1,P95)),"")</f>
        <v/>
      </c>
      <c r="AK95" s="40">
        <f>IF(AND(AH95&lt;&gt;"",Q95&lt;&gt;""),AH95-Q95,"")</f>
        <v/>
      </c>
      <c r="AL95" s="40">
        <f>IF(H95&lt;&gt;"",H95,"")</f>
        <v/>
      </c>
      <c r="AM95" s="41">
        <f>IF(AND(AL95&lt;&gt;"",C95&gt;0),(AL95-C95)/C95,"")</f>
        <v/>
      </c>
      <c r="AN95" s="41">
        <f>IF(AND(AL95&lt;&gt;"",AL95&gt;0),(AL95-C95)/AL95,"")</f>
        <v/>
      </c>
      <c r="AO95" s="40">
        <f>IF(AND(AL95&lt;&gt;"",C95&gt;0),AL95-C95,"")</f>
        <v/>
      </c>
      <c r="AP95" s="41">
        <f>IF(AND(AL95&lt;&gt;"",D95&gt;0),(AL95-D95)/D95,"")</f>
        <v/>
      </c>
      <c r="AQ95" s="41">
        <f>IF(AND(AN95&lt;&gt;"",P95&lt;&gt;""),(AN95-P95)/ABS(IF(P95=0,1,P95)),"")</f>
        <v/>
      </c>
      <c r="AR95" s="40">
        <f>IF(AND(AO95&lt;&gt;"",Q95&lt;&gt;""),AO95-Q95,"")</f>
        <v/>
      </c>
      <c r="AS95" s="44" t="n"/>
      <c r="AT95" s="41">
        <f>IF(AND(AS95&gt;0,C95&gt;0),(AS95-C95)/C95,"")</f>
        <v/>
      </c>
      <c r="AU95" s="41">
        <f>IF(AND(AS95&gt;0,AS95&gt;0),(AS95-C95)/AS95,"")</f>
        <v/>
      </c>
      <c r="AV95" s="40">
        <f>IF(AND(AS95&gt;0,C95&gt;0),AS95-C95,"")</f>
        <v/>
      </c>
      <c r="AW95" s="41">
        <f>IF(AND(AS95&gt;0,D95&gt;0),(AS95-D95)/D95,"")</f>
        <v/>
      </c>
      <c r="AX95" s="41">
        <f>IF(AND(AU95&lt;&gt;"",P95&lt;&gt;""),(AU95-P95)/ABS(IF(P95=0,1,P95)),"")</f>
        <v/>
      </c>
      <c r="AY95" s="40">
        <f>IF(AND(AV95&lt;&gt;"",Q95&lt;&gt;""),AV95-Q95,"")</f>
        <v/>
      </c>
      <c r="AZ95" s="45" t="n"/>
      <c r="BA95" s="40">
        <f>IF(AND(AZ95&gt;0,C95&gt;0),C95/(1-AZ95),"")</f>
        <v/>
      </c>
      <c r="BB95" s="41">
        <f>IF(AND(BA95&lt;&gt;"",C95&gt;0),(BA95-C95)/C95,"")</f>
        <v/>
      </c>
      <c r="BC95" s="41">
        <f>IF(BA95&lt;&gt;"",AZ95,"")</f>
        <v/>
      </c>
      <c r="BD95" s="40">
        <f>IF(AND(BA95&lt;&gt;"",C95&gt;0),BA95-C95,"")</f>
        <v/>
      </c>
      <c r="BE95" s="41">
        <f>IF(AND(BA95&lt;&gt;"",D95&gt;0),(BA95-D95)/D95,"")</f>
        <v/>
      </c>
      <c r="BF95" s="41">
        <f>IF(AND(BC95&lt;&gt;"",P95&lt;&gt;""),(BC95-P95)/ABS(IF(P95=0,1,P95)),"")</f>
        <v/>
      </c>
      <c r="BG95" s="40">
        <f>IF(AND(BD95&lt;&gt;"",Q95&lt;&gt;""),BD95-Q95,"")</f>
        <v/>
      </c>
      <c r="BH95" s="40">
        <f>IF(AND(T95&gt;0,X95&lt;&gt;""),T95*X95,"")</f>
        <v/>
      </c>
      <c r="BI95" s="40">
        <f>IF(AND(T95&gt;0,AA95&lt;&gt;""),T95*AA95,"")</f>
        <v/>
      </c>
      <c r="BJ95" s="40">
        <f>IF(AND(T95&gt;0,AE95&lt;&gt;""),T95*AE95,"")</f>
        <v/>
      </c>
      <c r="BK95" s="40">
        <f>IF(AND(T95&gt;0,AH95&lt;&gt;""),T95*AH95,"")</f>
        <v/>
      </c>
      <c r="BL95" s="40">
        <f>IF(AND(T95&gt;0,AL95&lt;&gt;""),T95*AL95,"")</f>
        <v/>
      </c>
      <c r="BM95" s="40">
        <f>IF(AND(T95&gt;0,AO95&lt;&gt;""),T95*AO95,"")</f>
        <v/>
      </c>
      <c r="BN95" s="40">
        <f>IF(AND(T95&gt;0,AS95&gt;0),T95*AS95,"")</f>
        <v/>
      </c>
      <c r="BO95" s="40">
        <f>IF(AND(T95&gt;0,AV95&lt;&gt;""),T95*AV95,"")</f>
        <v/>
      </c>
      <c r="BP95" s="40">
        <f>IF(AND(T95&gt;0,BA95&lt;&gt;""),T95*BA95,"")</f>
        <v/>
      </c>
      <c r="BQ95" s="40">
        <f>IF(AND(T95&gt;0,BD95&lt;&gt;""),T95*BD95,"")</f>
        <v/>
      </c>
      <c r="BR95" s="46">
        <f>IF(AND(T95&gt;0,V95&gt;0,AA95&lt;&gt;0),V95/AA95-T95,"")</f>
        <v/>
      </c>
      <c r="BS95" s="41">
        <f>IF(AND(BR95&lt;&gt;"",T95&gt;0),BR95/T95,"")</f>
        <v/>
      </c>
      <c r="BT95" s="46">
        <f>IF(AND(T95&gt;0,V95&gt;0,AO95&lt;&gt;0),V95/AO95-T95,"")</f>
        <v/>
      </c>
      <c r="BU95" s="41">
        <f>IF(AND(BT95&lt;&gt;"",T95&gt;0),BT95/T95,"")</f>
        <v/>
      </c>
    </row>
    <row r="96">
      <c r="A96" s="36">
        <f>'📊 Исходные данные'!A95</f>
        <v/>
      </c>
      <c r="B96" s="37">
        <f>'📊 Исходные данные'!B95</f>
        <v/>
      </c>
      <c r="C96" s="38">
        <f>'📊 Исходные данные'!C95</f>
        <v/>
      </c>
      <c r="D96" s="38">
        <f>'📊 Исходные данные'!D95</f>
        <v/>
      </c>
      <c r="E96" s="39">
        <f>IF(OR(D96="",F96=""),"-",IF(D96&gt;F96*1.05,"Выше рынка",IF(D96&lt;F96*0.95,"Ниже рынка","На уровне")))</f>
        <v/>
      </c>
      <c r="F96" s="40">
        <f>IFERROR(AVERAGE('📊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G96" s="40">
        <f>IFERROR(MEDIAN('📊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H96" s="40">
        <f>IFERROR(MIN('📊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I96" s="40">
        <f>IFERROR(MAX('📊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данные'!K95),"")</f>
        <v/>
      </c>
      <c r="J96" s="41">
        <f>IF(AND(D96&lt;&gt;"",F96&lt;&gt;""),(D96-F96)/F96,"")</f>
        <v/>
      </c>
      <c r="K96" s="41">
        <f>IF(AND(D96&lt;&gt;"",G96&lt;&gt;""),(D96-G96)/G96,"")</f>
        <v/>
      </c>
      <c r="L96" s="41">
        <f>IF(AND(D96&lt;&gt;"",H96&lt;&gt;""),(D96-H96)/H96,"")</f>
        <v/>
      </c>
      <c r="M96" s="42">
        <f>IFERROR(RANK(D96,('📊 Исходные данные'!E95,'📊 Исходные данные'!F95,'📊 Исходные данные'!G95,'📊 Исходные данные'!H95,'📊 Исходные данные'!I95,'📊 Исходные данные'!J95,'📊 Исходные данные'!K95)),"")</f>
        <v/>
      </c>
      <c r="N96" s="39">
        <f>IF(M96="","-",IF(M96=1,"Дороже всех",IF(M96=2,"2-й по цене",IF(M96&lt;=4,"Средний","Ниже конкурентов"))))</f>
        <v/>
      </c>
      <c r="O96" s="41">
        <f>IF(AND(C96&gt;0,D96&gt;0),(D96-C96)/C96,"")</f>
        <v/>
      </c>
      <c r="P96" s="41">
        <f>IF(AND(C96&gt;0,D96&gt;0),(D96-C96)/D96,"")</f>
        <v/>
      </c>
      <c r="Q96" s="40">
        <f>IF(AND(C96&gt;0,D96&gt;0),D96-C96,"")</f>
        <v/>
      </c>
      <c r="R96" s="39">
        <f>IF(P96="","-",IF(P96&lt;0.1,"Низкая(&lt;10%)",IF(P96&lt;0.2,"Средняя(10-20%)","Хорошая(&gt;20%)")))</f>
        <v/>
      </c>
      <c r="S96" s="39">
        <f>IF(OR(H96="",C96=""),"-",IF((H96-C96)/H96&lt;0.05,"КРИТИЧНО",IF((H96-C96)/H96&lt;0.15,"УМЕРЕННЫЙ","НИЗКИЙ")))</f>
        <v/>
      </c>
      <c r="T96" s="43" t="n"/>
      <c r="U96" s="40">
        <f>IF(T96&gt;0,T96*D96,"")</f>
        <v/>
      </c>
      <c r="V96" s="40">
        <f>IF(T96&gt;0,T96*Q96,"")</f>
        <v/>
      </c>
      <c r="W96" s="41">
        <f>IF(U96&gt;0,V96/U96,"")</f>
        <v/>
      </c>
      <c r="X96" s="40">
        <f>IF(F96&lt;&gt;"",F96,"")</f>
        <v/>
      </c>
      <c r="Y96" s="41">
        <f>IF(AND(X96&lt;&gt;"",C96&gt;0),(X96-C96)/C96,"")</f>
        <v/>
      </c>
      <c r="Z96" s="41">
        <f>IF(AND(X96&lt;&gt;"",X96&gt;0),(X96-C96)/X96,"")</f>
        <v/>
      </c>
      <c r="AA96" s="40">
        <f>IF(AND(X96&lt;&gt;"",C96&gt;0),X96-C96,"")</f>
        <v/>
      </c>
      <c r="AB96" s="41">
        <f>IF(AND(X96&lt;&gt;"",D96&gt;0),(X96-D96)/D96,"")</f>
        <v/>
      </c>
      <c r="AC96" s="41">
        <f>IF(AND(Z96&lt;&gt;"",P96&lt;&gt;""),(Z96-P96)/ABS(IF(P96=0,1,P96)),"")</f>
        <v/>
      </c>
      <c r="AD96" s="40">
        <f>IF(AND(AA96&lt;&gt;"",Q96&lt;&gt;""),AA96-Q96,"")</f>
        <v/>
      </c>
      <c r="AE96" s="40">
        <f>IF(G96&lt;&gt;"",G96,"")</f>
        <v/>
      </c>
      <c r="AF96" s="41">
        <f>IF(AND(AE96&lt;&gt;"",C96&gt;0),(AE96-C96)/C96,"")</f>
        <v/>
      </c>
      <c r="AG96" s="41">
        <f>IF(AND(AE96&lt;&gt;"",AE96&gt;0),(AE96-C96)/AE96,"")</f>
        <v/>
      </c>
      <c r="AH96" s="40">
        <f>IF(AND(AE96&lt;&gt;"",C96&gt;0),AE96-C96,"")</f>
        <v/>
      </c>
      <c r="AI96" s="41">
        <f>IF(AND(AE96&lt;&gt;"",D96&gt;0),(AE96-D96)/D96,"")</f>
        <v/>
      </c>
      <c r="AJ96" s="41">
        <f>IF(AND(AG96&lt;&gt;"",P96&lt;&gt;""),(AG96-P96)/ABS(IF(P96=0,1,P96)),"")</f>
        <v/>
      </c>
      <c r="AK96" s="40">
        <f>IF(AND(AH96&lt;&gt;"",Q96&lt;&gt;""),AH96-Q96,"")</f>
        <v/>
      </c>
      <c r="AL96" s="40">
        <f>IF(H96&lt;&gt;"",H96,"")</f>
        <v/>
      </c>
      <c r="AM96" s="41">
        <f>IF(AND(AL96&lt;&gt;"",C96&gt;0),(AL96-C96)/C96,"")</f>
        <v/>
      </c>
      <c r="AN96" s="41">
        <f>IF(AND(AL96&lt;&gt;"",AL96&gt;0),(AL96-C96)/AL96,"")</f>
        <v/>
      </c>
      <c r="AO96" s="40">
        <f>IF(AND(AL96&lt;&gt;"",C96&gt;0),AL96-C96,"")</f>
        <v/>
      </c>
      <c r="AP96" s="41">
        <f>IF(AND(AL96&lt;&gt;"",D96&gt;0),(AL96-D96)/D96,"")</f>
        <v/>
      </c>
      <c r="AQ96" s="41">
        <f>IF(AND(AN96&lt;&gt;"",P96&lt;&gt;""),(AN96-P96)/ABS(IF(P96=0,1,P96)),"")</f>
        <v/>
      </c>
      <c r="AR96" s="40">
        <f>IF(AND(AO96&lt;&gt;"",Q96&lt;&gt;""),AO96-Q96,"")</f>
        <v/>
      </c>
      <c r="AS96" s="44" t="n"/>
      <c r="AT96" s="41">
        <f>IF(AND(AS96&gt;0,C96&gt;0),(AS96-C96)/C96,"")</f>
        <v/>
      </c>
      <c r="AU96" s="41">
        <f>IF(AND(AS96&gt;0,AS96&gt;0),(AS96-C96)/AS96,"")</f>
        <v/>
      </c>
      <c r="AV96" s="40">
        <f>IF(AND(AS96&gt;0,C96&gt;0),AS96-C96,"")</f>
        <v/>
      </c>
      <c r="AW96" s="41">
        <f>IF(AND(AS96&gt;0,D96&gt;0),(AS96-D96)/D96,"")</f>
        <v/>
      </c>
      <c r="AX96" s="41">
        <f>IF(AND(AU96&lt;&gt;"",P96&lt;&gt;""),(AU96-P96)/ABS(IF(P96=0,1,P96)),"")</f>
        <v/>
      </c>
      <c r="AY96" s="40">
        <f>IF(AND(AV96&lt;&gt;"",Q96&lt;&gt;""),AV96-Q96,"")</f>
        <v/>
      </c>
      <c r="AZ96" s="45" t="n"/>
      <c r="BA96" s="40">
        <f>IF(AND(AZ96&gt;0,C96&gt;0),C96/(1-AZ96),"")</f>
        <v/>
      </c>
      <c r="BB96" s="41">
        <f>IF(AND(BA96&lt;&gt;"",C96&gt;0),(BA96-C96)/C96,"")</f>
        <v/>
      </c>
      <c r="BC96" s="41">
        <f>IF(BA96&lt;&gt;"",AZ96,"")</f>
        <v/>
      </c>
      <c r="BD96" s="40">
        <f>IF(AND(BA96&lt;&gt;"",C96&gt;0),BA96-C96,"")</f>
        <v/>
      </c>
      <c r="BE96" s="41">
        <f>IF(AND(BA96&lt;&gt;"",D96&gt;0),(BA96-D96)/D96,"")</f>
        <v/>
      </c>
      <c r="BF96" s="41">
        <f>IF(AND(BC96&lt;&gt;"",P96&lt;&gt;""),(BC96-P96)/ABS(IF(P96=0,1,P96)),"")</f>
        <v/>
      </c>
      <c r="BG96" s="40">
        <f>IF(AND(BD96&lt;&gt;"",Q96&lt;&gt;""),BD96-Q96,"")</f>
        <v/>
      </c>
      <c r="BH96" s="40">
        <f>IF(AND(T96&gt;0,X96&lt;&gt;""),T96*X96,"")</f>
        <v/>
      </c>
      <c r="BI96" s="40">
        <f>IF(AND(T96&gt;0,AA96&lt;&gt;""),T96*AA96,"")</f>
        <v/>
      </c>
      <c r="BJ96" s="40">
        <f>IF(AND(T96&gt;0,AE96&lt;&gt;""),T96*AE96,"")</f>
        <v/>
      </c>
      <c r="BK96" s="40">
        <f>IF(AND(T96&gt;0,AH96&lt;&gt;""),T96*AH96,"")</f>
        <v/>
      </c>
      <c r="BL96" s="40">
        <f>IF(AND(T96&gt;0,AL96&lt;&gt;""),T96*AL96,"")</f>
        <v/>
      </c>
      <c r="BM96" s="40">
        <f>IF(AND(T96&gt;0,AO96&lt;&gt;""),T96*AO96,"")</f>
        <v/>
      </c>
      <c r="BN96" s="40">
        <f>IF(AND(T96&gt;0,AS96&gt;0),T96*AS96,"")</f>
        <v/>
      </c>
      <c r="BO96" s="40">
        <f>IF(AND(T96&gt;0,AV96&lt;&gt;""),T96*AV96,"")</f>
        <v/>
      </c>
      <c r="BP96" s="40">
        <f>IF(AND(T96&gt;0,BA96&lt;&gt;""),T96*BA96,"")</f>
        <v/>
      </c>
      <c r="BQ96" s="40">
        <f>IF(AND(T96&gt;0,BD96&lt;&gt;""),T96*BD96,"")</f>
        <v/>
      </c>
      <c r="BR96" s="46">
        <f>IF(AND(T96&gt;0,V96&gt;0,AA96&lt;&gt;0),V96/AA96-T96,"")</f>
        <v/>
      </c>
      <c r="BS96" s="41">
        <f>IF(AND(BR96&lt;&gt;"",T96&gt;0),BR96/T96,"")</f>
        <v/>
      </c>
      <c r="BT96" s="46">
        <f>IF(AND(T96&gt;0,V96&gt;0,AO96&lt;&gt;0),V96/AO96-T96,"")</f>
        <v/>
      </c>
      <c r="BU96" s="41">
        <f>IF(AND(BT96&lt;&gt;"",T96&gt;0),BT96/T96,"")</f>
        <v/>
      </c>
    </row>
    <row r="97">
      <c r="A97" s="36">
        <f>'📊 Исходные данные'!A96</f>
        <v/>
      </c>
      <c r="B97" s="37">
        <f>'📊 Исходные данные'!B96</f>
        <v/>
      </c>
      <c r="C97" s="38">
        <f>'📊 Исходные данные'!C96</f>
        <v/>
      </c>
      <c r="D97" s="38">
        <f>'📊 Исходные данные'!D96</f>
        <v/>
      </c>
      <c r="E97" s="39">
        <f>IF(OR(D97="",F97=""),"-",IF(D97&gt;F97*1.05,"Выше рынка",IF(D97&lt;F97*0.95,"Ниже рынка","На уровне")))</f>
        <v/>
      </c>
      <c r="F97" s="40">
        <f>IFERROR(AVERAGE('📊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G97" s="40">
        <f>IFERROR(MEDIAN('📊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H97" s="40">
        <f>IFERROR(MIN('📊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I97" s="40">
        <f>IFERROR(MAX('📊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данные'!K96),"")</f>
        <v/>
      </c>
      <c r="J97" s="41">
        <f>IF(AND(D97&lt;&gt;"",F97&lt;&gt;""),(D97-F97)/F97,"")</f>
        <v/>
      </c>
      <c r="K97" s="41">
        <f>IF(AND(D97&lt;&gt;"",G97&lt;&gt;""),(D97-G97)/G97,"")</f>
        <v/>
      </c>
      <c r="L97" s="41">
        <f>IF(AND(D97&lt;&gt;"",H97&lt;&gt;""),(D97-H97)/H97,"")</f>
        <v/>
      </c>
      <c r="M97" s="42">
        <f>IFERROR(RANK(D97,('📊 Исходные данные'!E96,'📊 Исходные данные'!F96,'📊 Исходные данные'!G96,'📊 Исходные данные'!H96,'📊 Исходные данные'!I96,'📊 Исходные данные'!J96,'📊 Исходные данные'!K96)),"")</f>
        <v/>
      </c>
      <c r="N97" s="39">
        <f>IF(M97="","-",IF(M97=1,"Дороже всех",IF(M97=2,"2-й по цене",IF(M97&lt;=4,"Средний","Ниже конкурентов"))))</f>
        <v/>
      </c>
      <c r="O97" s="41">
        <f>IF(AND(C97&gt;0,D97&gt;0),(D97-C97)/C97,"")</f>
        <v/>
      </c>
      <c r="P97" s="41">
        <f>IF(AND(C97&gt;0,D97&gt;0),(D97-C97)/D97,"")</f>
        <v/>
      </c>
      <c r="Q97" s="40">
        <f>IF(AND(C97&gt;0,D97&gt;0),D97-C97,"")</f>
        <v/>
      </c>
      <c r="R97" s="39">
        <f>IF(P97="","-",IF(P97&lt;0.1,"Низкая(&lt;10%)",IF(P97&lt;0.2,"Средняя(10-20%)","Хорошая(&gt;20%)")))</f>
        <v/>
      </c>
      <c r="S97" s="39">
        <f>IF(OR(H97="",C97=""),"-",IF((H97-C97)/H97&lt;0.05,"КРИТИЧНО",IF((H97-C97)/H97&lt;0.15,"УМЕРЕННЫЙ","НИЗКИЙ")))</f>
        <v/>
      </c>
      <c r="T97" s="43" t="n"/>
      <c r="U97" s="40">
        <f>IF(T97&gt;0,T97*D97,"")</f>
        <v/>
      </c>
      <c r="V97" s="40">
        <f>IF(T97&gt;0,T97*Q97,"")</f>
        <v/>
      </c>
      <c r="W97" s="41">
        <f>IF(U97&gt;0,V97/U97,"")</f>
        <v/>
      </c>
      <c r="X97" s="40">
        <f>IF(F97&lt;&gt;"",F97,"")</f>
        <v/>
      </c>
      <c r="Y97" s="41">
        <f>IF(AND(X97&lt;&gt;"",C97&gt;0),(X97-C97)/C97,"")</f>
        <v/>
      </c>
      <c r="Z97" s="41">
        <f>IF(AND(X97&lt;&gt;"",X97&gt;0),(X97-C97)/X97,"")</f>
        <v/>
      </c>
      <c r="AA97" s="40">
        <f>IF(AND(X97&lt;&gt;"",C97&gt;0),X97-C97,"")</f>
        <v/>
      </c>
      <c r="AB97" s="41">
        <f>IF(AND(X97&lt;&gt;"",D97&gt;0),(X97-D97)/D97,"")</f>
        <v/>
      </c>
      <c r="AC97" s="41">
        <f>IF(AND(Z97&lt;&gt;"",P97&lt;&gt;""),(Z97-P97)/ABS(IF(P97=0,1,P97)),"")</f>
        <v/>
      </c>
      <c r="AD97" s="40">
        <f>IF(AND(AA97&lt;&gt;"",Q97&lt;&gt;""),AA97-Q97,"")</f>
        <v/>
      </c>
      <c r="AE97" s="40">
        <f>IF(G97&lt;&gt;"",G97,"")</f>
        <v/>
      </c>
      <c r="AF97" s="41">
        <f>IF(AND(AE97&lt;&gt;"",C97&gt;0),(AE97-C97)/C97,"")</f>
        <v/>
      </c>
      <c r="AG97" s="41">
        <f>IF(AND(AE97&lt;&gt;"",AE97&gt;0),(AE97-C97)/AE97,"")</f>
        <v/>
      </c>
      <c r="AH97" s="40">
        <f>IF(AND(AE97&lt;&gt;"",C97&gt;0),AE97-C97,"")</f>
        <v/>
      </c>
      <c r="AI97" s="41">
        <f>IF(AND(AE97&lt;&gt;"",D97&gt;0),(AE97-D97)/D97,"")</f>
        <v/>
      </c>
      <c r="AJ97" s="41">
        <f>IF(AND(AG97&lt;&gt;"",P97&lt;&gt;""),(AG97-P97)/ABS(IF(P97=0,1,P97)),"")</f>
        <v/>
      </c>
      <c r="AK97" s="40">
        <f>IF(AND(AH97&lt;&gt;"",Q97&lt;&gt;""),AH97-Q97,"")</f>
        <v/>
      </c>
      <c r="AL97" s="40">
        <f>IF(H97&lt;&gt;"",H97,"")</f>
        <v/>
      </c>
      <c r="AM97" s="41">
        <f>IF(AND(AL97&lt;&gt;"",C97&gt;0),(AL97-C97)/C97,"")</f>
        <v/>
      </c>
      <c r="AN97" s="41">
        <f>IF(AND(AL97&lt;&gt;"",AL97&gt;0),(AL97-C97)/AL97,"")</f>
        <v/>
      </c>
      <c r="AO97" s="40">
        <f>IF(AND(AL97&lt;&gt;"",C97&gt;0),AL97-C97,"")</f>
        <v/>
      </c>
      <c r="AP97" s="41">
        <f>IF(AND(AL97&lt;&gt;"",D97&gt;0),(AL97-D97)/D97,"")</f>
        <v/>
      </c>
      <c r="AQ97" s="41">
        <f>IF(AND(AN97&lt;&gt;"",P97&lt;&gt;""),(AN97-P97)/ABS(IF(P97=0,1,P97)),"")</f>
        <v/>
      </c>
      <c r="AR97" s="40">
        <f>IF(AND(AO97&lt;&gt;"",Q97&lt;&gt;""),AO97-Q97,"")</f>
        <v/>
      </c>
      <c r="AS97" s="44" t="n"/>
      <c r="AT97" s="41">
        <f>IF(AND(AS97&gt;0,C97&gt;0),(AS97-C97)/C97,"")</f>
        <v/>
      </c>
      <c r="AU97" s="41">
        <f>IF(AND(AS97&gt;0,AS97&gt;0),(AS97-C97)/AS97,"")</f>
        <v/>
      </c>
      <c r="AV97" s="40">
        <f>IF(AND(AS97&gt;0,C97&gt;0),AS97-C97,"")</f>
        <v/>
      </c>
      <c r="AW97" s="41">
        <f>IF(AND(AS97&gt;0,D97&gt;0),(AS97-D97)/D97,"")</f>
        <v/>
      </c>
      <c r="AX97" s="41">
        <f>IF(AND(AU97&lt;&gt;"",P97&lt;&gt;""),(AU97-P97)/ABS(IF(P97=0,1,P97)),"")</f>
        <v/>
      </c>
      <c r="AY97" s="40">
        <f>IF(AND(AV97&lt;&gt;"",Q97&lt;&gt;""),AV97-Q97,"")</f>
        <v/>
      </c>
      <c r="AZ97" s="45" t="n"/>
      <c r="BA97" s="40">
        <f>IF(AND(AZ97&gt;0,C97&gt;0),C97/(1-AZ97),"")</f>
        <v/>
      </c>
      <c r="BB97" s="41">
        <f>IF(AND(BA97&lt;&gt;"",C97&gt;0),(BA97-C97)/C97,"")</f>
        <v/>
      </c>
      <c r="BC97" s="41">
        <f>IF(BA97&lt;&gt;"",AZ97,"")</f>
        <v/>
      </c>
      <c r="BD97" s="40">
        <f>IF(AND(BA97&lt;&gt;"",C97&gt;0),BA97-C97,"")</f>
        <v/>
      </c>
      <c r="BE97" s="41">
        <f>IF(AND(BA97&lt;&gt;"",D97&gt;0),(BA97-D97)/D97,"")</f>
        <v/>
      </c>
      <c r="BF97" s="41">
        <f>IF(AND(BC97&lt;&gt;"",P97&lt;&gt;""),(BC97-P97)/ABS(IF(P97=0,1,P97)),"")</f>
        <v/>
      </c>
      <c r="BG97" s="40">
        <f>IF(AND(BD97&lt;&gt;"",Q97&lt;&gt;""),BD97-Q97,"")</f>
        <v/>
      </c>
      <c r="BH97" s="40">
        <f>IF(AND(T97&gt;0,X97&lt;&gt;""),T97*X97,"")</f>
        <v/>
      </c>
      <c r="BI97" s="40">
        <f>IF(AND(T97&gt;0,AA97&lt;&gt;""),T97*AA97,"")</f>
        <v/>
      </c>
      <c r="BJ97" s="40">
        <f>IF(AND(T97&gt;0,AE97&lt;&gt;""),T97*AE97,"")</f>
        <v/>
      </c>
      <c r="BK97" s="40">
        <f>IF(AND(T97&gt;0,AH97&lt;&gt;""),T97*AH97,"")</f>
        <v/>
      </c>
      <c r="BL97" s="40">
        <f>IF(AND(T97&gt;0,AL97&lt;&gt;""),T97*AL97,"")</f>
        <v/>
      </c>
      <c r="BM97" s="40">
        <f>IF(AND(T97&gt;0,AO97&lt;&gt;""),T97*AO97,"")</f>
        <v/>
      </c>
      <c r="BN97" s="40">
        <f>IF(AND(T97&gt;0,AS97&gt;0),T97*AS97,"")</f>
        <v/>
      </c>
      <c r="BO97" s="40">
        <f>IF(AND(T97&gt;0,AV97&lt;&gt;""),T97*AV97,"")</f>
        <v/>
      </c>
      <c r="BP97" s="40">
        <f>IF(AND(T97&gt;0,BA97&lt;&gt;""),T97*BA97,"")</f>
        <v/>
      </c>
      <c r="BQ97" s="40">
        <f>IF(AND(T97&gt;0,BD97&lt;&gt;""),T97*BD97,"")</f>
        <v/>
      </c>
      <c r="BR97" s="46">
        <f>IF(AND(T97&gt;0,V97&gt;0,AA97&lt;&gt;0),V97/AA97-T97,"")</f>
        <v/>
      </c>
      <c r="BS97" s="41">
        <f>IF(AND(BR97&lt;&gt;"",T97&gt;0),BR97/T97,"")</f>
        <v/>
      </c>
      <c r="BT97" s="46">
        <f>IF(AND(T97&gt;0,V97&gt;0,AO97&lt;&gt;0),V97/AO97-T97,"")</f>
        <v/>
      </c>
      <c r="BU97" s="41">
        <f>IF(AND(BT97&lt;&gt;"",T97&gt;0),BT97/T97,"")</f>
        <v/>
      </c>
    </row>
    <row r="98">
      <c r="A98" s="36">
        <f>'📊 Исходные данные'!A97</f>
        <v/>
      </c>
      <c r="B98" s="37">
        <f>'📊 Исходные данные'!B97</f>
        <v/>
      </c>
      <c r="C98" s="38">
        <f>'📊 Исходные данные'!C97</f>
        <v/>
      </c>
      <c r="D98" s="38">
        <f>'📊 Исходные данные'!D97</f>
        <v/>
      </c>
      <c r="E98" s="39">
        <f>IF(OR(D98="",F98=""),"-",IF(D98&gt;F98*1.05,"Выше рынка",IF(D98&lt;F98*0.95,"Ниже рынка","На уровне")))</f>
        <v/>
      </c>
      <c r="F98" s="40">
        <f>IFERROR(AVERAGE('📊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G98" s="40">
        <f>IFERROR(MEDIAN('📊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H98" s="40">
        <f>IFERROR(MIN('📊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I98" s="40">
        <f>IFERROR(MAX('📊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данные'!K97),"")</f>
        <v/>
      </c>
      <c r="J98" s="41">
        <f>IF(AND(D98&lt;&gt;"",F98&lt;&gt;""),(D98-F98)/F98,"")</f>
        <v/>
      </c>
      <c r="K98" s="41">
        <f>IF(AND(D98&lt;&gt;"",G98&lt;&gt;""),(D98-G98)/G98,"")</f>
        <v/>
      </c>
      <c r="L98" s="41">
        <f>IF(AND(D98&lt;&gt;"",H98&lt;&gt;""),(D98-H98)/H98,"")</f>
        <v/>
      </c>
      <c r="M98" s="42">
        <f>IFERROR(RANK(D98,('📊 Исходные данные'!E97,'📊 Исходные данные'!F97,'📊 Исходные данные'!G97,'📊 Исходные данные'!H97,'📊 Исходные данные'!I97,'📊 Исходные данные'!J97,'📊 Исходные данные'!K97)),"")</f>
        <v/>
      </c>
      <c r="N98" s="39">
        <f>IF(M98="","-",IF(M98=1,"Дороже всех",IF(M98=2,"2-й по цене",IF(M98&lt;=4,"Средний","Ниже конкурентов"))))</f>
        <v/>
      </c>
      <c r="O98" s="41">
        <f>IF(AND(C98&gt;0,D98&gt;0),(D98-C98)/C98,"")</f>
        <v/>
      </c>
      <c r="P98" s="41">
        <f>IF(AND(C98&gt;0,D98&gt;0),(D98-C98)/D98,"")</f>
        <v/>
      </c>
      <c r="Q98" s="40">
        <f>IF(AND(C98&gt;0,D98&gt;0),D98-C98,"")</f>
        <v/>
      </c>
      <c r="R98" s="39">
        <f>IF(P98="","-",IF(P98&lt;0.1,"Низкая(&lt;10%)",IF(P98&lt;0.2,"Средняя(10-20%)","Хорошая(&gt;20%)")))</f>
        <v/>
      </c>
      <c r="S98" s="39">
        <f>IF(OR(H98="",C98=""),"-",IF((H98-C98)/H98&lt;0.05,"КРИТИЧНО",IF((H98-C98)/H98&lt;0.15,"УМЕРЕННЫЙ","НИЗКИЙ")))</f>
        <v/>
      </c>
      <c r="T98" s="43" t="n"/>
      <c r="U98" s="40">
        <f>IF(T98&gt;0,T98*D98,"")</f>
        <v/>
      </c>
      <c r="V98" s="40">
        <f>IF(T98&gt;0,T98*Q98,"")</f>
        <v/>
      </c>
      <c r="W98" s="41">
        <f>IF(U98&gt;0,V98/U98,"")</f>
        <v/>
      </c>
      <c r="X98" s="40">
        <f>IF(F98&lt;&gt;"",F98,"")</f>
        <v/>
      </c>
      <c r="Y98" s="41">
        <f>IF(AND(X98&lt;&gt;"",C98&gt;0),(X98-C98)/C98,"")</f>
        <v/>
      </c>
      <c r="Z98" s="41">
        <f>IF(AND(X98&lt;&gt;"",X98&gt;0),(X98-C98)/X98,"")</f>
        <v/>
      </c>
      <c r="AA98" s="40">
        <f>IF(AND(X98&lt;&gt;"",C98&gt;0),X98-C98,"")</f>
        <v/>
      </c>
      <c r="AB98" s="41">
        <f>IF(AND(X98&lt;&gt;"",D98&gt;0),(X98-D98)/D98,"")</f>
        <v/>
      </c>
      <c r="AC98" s="41">
        <f>IF(AND(Z98&lt;&gt;"",P98&lt;&gt;""),(Z98-P98)/ABS(IF(P98=0,1,P98)),"")</f>
        <v/>
      </c>
      <c r="AD98" s="40">
        <f>IF(AND(AA98&lt;&gt;"",Q98&lt;&gt;""),AA98-Q98,"")</f>
        <v/>
      </c>
      <c r="AE98" s="40">
        <f>IF(G98&lt;&gt;"",G98,"")</f>
        <v/>
      </c>
      <c r="AF98" s="41">
        <f>IF(AND(AE98&lt;&gt;"",C98&gt;0),(AE98-C98)/C98,"")</f>
        <v/>
      </c>
      <c r="AG98" s="41">
        <f>IF(AND(AE98&lt;&gt;"",AE98&gt;0),(AE98-C98)/AE98,"")</f>
        <v/>
      </c>
      <c r="AH98" s="40">
        <f>IF(AND(AE98&lt;&gt;"",C98&gt;0),AE98-C98,"")</f>
        <v/>
      </c>
      <c r="AI98" s="41">
        <f>IF(AND(AE98&lt;&gt;"",D98&gt;0),(AE98-D98)/D98,"")</f>
        <v/>
      </c>
      <c r="AJ98" s="41">
        <f>IF(AND(AG98&lt;&gt;"",P98&lt;&gt;""),(AG98-P98)/ABS(IF(P98=0,1,P98)),"")</f>
        <v/>
      </c>
      <c r="AK98" s="40">
        <f>IF(AND(AH98&lt;&gt;"",Q98&lt;&gt;""),AH98-Q98,"")</f>
        <v/>
      </c>
      <c r="AL98" s="40">
        <f>IF(H98&lt;&gt;"",H98,"")</f>
        <v/>
      </c>
      <c r="AM98" s="41">
        <f>IF(AND(AL98&lt;&gt;"",C98&gt;0),(AL98-C98)/C98,"")</f>
        <v/>
      </c>
      <c r="AN98" s="41">
        <f>IF(AND(AL98&lt;&gt;"",AL98&gt;0),(AL98-C98)/AL98,"")</f>
        <v/>
      </c>
      <c r="AO98" s="40">
        <f>IF(AND(AL98&lt;&gt;"",C98&gt;0),AL98-C98,"")</f>
        <v/>
      </c>
      <c r="AP98" s="41">
        <f>IF(AND(AL98&lt;&gt;"",D98&gt;0),(AL98-D98)/D98,"")</f>
        <v/>
      </c>
      <c r="AQ98" s="41">
        <f>IF(AND(AN98&lt;&gt;"",P98&lt;&gt;""),(AN98-P98)/ABS(IF(P98=0,1,P98)),"")</f>
        <v/>
      </c>
      <c r="AR98" s="40">
        <f>IF(AND(AO98&lt;&gt;"",Q98&lt;&gt;""),AO98-Q98,"")</f>
        <v/>
      </c>
      <c r="AS98" s="44" t="n"/>
      <c r="AT98" s="41">
        <f>IF(AND(AS98&gt;0,C98&gt;0),(AS98-C98)/C98,"")</f>
        <v/>
      </c>
      <c r="AU98" s="41">
        <f>IF(AND(AS98&gt;0,AS98&gt;0),(AS98-C98)/AS98,"")</f>
        <v/>
      </c>
      <c r="AV98" s="40">
        <f>IF(AND(AS98&gt;0,C98&gt;0),AS98-C98,"")</f>
        <v/>
      </c>
      <c r="AW98" s="41">
        <f>IF(AND(AS98&gt;0,D98&gt;0),(AS98-D98)/D98,"")</f>
        <v/>
      </c>
      <c r="AX98" s="41">
        <f>IF(AND(AU98&lt;&gt;"",P98&lt;&gt;""),(AU98-P98)/ABS(IF(P98=0,1,P98)),"")</f>
        <v/>
      </c>
      <c r="AY98" s="40">
        <f>IF(AND(AV98&lt;&gt;"",Q98&lt;&gt;""),AV98-Q98,"")</f>
        <v/>
      </c>
      <c r="AZ98" s="45" t="n"/>
      <c r="BA98" s="40">
        <f>IF(AND(AZ98&gt;0,C98&gt;0),C98/(1-AZ98),"")</f>
        <v/>
      </c>
      <c r="BB98" s="41">
        <f>IF(AND(BA98&lt;&gt;"",C98&gt;0),(BA98-C98)/C98,"")</f>
        <v/>
      </c>
      <c r="BC98" s="41">
        <f>IF(BA98&lt;&gt;"",AZ98,"")</f>
        <v/>
      </c>
      <c r="BD98" s="40">
        <f>IF(AND(BA98&lt;&gt;"",C98&gt;0),BA98-C98,"")</f>
        <v/>
      </c>
      <c r="BE98" s="41">
        <f>IF(AND(BA98&lt;&gt;"",D98&gt;0),(BA98-D98)/D98,"")</f>
        <v/>
      </c>
      <c r="BF98" s="41">
        <f>IF(AND(BC98&lt;&gt;"",P98&lt;&gt;""),(BC98-P98)/ABS(IF(P98=0,1,P98)),"")</f>
        <v/>
      </c>
      <c r="BG98" s="40">
        <f>IF(AND(BD98&lt;&gt;"",Q98&lt;&gt;""),BD98-Q98,"")</f>
        <v/>
      </c>
      <c r="BH98" s="40">
        <f>IF(AND(T98&gt;0,X98&lt;&gt;""),T98*X98,"")</f>
        <v/>
      </c>
      <c r="BI98" s="40">
        <f>IF(AND(T98&gt;0,AA98&lt;&gt;""),T98*AA98,"")</f>
        <v/>
      </c>
      <c r="BJ98" s="40">
        <f>IF(AND(T98&gt;0,AE98&lt;&gt;""),T98*AE98,"")</f>
        <v/>
      </c>
      <c r="BK98" s="40">
        <f>IF(AND(T98&gt;0,AH98&lt;&gt;""),T98*AH98,"")</f>
        <v/>
      </c>
      <c r="BL98" s="40">
        <f>IF(AND(T98&gt;0,AL98&lt;&gt;""),T98*AL98,"")</f>
        <v/>
      </c>
      <c r="BM98" s="40">
        <f>IF(AND(T98&gt;0,AO98&lt;&gt;""),T98*AO98,"")</f>
        <v/>
      </c>
      <c r="BN98" s="40">
        <f>IF(AND(T98&gt;0,AS98&gt;0),T98*AS98,"")</f>
        <v/>
      </c>
      <c r="BO98" s="40">
        <f>IF(AND(T98&gt;0,AV98&lt;&gt;""),T98*AV98,"")</f>
        <v/>
      </c>
      <c r="BP98" s="40">
        <f>IF(AND(T98&gt;0,BA98&lt;&gt;""),T98*BA98,"")</f>
        <v/>
      </c>
      <c r="BQ98" s="40">
        <f>IF(AND(T98&gt;0,BD98&lt;&gt;""),T98*BD98,"")</f>
        <v/>
      </c>
      <c r="BR98" s="46">
        <f>IF(AND(T98&gt;0,V98&gt;0,AA98&lt;&gt;0),V98/AA98-T98,"")</f>
        <v/>
      </c>
      <c r="BS98" s="41">
        <f>IF(AND(BR98&lt;&gt;"",T98&gt;0),BR98/T98,"")</f>
        <v/>
      </c>
      <c r="BT98" s="46">
        <f>IF(AND(T98&gt;0,V98&gt;0,AO98&lt;&gt;0),V98/AO98-T98,"")</f>
        <v/>
      </c>
      <c r="BU98" s="41">
        <f>IF(AND(BT98&lt;&gt;"",T98&gt;0),BT98/T98,"")</f>
        <v/>
      </c>
    </row>
    <row r="99">
      <c r="A99" s="36">
        <f>'📊 Исходные данные'!A98</f>
        <v/>
      </c>
      <c r="B99" s="37">
        <f>'📊 Исходные данные'!B98</f>
        <v/>
      </c>
      <c r="C99" s="38">
        <f>'📊 Исходные данные'!C98</f>
        <v/>
      </c>
      <c r="D99" s="38">
        <f>'📊 Исходные данные'!D98</f>
        <v/>
      </c>
      <c r="E99" s="39">
        <f>IF(OR(D99="",F99=""),"-",IF(D99&gt;F99*1.05,"Выше рынка",IF(D99&lt;F99*0.95,"Ниже рынка","На уровне")))</f>
        <v/>
      </c>
      <c r="F99" s="40">
        <f>IFERROR(AVERAGE('📊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G99" s="40">
        <f>IFERROR(MEDIAN('📊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H99" s="40">
        <f>IFERROR(MIN('📊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I99" s="40">
        <f>IFERROR(MAX('📊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данные'!K98),"")</f>
        <v/>
      </c>
      <c r="J99" s="41">
        <f>IF(AND(D99&lt;&gt;"",F99&lt;&gt;""),(D99-F99)/F99,"")</f>
        <v/>
      </c>
      <c r="K99" s="41">
        <f>IF(AND(D99&lt;&gt;"",G99&lt;&gt;""),(D99-G99)/G99,"")</f>
        <v/>
      </c>
      <c r="L99" s="41">
        <f>IF(AND(D99&lt;&gt;"",H99&lt;&gt;""),(D99-H99)/H99,"")</f>
        <v/>
      </c>
      <c r="M99" s="42">
        <f>IFERROR(RANK(D99,('📊 Исходные данные'!E98,'📊 Исходные данные'!F98,'📊 Исходные данные'!G98,'📊 Исходные данные'!H98,'📊 Исходные данные'!I98,'📊 Исходные данные'!J98,'📊 Исходные данные'!K98)),"")</f>
        <v/>
      </c>
      <c r="N99" s="39">
        <f>IF(M99="","-",IF(M99=1,"Дороже всех",IF(M99=2,"2-й по цене",IF(M99&lt;=4,"Средний","Ниже конкурентов"))))</f>
        <v/>
      </c>
      <c r="O99" s="41">
        <f>IF(AND(C99&gt;0,D99&gt;0),(D99-C99)/C99,"")</f>
        <v/>
      </c>
      <c r="P99" s="41">
        <f>IF(AND(C99&gt;0,D99&gt;0),(D99-C99)/D99,"")</f>
        <v/>
      </c>
      <c r="Q99" s="40">
        <f>IF(AND(C99&gt;0,D99&gt;0),D99-C99,"")</f>
        <v/>
      </c>
      <c r="R99" s="39">
        <f>IF(P99="","-",IF(P99&lt;0.1,"Низкая(&lt;10%)",IF(P99&lt;0.2,"Средняя(10-20%)","Хорошая(&gt;20%)")))</f>
        <v/>
      </c>
      <c r="S99" s="39">
        <f>IF(OR(H99="",C99=""),"-",IF((H99-C99)/H99&lt;0.05,"КРИТИЧНО",IF((H99-C99)/H99&lt;0.15,"УМЕРЕННЫЙ","НИЗКИЙ")))</f>
        <v/>
      </c>
      <c r="T99" s="43" t="n"/>
      <c r="U99" s="40">
        <f>IF(T99&gt;0,T99*D99,"")</f>
        <v/>
      </c>
      <c r="V99" s="40">
        <f>IF(T99&gt;0,T99*Q99,"")</f>
        <v/>
      </c>
      <c r="W99" s="41">
        <f>IF(U99&gt;0,V99/U99,"")</f>
        <v/>
      </c>
      <c r="X99" s="40">
        <f>IF(F99&lt;&gt;"",F99,"")</f>
        <v/>
      </c>
      <c r="Y99" s="41">
        <f>IF(AND(X99&lt;&gt;"",C99&gt;0),(X99-C99)/C99,"")</f>
        <v/>
      </c>
      <c r="Z99" s="41">
        <f>IF(AND(X99&lt;&gt;"",X99&gt;0),(X99-C99)/X99,"")</f>
        <v/>
      </c>
      <c r="AA99" s="40">
        <f>IF(AND(X99&lt;&gt;"",C99&gt;0),X99-C99,"")</f>
        <v/>
      </c>
      <c r="AB99" s="41">
        <f>IF(AND(X99&lt;&gt;"",D99&gt;0),(X99-D99)/D99,"")</f>
        <v/>
      </c>
      <c r="AC99" s="41">
        <f>IF(AND(Z99&lt;&gt;"",P99&lt;&gt;""),(Z99-P99)/ABS(IF(P99=0,1,P99)),"")</f>
        <v/>
      </c>
      <c r="AD99" s="40">
        <f>IF(AND(AA99&lt;&gt;"",Q99&lt;&gt;""),AA99-Q99,"")</f>
        <v/>
      </c>
      <c r="AE99" s="40">
        <f>IF(G99&lt;&gt;"",G99,"")</f>
        <v/>
      </c>
      <c r="AF99" s="41">
        <f>IF(AND(AE99&lt;&gt;"",C99&gt;0),(AE99-C99)/C99,"")</f>
        <v/>
      </c>
      <c r="AG99" s="41">
        <f>IF(AND(AE99&lt;&gt;"",AE99&gt;0),(AE99-C99)/AE99,"")</f>
        <v/>
      </c>
      <c r="AH99" s="40">
        <f>IF(AND(AE99&lt;&gt;"",C99&gt;0),AE99-C99,"")</f>
        <v/>
      </c>
      <c r="AI99" s="41">
        <f>IF(AND(AE99&lt;&gt;"",D99&gt;0),(AE99-D99)/D99,"")</f>
        <v/>
      </c>
      <c r="AJ99" s="41">
        <f>IF(AND(AG99&lt;&gt;"",P99&lt;&gt;""),(AG99-P99)/ABS(IF(P99=0,1,P99)),"")</f>
        <v/>
      </c>
      <c r="AK99" s="40">
        <f>IF(AND(AH99&lt;&gt;"",Q99&lt;&gt;""),AH99-Q99,"")</f>
        <v/>
      </c>
      <c r="AL99" s="40">
        <f>IF(H99&lt;&gt;"",H99,"")</f>
        <v/>
      </c>
      <c r="AM99" s="41">
        <f>IF(AND(AL99&lt;&gt;"",C99&gt;0),(AL99-C99)/C99,"")</f>
        <v/>
      </c>
      <c r="AN99" s="41">
        <f>IF(AND(AL99&lt;&gt;"",AL99&gt;0),(AL99-C99)/AL99,"")</f>
        <v/>
      </c>
      <c r="AO99" s="40">
        <f>IF(AND(AL99&lt;&gt;"",C99&gt;0),AL99-C99,"")</f>
        <v/>
      </c>
      <c r="AP99" s="41">
        <f>IF(AND(AL99&lt;&gt;"",D99&gt;0),(AL99-D99)/D99,"")</f>
        <v/>
      </c>
      <c r="AQ99" s="41">
        <f>IF(AND(AN99&lt;&gt;"",P99&lt;&gt;""),(AN99-P99)/ABS(IF(P99=0,1,P99)),"")</f>
        <v/>
      </c>
      <c r="AR99" s="40">
        <f>IF(AND(AO99&lt;&gt;"",Q99&lt;&gt;""),AO99-Q99,"")</f>
        <v/>
      </c>
      <c r="AS99" s="44" t="n"/>
      <c r="AT99" s="41">
        <f>IF(AND(AS99&gt;0,C99&gt;0),(AS99-C99)/C99,"")</f>
        <v/>
      </c>
      <c r="AU99" s="41">
        <f>IF(AND(AS99&gt;0,AS99&gt;0),(AS99-C99)/AS99,"")</f>
        <v/>
      </c>
      <c r="AV99" s="40">
        <f>IF(AND(AS99&gt;0,C99&gt;0),AS99-C99,"")</f>
        <v/>
      </c>
      <c r="AW99" s="41">
        <f>IF(AND(AS99&gt;0,D99&gt;0),(AS99-D99)/D99,"")</f>
        <v/>
      </c>
      <c r="AX99" s="41">
        <f>IF(AND(AU99&lt;&gt;"",P99&lt;&gt;""),(AU99-P99)/ABS(IF(P99=0,1,P99)),"")</f>
        <v/>
      </c>
      <c r="AY99" s="40">
        <f>IF(AND(AV99&lt;&gt;"",Q99&lt;&gt;""),AV99-Q99,"")</f>
        <v/>
      </c>
      <c r="AZ99" s="45" t="n"/>
      <c r="BA99" s="40">
        <f>IF(AND(AZ99&gt;0,C99&gt;0),C99/(1-AZ99),"")</f>
        <v/>
      </c>
      <c r="BB99" s="41">
        <f>IF(AND(BA99&lt;&gt;"",C99&gt;0),(BA99-C99)/C99,"")</f>
        <v/>
      </c>
      <c r="BC99" s="41">
        <f>IF(BA99&lt;&gt;"",AZ99,"")</f>
        <v/>
      </c>
      <c r="BD99" s="40">
        <f>IF(AND(BA99&lt;&gt;"",C99&gt;0),BA99-C99,"")</f>
        <v/>
      </c>
      <c r="BE99" s="41">
        <f>IF(AND(BA99&lt;&gt;"",D99&gt;0),(BA99-D99)/D99,"")</f>
        <v/>
      </c>
      <c r="BF99" s="41">
        <f>IF(AND(BC99&lt;&gt;"",P99&lt;&gt;""),(BC99-P99)/ABS(IF(P99=0,1,P99)),"")</f>
        <v/>
      </c>
      <c r="BG99" s="40">
        <f>IF(AND(BD99&lt;&gt;"",Q99&lt;&gt;""),BD99-Q99,"")</f>
        <v/>
      </c>
      <c r="BH99" s="40">
        <f>IF(AND(T99&gt;0,X99&lt;&gt;""),T99*X99,"")</f>
        <v/>
      </c>
      <c r="BI99" s="40">
        <f>IF(AND(T99&gt;0,AA99&lt;&gt;""),T99*AA99,"")</f>
        <v/>
      </c>
      <c r="BJ99" s="40">
        <f>IF(AND(T99&gt;0,AE99&lt;&gt;""),T99*AE99,"")</f>
        <v/>
      </c>
      <c r="BK99" s="40">
        <f>IF(AND(T99&gt;0,AH99&lt;&gt;""),T99*AH99,"")</f>
        <v/>
      </c>
      <c r="BL99" s="40">
        <f>IF(AND(T99&gt;0,AL99&lt;&gt;""),T99*AL99,"")</f>
        <v/>
      </c>
      <c r="BM99" s="40">
        <f>IF(AND(T99&gt;0,AO99&lt;&gt;""),T99*AO99,"")</f>
        <v/>
      </c>
      <c r="BN99" s="40">
        <f>IF(AND(T99&gt;0,AS99&gt;0),T99*AS99,"")</f>
        <v/>
      </c>
      <c r="BO99" s="40">
        <f>IF(AND(T99&gt;0,AV99&lt;&gt;""),T99*AV99,"")</f>
        <v/>
      </c>
      <c r="BP99" s="40">
        <f>IF(AND(T99&gt;0,BA99&lt;&gt;""),T99*BA99,"")</f>
        <v/>
      </c>
      <c r="BQ99" s="40">
        <f>IF(AND(T99&gt;0,BD99&lt;&gt;""),T99*BD99,"")</f>
        <v/>
      </c>
      <c r="BR99" s="46">
        <f>IF(AND(T99&gt;0,V99&gt;0,AA99&lt;&gt;0),V99/AA99-T99,"")</f>
        <v/>
      </c>
      <c r="BS99" s="41">
        <f>IF(AND(BR99&lt;&gt;"",T99&gt;0),BR99/T99,"")</f>
        <v/>
      </c>
      <c r="BT99" s="46">
        <f>IF(AND(T99&gt;0,V99&gt;0,AO99&lt;&gt;0),V99/AO99-T99,"")</f>
        <v/>
      </c>
      <c r="BU99" s="41">
        <f>IF(AND(BT99&lt;&gt;"",T99&gt;0),BT99/T99,"")</f>
        <v/>
      </c>
    </row>
    <row r="100">
      <c r="A100" s="36">
        <f>'📊 Исходные данные'!A99</f>
        <v/>
      </c>
      <c r="B100" s="37">
        <f>'📊 Исходные данные'!B99</f>
        <v/>
      </c>
      <c r="C100" s="38">
        <f>'📊 Исходные данные'!C99</f>
        <v/>
      </c>
      <c r="D100" s="38">
        <f>'📊 Исходные данные'!D99</f>
        <v/>
      </c>
      <c r="E100" s="39">
        <f>IF(OR(D100="",F100=""),"-",IF(D100&gt;F100*1.05,"Выше рынка",IF(D100&lt;F100*0.95,"Ниже рынка","На уровне")))</f>
        <v/>
      </c>
      <c r="F100" s="40">
        <f>IFERROR(AVERAGE('📊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G100" s="40">
        <f>IFERROR(MEDIAN('📊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H100" s="40">
        <f>IFERROR(MIN('📊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I100" s="40">
        <f>IFERROR(MAX('📊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данные'!K99),"")</f>
        <v/>
      </c>
      <c r="J100" s="41">
        <f>IF(AND(D100&lt;&gt;"",F100&lt;&gt;""),(D100-F100)/F100,"")</f>
        <v/>
      </c>
      <c r="K100" s="41">
        <f>IF(AND(D100&lt;&gt;"",G100&lt;&gt;""),(D100-G100)/G100,"")</f>
        <v/>
      </c>
      <c r="L100" s="41">
        <f>IF(AND(D100&lt;&gt;"",H100&lt;&gt;""),(D100-H100)/H100,"")</f>
        <v/>
      </c>
      <c r="M100" s="42">
        <f>IFERROR(RANK(D100,('📊 Исходные данные'!E99,'📊 Исходные данные'!F99,'📊 Исходные данные'!G99,'📊 Исходные данные'!H99,'📊 Исходные данные'!I99,'📊 Исходные данные'!J99,'📊 Исходные данные'!K99)),"")</f>
        <v/>
      </c>
      <c r="N100" s="39">
        <f>IF(M100="","-",IF(M100=1,"Дороже всех",IF(M100=2,"2-й по цене",IF(M100&lt;=4,"Средний","Ниже конкурентов"))))</f>
        <v/>
      </c>
      <c r="O100" s="41">
        <f>IF(AND(C100&gt;0,D100&gt;0),(D100-C100)/C100,"")</f>
        <v/>
      </c>
      <c r="P100" s="41">
        <f>IF(AND(C100&gt;0,D100&gt;0),(D100-C100)/D100,"")</f>
        <v/>
      </c>
      <c r="Q100" s="40">
        <f>IF(AND(C100&gt;0,D100&gt;0),D100-C100,"")</f>
        <v/>
      </c>
      <c r="R100" s="39">
        <f>IF(P100="","-",IF(P100&lt;0.1,"Низкая(&lt;10%)",IF(P100&lt;0.2,"Средняя(10-20%)","Хорошая(&gt;20%)")))</f>
        <v/>
      </c>
      <c r="S100" s="39">
        <f>IF(OR(H100="",C100=""),"-",IF((H100-C100)/H100&lt;0.05,"КРИТИЧНО",IF((H100-C100)/H100&lt;0.15,"УМЕРЕННЫЙ","НИЗКИЙ")))</f>
        <v/>
      </c>
      <c r="T100" s="43" t="n"/>
      <c r="U100" s="40">
        <f>IF(T100&gt;0,T100*D100,"")</f>
        <v/>
      </c>
      <c r="V100" s="40">
        <f>IF(T100&gt;0,T100*Q100,"")</f>
        <v/>
      </c>
      <c r="W100" s="41">
        <f>IF(U100&gt;0,V100/U100,"")</f>
        <v/>
      </c>
      <c r="X100" s="40">
        <f>IF(F100&lt;&gt;"",F100,"")</f>
        <v/>
      </c>
      <c r="Y100" s="41">
        <f>IF(AND(X100&lt;&gt;"",C100&gt;0),(X100-C100)/C100,"")</f>
        <v/>
      </c>
      <c r="Z100" s="41">
        <f>IF(AND(X100&lt;&gt;"",X100&gt;0),(X100-C100)/X100,"")</f>
        <v/>
      </c>
      <c r="AA100" s="40">
        <f>IF(AND(X100&lt;&gt;"",C100&gt;0),X100-C100,"")</f>
        <v/>
      </c>
      <c r="AB100" s="41">
        <f>IF(AND(X100&lt;&gt;"",D100&gt;0),(X100-D100)/D100,"")</f>
        <v/>
      </c>
      <c r="AC100" s="41">
        <f>IF(AND(Z100&lt;&gt;"",P100&lt;&gt;""),(Z100-P100)/ABS(IF(P100=0,1,P100)),"")</f>
        <v/>
      </c>
      <c r="AD100" s="40">
        <f>IF(AND(AA100&lt;&gt;"",Q100&lt;&gt;""),AA100-Q100,"")</f>
        <v/>
      </c>
      <c r="AE100" s="40">
        <f>IF(G100&lt;&gt;"",G100,"")</f>
        <v/>
      </c>
      <c r="AF100" s="41">
        <f>IF(AND(AE100&lt;&gt;"",C100&gt;0),(AE100-C100)/C100,"")</f>
        <v/>
      </c>
      <c r="AG100" s="41">
        <f>IF(AND(AE100&lt;&gt;"",AE100&gt;0),(AE100-C100)/AE100,"")</f>
        <v/>
      </c>
      <c r="AH100" s="40">
        <f>IF(AND(AE100&lt;&gt;"",C100&gt;0),AE100-C100,"")</f>
        <v/>
      </c>
      <c r="AI100" s="41">
        <f>IF(AND(AE100&lt;&gt;"",D100&gt;0),(AE100-D100)/D100,"")</f>
        <v/>
      </c>
      <c r="AJ100" s="41">
        <f>IF(AND(AG100&lt;&gt;"",P100&lt;&gt;""),(AG100-P100)/ABS(IF(P100=0,1,P100)),"")</f>
        <v/>
      </c>
      <c r="AK100" s="40">
        <f>IF(AND(AH100&lt;&gt;"",Q100&lt;&gt;""),AH100-Q100,"")</f>
        <v/>
      </c>
      <c r="AL100" s="40">
        <f>IF(H100&lt;&gt;"",H100,"")</f>
        <v/>
      </c>
      <c r="AM100" s="41">
        <f>IF(AND(AL100&lt;&gt;"",C100&gt;0),(AL100-C100)/C100,"")</f>
        <v/>
      </c>
      <c r="AN100" s="41">
        <f>IF(AND(AL100&lt;&gt;"",AL100&gt;0),(AL100-C100)/AL100,"")</f>
        <v/>
      </c>
      <c r="AO100" s="40">
        <f>IF(AND(AL100&lt;&gt;"",C100&gt;0),AL100-C100,"")</f>
        <v/>
      </c>
      <c r="AP100" s="41">
        <f>IF(AND(AL100&lt;&gt;"",D100&gt;0),(AL100-D100)/D100,"")</f>
        <v/>
      </c>
      <c r="AQ100" s="41">
        <f>IF(AND(AN100&lt;&gt;"",P100&lt;&gt;""),(AN100-P100)/ABS(IF(P100=0,1,P100)),"")</f>
        <v/>
      </c>
      <c r="AR100" s="40">
        <f>IF(AND(AO100&lt;&gt;"",Q100&lt;&gt;""),AO100-Q100,"")</f>
        <v/>
      </c>
      <c r="AS100" s="44" t="n"/>
      <c r="AT100" s="41">
        <f>IF(AND(AS100&gt;0,C100&gt;0),(AS100-C100)/C100,"")</f>
        <v/>
      </c>
      <c r="AU100" s="41">
        <f>IF(AND(AS100&gt;0,AS100&gt;0),(AS100-C100)/AS100,"")</f>
        <v/>
      </c>
      <c r="AV100" s="40">
        <f>IF(AND(AS100&gt;0,C100&gt;0),AS100-C100,"")</f>
        <v/>
      </c>
      <c r="AW100" s="41">
        <f>IF(AND(AS100&gt;0,D100&gt;0),(AS100-D100)/D100,"")</f>
        <v/>
      </c>
      <c r="AX100" s="41">
        <f>IF(AND(AU100&lt;&gt;"",P100&lt;&gt;""),(AU100-P100)/ABS(IF(P100=0,1,P100)),"")</f>
        <v/>
      </c>
      <c r="AY100" s="40">
        <f>IF(AND(AV100&lt;&gt;"",Q100&lt;&gt;""),AV100-Q100,"")</f>
        <v/>
      </c>
      <c r="AZ100" s="45" t="n"/>
      <c r="BA100" s="40">
        <f>IF(AND(AZ100&gt;0,C100&gt;0),C100/(1-AZ100),"")</f>
        <v/>
      </c>
      <c r="BB100" s="41">
        <f>IF(AND(BA100&lt;&gt;"",C100&gt;0),(BA100-C100)/C100,"")</f>
        <v/>
      </c>
      <c r="BC100" s="41">
        <f>IF(BA100&lt;&gt;"",AZ100,"")</f>
        <v/>
      </c>
      <c r="BD100" s="40">
        <f>IF(AND(BA100&lt;&gt;"",C100&gt;0),BA100-C100,"")</f>
        <v/>
      </c>
      <c r="BE100" s="41">
        <f>IF(AND(BA100&lt;&gt;"",D100&gt;0),(BA100-D100)/D100,"")</f>
        <v/>
      </c>
      <c r="BF100" s="41">
        <f>IF(AND(BC100&lt;&gt;"",P100&lt;&gt;""),(BC100-P100)/ABS(IF(P100=0,1,P100)),"")</f>
        <v/>
      </c>
      <c r="BG100" s="40">
        <f>IF(AND(BD100&lt;&gt;"",Q100&lt;&gt;""),BD100-Q100,"")</f>
        <v/>
      </c>
      <c r="BH100" s="40">
        <f>IF(AND(T100&gt;0,X100&lt;&gt;""),T100*X100,"")</f>
        <v/>
      </c>
      <c r="BI100" s="40">
        <f>IF(AND(T100&gt;0,AA100&lt;&gt;""),T100*AA100,"")</f>
        <v/>
      </c>
      <c r="BJ100" s="40">
        <f>IF(AND(T100&gt;0,AE100&lt;&gt;""),T100*AE100,"")</f>
        <v/>
      </c>
      <c r="BK100" s="40">
        <f>IF(AND(T100&gt;0,AH100&lt;&gt;""),T100*AH100,"")</f>
        <v/>
      </c>
      <c r="BL100" s="40">
        <f>IF(AND(T100&gt;0,AL100&lt;&gt;""),T100*AL100,"")</f>
        <v/>
      </c>
      <c r="BM100" s="40">
        <f>IF(AND(T100&gt;0,AO100&lt;&gt;""),T100*AO100,"")</f>
        <v/>
      </c>
      <c r="BN100" s="40">
        <f>IF(AND(T100&gt;0,AS100&gt;0),T100*AS100,"")</f>
        <v/>
      </c>
      <c r="BO100" s="40">
        <f>IF(AND(T100&gt;0,AV100&lt;&gt;""),T100*AV100,"")</f>
        <v/>
      </c>
      <c r="BP100" s="40">
        <f>IF(AND(T100&gt;0,BA100&lt;&gt;""),T100*BA100,"")</f>
        <v/>
      </c>
      <c r="BQ100" s="40">
        <f>IF(AND(T100&gt;0,BD100&lt;&gt;""),T100*BD100,"")</f>
        <v/>
      </c>
      <c r="BR100" s="46">
        <f>IF(AND(T100&gt;0,V100&gt;0,AA100&lt;&gt;0),V100/AA100-T100,"")</f>
        <v/>
      </c>
      <c r="BS100" s="41">
        <f>IF(AND(BR100&lt;&gt;"",T100&gt;0),BR100/T100,"")</f>
        <v/>
      </c>
      <c r="BT100" s="46">
        <f>IF(AND(T100&gt;0,V100&gt;0,AO100&lt;&gt;0),V100/AO100-T100,"")</f>
        <v/>
      </c>
      <c r="BU100" s="41">
        <f>IF(AND(BT100&lt;&gt;"",T100&gt;0),BT100/T100,"")</f>
        <v/>
      </c>
    </row>
    <row r="101">
      <c r="A101" s="36">
        <f>'📊 Исходные данные'!A100</f>
        <v/>
      </c>
      <c r="B101" s="37">
        <f>'📊 Исходные данные'!B100</f>
        <v/>
      </c>
      <c r="C101" s="38">
        <f>'📊 Исходные данные'!C100</f>
        <v/>
      </c>
      <c r="D101" s="38">
        <f>'📊 Исходные данные'!D100</f>
        <v/>
      </c>
      <c r="E101" s="39">
        <f>IF(OR(D101="",F101=""),"-",IF(D101&gt;F101*1.05,"Выше рынка",IF(D101&lt;F101*0.95,"Ниже рынка","На уровне")))</f>
        <v/>
      </c>
      <c r="F101" s="40">
        <f>IFERROR(AVERAGE('📊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G101" s="40">
        <f>IFERROR(MEDIAN('📊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H101" s="40">
        <f>IFERROR(MIN('📊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I101" s="40">
        <f>IFERROR(MAX('📊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данные'!K100),"")</f>
        <v/>
      </c>
      <c r="J101" s="41">
        <f>IF(AND(D101&lt;&gt;"",F101&lt;&gt;""),(D101-F101)/F101,"")</f>
        <v/>
      </c>
      <c r="K101" s="41">
        <f>IF(AND(D101&lt;&gt;"",G101&lt;&gt;""),(D101-G101)/G101,"")</f>
        <v/>
      </c>
      <c r="L101" s="41">
        <f>IF(AND(D101&lt;&gt;"",H101&lt;&gt;""),(D101-H101)/H101,"")</f>
        <v/>
      </c>
      <c r="M101" s="42">
        <f>IFERROR(RANK(D101,('📊 Исходные данные'!E100,'📊 Исходные данные'!F100,'📊 Исходные данные'!G100,'📊 Исходные данные'!H100,'📊 Исходные данные'!I100,'📊 Исходные данные'!J100,'📊 Исходные данные'!K100)),"")</f>
        <v/>
      </c>
      <c r="N101" s="39">
        <f>IF(M101="","-",IF(M101=1,"Дороже всех",IF(M101=2,"2-й по цене",IF(M101&lt;=4,"Средний","Ниже конкурентов"))))</f>
        <v/>
      </c>
      <c r="O101" s="41">
        <f>IF(AND(C101&gt;0,D101&gt;0),(D101-C101)/C101,"")</f>
        <v/>
      </c>
      <c r="P101" s="41">
        <f>IF(AND(C101&gt;0,D101&gt;0),(D101-C101)/D101,"")</f>
        <v/>
      </c>
      <c r="Q101" s="40">
        <f>IF(AND(C101&gt;0,D101&gt;0),D101-C101,"")</f>
        <v/>
      </c>
      <c r="R101" s="39">
        <f>IF(P101="","-",IF(P101&lt;0.1,"Низкая(&lt;10%)",IF(P101&lt;0.2,"Средняя(10-20%)","Хорошая(&gt;20%)")))</f>
        <v/>
      </c>
      <c r="S101" s="39">
        <f>IF(OR(H101="",C101=""),"-",IF((H101-C101)/H101&lt;0.05,"КРИТИЧНО",IF((H101-C101)/H101&lt;0.15,"УМЕРЕННЫЙ","НИЗКИЙ")))</f>
        <v/>
      </c>
      <c r="T101" s="43" t="n"/>
      <c r="U101" s="40">
        <f>IF(T101&gt;0,T101*D101,"")</f>
        <v/>
      </c>
      <c r="V101" s="40">
        <f>IF(T101&gt;0,T101*Q101,"")</f>
        <v/>
      </c>
      <c r="W101" s="41">
        <f>IF(U101&gt;0,V101/U101,"")</f>
        <v/>
      </c>
      <c r="X101" s="40">
        <f>IF(F101&lt;&gt;"",F101,"")</f>
        <v/>
      </c>
      <c r="Y101" s="41">
        <f>IF(AND(X101&lt;&gt;"",C101&gt;0),(X101-C101)/C101,"")</f>
        <v/>
      </c>
      <c r="Z101" s="41">
        <f>IF(AND(X101&lt;&gt;"",X101&gt;0),(X101-C101)/X101,"")</f>
        <v/>
      </c>
      <c r="AA101" s="40">
        <f>IF(AND(X101&lt;&gt;"",C101&gt;0),X101-C101,"")</f>
        <v/>
      </c>
      <c r="AB101" s="41">
        <f>IF(AND(X101&lt;&gt;"",D101&gt;0),(X101-D101)/D101,"")</f>
        <v/>
      </c>
      <c r="AC101" s="41">
        <f>IF(AND(Z101&lt;&gt;"",P101&lt;&gt;""),(Z101-P101)/ABS(IF(P101=0,1,P101)),"")</f>
        <v/>
      </c>
      <c r="AD101" s="40">
        <f>IF(AND(AA101&lt;&gt;"",Q101&lt;&gt;""),AA101-Q101,"")</f>
        <v/>
      </c>
      <c r="AE101" s="40">
        <f>IF(G101&lt;&gt;"",G101,"")</f>
        <v/>
      </c>
      <c r="AF101" s="41">
        <f>IF(AND(AE101&lt;&gt;"",C101&gt;0),(AE101-C101)/C101,"")</f>
        <v/>
      </c>
      <c r="AG101" s="41">
        <f>IF(AND(AE101&lt;&gt;"",AE101&gt;0),(AE101-C101)/AE101,"")</f>
        <v/>
      </c>
      <c r="AH101" s="40">
        <f>IF(AND(AE101&lt;&gt;"",C101&gt;0),AE101-C101,"")</f>
        <v/>
      </c>
      <c r="AI101" s="41">
        <f>IF(AND(AE101&lt;&gt;"",D101&gt;0),(AE101-D101)/D101,"")</f>
        <v/>
      </c>
      <c r="AJ101" s="41">
        <f>IF(AND(AG101&lt;&gt;"",P101&lt;&gt;""),(AG101-P101)/ABS(IF(P101=0,1,P101)),"")</f>
        <v/>
      </c>
      <c r="AK101" s="40">
        <f>IF(AND(AH101&lt;&gt;"",Q101&lt;&gt;""),AH101-Q101,"")</f>
        <v/>
      </c>
      <c r="AL101" s="40">
        <f>IF(H101&lt;&gt;"",H101,"")</f>
        <v/>
      </c>
      <c r="AM101" s="41">
        <f>IF(AND(AL101&lt;&gt;"",C101&gt;0),(AL101-C101)/C101,"")</f>
        <v/>
      </c>
      <c r="AN101" s="41">
        <f>IF(AND(AL101&lt;&gt;"",AL101&gt;0),(AL101-C101)/AL101,"")</f>
        <v/>
      </c>
      <c r="AO101" s="40">
        <f>IF(AND(AL101&lt;&gt;"",C101&gt;0),AL101-C101,"")</f>
        <v/>
      </c>
      <c r="AP101" s="41">
        <f>IF(AND(AL101&lt;&gt;"",D101&gt;0),(AL101-D101)/D101,"")</f>
        <v/>
      </c>
      <c r="AQ101" s="41">
        <f>IF(AND(AN101&lt;&gt;"",P101&lt;&gt;""),(AN101-P101)/ABS(IF(P101=0,1,P101)),"")</f>
        <v/>
      </c>
      <c r="AR101" s="40">
        <f>IF(AND(AO101&lt;&gt;"",Q101&lt;&gt;""),AO101-Q101,"")</f>
        <v/>
      </c>
      <c r="AS101" s="44" t="n"/>
      <c r="AT101" s="41">
        <f>IF(AND(AS101&gt;0,C101&gt;0),(AS101-C101)/C101,"")</f>
        <v/>
      </c>
      <c r="AU101" s="41">
        <f>IF(AND(AS101&gt;0,AS101&gt;0),(AS101-C101)/AS101,"")</f>
        <v/>
      </c>
      <c r="AV101" s="40">
        <f>IF(AND(AS101&gt;0,C101&gt;0),AS101-C101,"")</f>
        <v/>
      </c>
      <c r="AW101" s="41">
        <f>IF(AND(AS101&gt;0,D101&gt;0),(AS101-D101)/D101,"")</f>
        <v/>
      </c>
      <c r="AX101" s="41">
        <f>IF(AND(AU101&lt;&gt;"",P101&lt;&gt;""),(AU101-P101)/ABS(IF(P101=0,1,P101)),"")</f>
        <v/>
      </c>
      <c r="AY101" s="40">
        <f>IF(AND(AV101&lt;&gt;"",Q101&lt;&gt;""),AV101-Q101,"")</f>
        <v/>
      </c>
      <c r="AZ101" s="45" t="n"/>
      <c r="BA101" s="40">
        <f>IF(AND(AZ101&gt;0,C101&gt;0),C101/(1-AZ101),"")</f>
        <v/>
      </c>
      <c r="BB101" s="41">
        <f>IF(AND(BA101&lt;&gt;"",C101&gt;0),(BA101-C101)/C101,"")</f>
        <v/>
      </c>
      <c r="BC101" s="41">
        <f>IF(BA101&lt;&gt;"",AZ101,"")</f>
        <v/>
      </c>
      <c r="BD101" s="40">
        <f>IF(AND(BA101&lt;&gt;"",C101&gt;0),BA101-C101,"")</f>
        <v/>
      </c>
      <c r="BE101" s="41">
        <f>IF(AND(BA101&lt;&gt;"",D101&gt;0),(BA101-D101)/D101,"")</f>
        <v/>
      </c>
      <c r="BF101" s="41">
        <f>IF(AND(BC101&lt;&gt;"",P101&lt;&gt;""),(BC101-P101)/ABS(IF(P101=0,1,P101)),"")</f>
        <v/>
      </c>
      <c r="BG101" s="40">
        <f>IF(AND(BD101&lt;&gt;"",Q101&lt;&gt;""),BD101-Q101,"")</f>
        <v/>
      </c>
      <c r="BH101" s="40">
        <f>IF(AND(T101&gt;0,X101&lt;&gt;""),T101*X101,"")</f>
        <v/>
      </c>
      <c r="BI101" s="40">
        <f>IF(AND(T101&gt;0,AA101&lt;&gt;""),T101*AA101,"")</f>
        <v/>
      </c>
      <c r="BJ101" s="40">
        <f>IF(AND(T101&gt;0,AE101&lt;&gt;""),T101*AE101,"")</f>
        <v/>
      </c>
      <c r="BK101" s="40">
        <f>IF(AND(T101&gt;0,AH101&lt;&gt;""),T101*AH101,"")</f>
        <v/>
      </c>
      <c r="BL101" s="40">
        <f>IF(AND(T101&gt;0,AL101&lt;&gt;""),T101*AL101,"")</f>
        <v/>
      </c>
      <c r="BM101" s="40">
        <f>IF(AND(T101&gt;0,AO101&lt;&gt;""),T101*AO101,"")</f>
        <v/>
      </c>
      <c r="BN101" s="40">
        <f>IF(AND(T101&gt;0,AS101&gt;0),T101*AS101,"")</f>
        <v/>
      </c>
      <c r="BO101" s="40">
        <f>IF(AND(T101&gt;0,AV101&lt;&gt;""),T101*AV101,"")</f>
        <v/>
      </c>
      <c r="BP101" s="40">
        <f>IF(AND(T101&gt;0,BA101&lt;&gt;""),T101*BA101,"")</f>
        <v/>
      </c>
      <c r="BQ101" s="40">
        <f>IF(AND(T101&gt;0,BD101&lt;&gt;""),T101*BD101,"")</f>
        <v/>
      </c>
      <c r="BR101" s="46">
        <f>IF(AND(T101&gt;0,V101&gt;0,AA101&lt;&gt;0),V101/AA101-T101,"")</f>
        <v/>
      </c>
      <c r="BS101" s="41">
        <f>IF(AND(BR101&lt;&gt;"",T101&gt;0),BR101/T101,"")</f>
        <v/>
      </c>
      <c r="BT101" s="46">
        <f>IF(AND(T101&gt;0,V101&gt;0,AO101&lt;&gt;0),V101/AO101-T101,"")</f>
        <v/>
      </c>
      <c r="BU101" s="41">
        <f>IF(AND(BT101&lt;&gt;"",T101&gt;0),BT101/T101,"")</f>
        <v/>
      </c>
    </row>
    <row r="102">
      <c r="A102" s="36">
        <f>'📊 Исходные данные'!A101</f>
        <v/>
      </c>
      <c r="B102" s="37">
        <f>'📊 Исходные данные'!B101</f>
        <v/>
      </c>
      <c r="C102" s="38">
        <f>'📊 Исходные данные'!C101</f>
        <v/>
      </c>
      <c r="D102" s="38">
        <f>'📊 Исходные данные'!D101</f>
        <v/>
      </c>
      <c r="E102" s="39">
        <f>IF(OR(D102="",F102=""),"-",IF(D102&gt;F102*1.05,"Выше рынка",IF(D102&lt;F102*0.95,"Ниже рынка","На уровне")))</f>
        <v/>
      </c>
      <c r="F102" s="40">
        <f>IFERROR(AVERAGE('📊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G102" s="40">
        <f>IFERROR(MEDIAN('📊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H102" s="40">
        <f>IFERROR(MIN('📊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I102" s="40">
        <f>IFERROR(MAX('📊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данные'!K101),"")</f>
        <v/>
      </c>
      <c r="J102" s="41">
        <f>IF(AND(D102&lt;&gt;"",F102&lt;&gt;""),(D102-F102)/F102,"")</f>
        <v/>
      </c>
      <c r="K102" s="41">
        <f>IF(AND(D102&lt;&gt;"",G102&lt;&gt;""),(D102-G102)/G102,"")</f>
        <v/>
      </c>
      <c r="L102" s="41">
        <f>IF(AND(D102&lt;&gt;"",H102&lt;&gt;""),(D102-H102)/H102,"")</f>
        <v/>
      </c>
      <c r="M102" s="42">
        <f>IFERROR(RANK(D102,('📊 Исходные данные'!E101,'📊 Исходные данные'!F101,'📊 Исходные данные'!G101,'📊 Исходные данные'!H101,'📊 Исходные данные'!I101,'📊 Исходные данные'!J101,'📊 Исходные данные'!K101)),"")</f>
        <v/>
      </c>
      <c r="N102" s="39">
        <f>IF(M102="","-",IF(M102=1,"Дороже всех",IF(M102=2,"2-й по цене",IF(M102&lt;=4,"Средний","Ниже конкурентов"))))</f>
        <v/>
      </c>
      <c r="O102" s="41">
        <f>IF(AND(C102&gt;0,D102&gt;0),(D102-C102)/C102,"")</f>
        <v/>
      </c>
      <c r="P102" s="41">
        <f>IF(AND(C102&gt;0,D102&gt;0),(D102-C102)/D102,"")</f>
        <v/>
      </c>
      <c r="Q102" s="40">
        <f>IF(AND(C102&gt;0,D102&gt;0),D102-C102,"")</f>
        <v/>
      </c>
      <c r="R102" s="39">
        <f>IF(P102="","-",IF(P102&lt;0.1,"Низкая(&lt;10%)",IF(P102&lt;0.2,"Средняя(10-20%)","Хорошая(&gt;20%)")))</f>
        <v/>
      </c>
      <c r="S102" s="39">
        <f>IF(OR(H102="",C102=""),"-",IF((H102-C102)/H102&lt;0.05,"КРИТИЧНО",IF((H102-C102)/H102&lt;0.15,"УМЕРЕННЫЙ","НИЗКИЙ")))</f>
        <v/>
      </c>
      <c r="T102" s="43" t="n"/>
      <c r="U102" s="40">
        <f>IF(T102&gt;0,T102*D102,"")</f>
        <v/>
      </c>
      <c r="V102" s="40">
        <f>IF(T102&gt;0,T102*Q102,"")</f>
        <v/>
      </c>
      <c r="W102" s="41">
        <f>IF(U102&gt;0,V102/U102,"")</f>
        <v/>
      </c>
      <c r="X102" s="40">
        <f>IF(F102&lt;&gt;"",F102,"")</f>
        <v/>
      </c>
      <c r="Y102" s="41">
        <f>IF(AND(X102&lt;&gt;"",C102&gt;0),(X102-C102)/C102,"")</f>
        <v/>
      </c>
      <c r="Z102" s="41">
        <f>IF(AND(X102&lt;&gt;"",X102&gt;0),(X102-C102)/X102,"")</f>
        <v/>
      </c>
      <c r="AA102" s="40">
        <f>IF(AND(X102&lt;&gt;"",C102&gt;0),X102-C102,"")</f>
        <v/>
      </c>
      <c r="AB102" s="41">
        <f>IF(AND(X102&lt;&gt;"",D102&gt;0),(X102-D102)/D102,"")</f>
        <v/>
      </c>
      <c r="AC102" s="41">
        <f>IF(AND(Z102&lt;&gt;"",P102&lt;&gt;""),(Z102-P102)/ABS(IF(P102=0,1,P102)),"")</f>
        <v/>
      </c>
      <c r="AD102" s="40">
        <f>IF(AND(AA102&lt;&gt;"",Q102&lt;&gt;""),AA102-Q102,"")</f>
        <v/>
      </c>
      <c r="AE102" s="40">
        <f>IF(G102&lt;&gt;"",G102,"")</f>
        <v/>
      </c>
      <c r="AF102" s="41">
        <f>IF(AND(AE102&lt;&gt;"",C102&gt;0),(AE102-C102)/C102,"")</f>
        <v/>
      </c>
      <c r="AG102" s="41">
        <f>IF(AND(AE102&lt;&gt;"",AE102&gt;0),(AE102-C102)/AE102,"")</f>
        <v/>
      </c>
      <c r="AH102" s="40">
        <f>IF(AND(AE102&lt;&gt;"",C102&gt;0),AE102-C102,"")</f>
        <v/>
      </c>
      <c r="AI102" s="41">
        <f>IF(AND(AE102&lt;&gt;"",D102&gt;0),(AE102-D102)/D102,"")</f>
        <v/>
      </c>
      <c r="AJ102" s="41">
        <f>IF(AND(AG102&lt;&gt;"",P102&lt;&gt;""),(AG102-P102)/ABS(IF(P102=0,1,P102)),"")</f>
        <v/>
      </c>
      <c r="AK102" s="40">
        <f>IF(AND(AH102&lt;&gt;"",Q102&lt;&gt;""),AH102-Q102,"")</f>
        <v/>
      </c>
      <c r="AL102" s="40">
        <f>IF(H102&lt;&gt;"",H102,"")</f>
        <v/>
      </c>
      <c r="AM102" s="41">
        <f>IF(AND(AL102&lt;&gt;"",C102&gt;0),(AL102-C102)/C102,"")</f>
        <v/>
      </c>
      <c r="AN102" s="41">
        <f>IF(AND(AL102&lt;&gt;"",AL102&gt;0),(AL102-C102)/AL102,"")</f>
        <v/>
      </c>
      <c r="AO102" s="40">
        <f>IF(AND(AL102&lt;&gt;"",C102&gt;0),AL102-C102,"")</f>
        <v/>
      </c>
      <c r="AP102" s="41">
        <f>IF(AND(AL102&lt;&gt;"",D102&gt;0),(AL102-D102)/D102,"")</f>
        <v/>
      </c>
      <c r="AQ102" s="41">
        <f>IF(AND(AN102&lt;&gt;"",P102&lt;&gt;""),(AN102-P102)/ABS(IF(P102=0,1,P102)),"")</f>
        <v/>
      </c>
      <c r="AR102" s="40">
        <f>IF(AND(AO102&lt;&gt;"",Q102&lt;&gt;""),AO102-Q102,"")</f>
        <v/>
      </c>
      <c r="AS102" s="44" t="n"/>
      <c r="AT102" s="41">
        <f>IF(AND(AS102&gt;0,C102&gt;0),(AS102-C102)/C102,"")</f>
        <v/>
      </c>
      <c r="AU102" s="41">
        <f>IF(AND(AS102&gt;0,AS102&gt;0),(AS102-C102)/AS102,"")</f>
        <v/>
      </c>
      <c r="AV102" s="40">
        <f>IF(AND(AS102&gt;0,C102&gt;0),AS102-C102,"")</f>
        <v/>
      </c>
      <c r="AW102" s="41">
        <f>IF(AND(AS102&gt;0,D102&gt;0),(AS102-D102)/D102,"")</f>
        <v/>
      </c>
      <c r="AX102" s="41">
        <f>IF(AND(AU102&lt;&gt;"",P102&lt;&gt;""),(AU102-P102)/ABS(IF(P102=0,1,P102)),"")</f>
        <v/>
      </c>
      <c r="AY102" s="40">
        <f>IF(AND(AV102&lt;&gt;"",Q102&lt;&gt;""),AV102-Q102,"")</f>
        <v/>
      </c>
      <c r="AZ102" s="45" t="n"/>
      <c r="BA102" s="40">
        <f>IF(AND(AZ102&gt;0,C102&gt;0),C102/(1-AZ102),"")</f>
        <v/>
      </c>
      <c r="BB102" s="41">
        <f>IF(AND(BA102&lt;&gt;"",C102&gt;0),(BA102-C102)/C102,"")</f>
        <v/>
      </c>
      <c r="BC102" s="41">
        <f>IF(BA102&lt;&gt;"",AZ102,"")</f>
        <v/>
      </c>
      <c r="BD102" s="40">
        <f>IF(AND(BA102&lt;&gt;"",C102&gt;0),BA102-C102,"")</f>
        <v/>
      </c>
      <c r="BE102" s="41">
        <f>IF(AND(BA102&lt;&gt;"",D102&gt;0),(BA102-D102)/D102,"")</f>
        <v/>
      </c>
      <c r="BF102" s="41">
        <f>IF(AND(BC102&lt;&gt;"",P102&lt;&gt;""),(BC102-P102)/ABS(IF(P102=0,1,P102)),"")</f>
        <v/>
      </c>
      <c r="BG102" s="40">
        <f>IF(AND(BD102&lt;&gt;"",Q102&lt;&gt;""),BD102-Q102,"")</f>
        <v/>
      </c>
      <c r="BH102" s="40">
        <f>IF(AND(T102&gt;0,X102&lt;&gt;""),T102*X102,"")</f>
        <v/>
      </c>
      <c r="BI102" s="40">
        <f>IF(AND(T102&gt;0,AA102&lt;&gt;""),T102*AA102,"")</f>
        <v/>
      </c>
      <c r="BJ102" s="40">
        <f>IF(AND(T102&gt;0,AE102&lt;&gt;""),T102*AE102,"")</f>
        <v/>
      </c>
      <c r="BK102" s="40">
        <f>IF(AND(T102&gt;0,AH102&lt;&gt;""),T102*AH102,"")</f>
        <v/>
      </c>
      <c r="BL102" s="40">
        <f>IF(AND(T102&gt;0,AL102&lt;&gt;""),T102*AL102,"")</f>
        <v/>
      </c>
      <c r="BM102" s="40">
        <f>IF(AND(T102&gt;0,AO102&lt;&gt;""),T102*AO102,"")</f>
        <v/>
      </c>
      <c r="BN102" s="40">
        <f>IF(AND(T102&gt;0,AS102&gt;0),T102*AS102,"")</f>
        <v/>
      </c>
      <c r="BO102" s="40">
        <f>IF(AND(T102&gt;0,AV102&lt;&gt;""),T102*AV102,"")</f>
        <v/>
      </c>
      <c r="BP102" s="40">
        <f>IF(AND(T102&gt;0,BA102&lt;&gt;""),T102*BA102,"")</f>
        <v/>
      </c>
      <c r="BQ102" s="40">
        <f>IF(AND(T102&gt;0,BD102&lt;&gt;""),T102*BD102,"")</f>
        <v/>
      </c>
      <c r="BR102" s="46">
        <f>IF(AND(T102&gt;0,V102&gt;0,AA102&lt;&gt;0),V102/AA102-T102,"")</f>
        <v/>
      </c>
      <c r="BS102" s="41">
        <f>IF(AND(BR102&lt;&gt;"",T102&gt;0),BR102/T102,"")</f>
        <v/>
      </c>
      <c r="BT102" s="46">
        <f>IF(AND(T102&gt;0,V102&gt;0,AO102&lt;&gt;0),V102/AO102-T102,"")</f>
        <v/>
      </c>
      <c r="BU102" s="41">
        <f>IF(AND(BT102&lt;&gt;"",T102&gt;0),BT102/T102,"")</f>
        <v/>
      </c>
    </row>
    <row r="103">
      <c r="A103" s="36">
        <f>'📊 Исходные данные'!A102</f>
        <v/>
      </c>
      <c r="B103" s="37">
        <f>'📊 Исходные данные'!B102</f>
        <v/>
      </c>
      <c r="C103" s="38">
        <f>'📊 Исходные данные'!C102</f>
        <v/>
      </c>
      <c r="D103" s="38">
        <f>'📊 Исходные данные'!D102</f>
        <v/>
      </c>
      <c r="E103" s="39">
        <f>IF(OR(D103="",F103=""),"-",IF(D103&gt;F103*1.05,"Выше рынка",IF(D103&lt;F103*0.95,"Ниже рынка","На уровне")))</f>
        <v/>
      </c>
      <c r="F103" s="40">
        <f>IFERROR(AVERAGE('📊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G103" s="40">
        <f>IFERROR(MEDIAN('📊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H103" s="40">
        <f>IFERROR(MIN('📊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I103" s="40">
        <f>IFERROR(MAX('📊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данные'!K102),"")</f>
        <v/>
      </c>
      <c r="J103" s="41">
        <f>IF(AND(D103&lt;&gt;"",F103&lt;&gt;""),(D103-F103)/F103,"")</f>
        <v/>
      </c>
      <c r="K103" s="41">
        <f>IF(AND(D103&lt;&gt;"",G103&lt;&gt;""),(D103-G103)/G103,"")</f>
        <v/>
      </c>
      <c r="L103" s="41">
        <f>IF(AND(D103&lt;&gt;"",H103&lt;&gt;""),(D103-H103)/H103,"")</f>
        <v/>
      </c>
      <c r="M103" s="42">
        <f>IFERROR(RANK(D103,('📊 Исходные данные'!E102,'📊 Исходные данные'!F102,'📊 Исходные данные'!G102,'📊 Исходные данные'!H102,'📊 Исходные данные'!I102,'📊 Исходные данные'!J102,'📊 Исходные данные'!K102)),"")</f>
        <v/>
      </c>
      <c r="N103" s="39">
        <f>IF(M103="","-",IF(M103=1,"Дороже всех",IF(M103=2,"2-й по цене",IF(M103&lt;=4,"Средний","Ниже конкурентов"))))</f>
        <v/>
      </c>
      <c r="O103" s="41">
        <f>IF(AND(C103&gt;0,D103&gt;0),(D103-C103)/C103,"")</f>
        <v/>
      </c>
      <c r="P103" s="41">
        <f>IF(AND(C103&gt;0,D103&gt;0),(D103-C103)/D103,"")</f>
        <v/>
      </c>
      <c r="Q103" s="40">
        <f>IF(AND(C103&gt;0,D103&gt;0),D103-C103,"")</f>
        <v/>
      </c>
      <c r="R103" s="39">
        <f>IF(P103="","-",IF(P103&lt;0.1,"Низкая(&lt;10%)",IF(P103&lt;0.2,"Средняя(10-20%)","Хорошая(&gt;20%)")))</f>
        <v/>
      </c>
      <c r="S103" s="39">
        <f>IF(OR(H103="",C103=""),"-",IF((H103-C103)/H103&lt;0.05,"КРИТИЧНО",IF((H103-C103)/H103&lt;0.15,"УМЕРЕННЫЙ","НИЗКИЙ")))</f>
        <v/>
      </c>
      <c r="T103" s="43" t="n"/>
      <c r="U103" s="40">
        <f>IF(T103&gt;0,T103*D103,"")</f>
        <v/>
      </c>
      <c r="V103" s="40">
        <f>IF(T103&gt;0,T103*Q103,"")</f>
        <v/>
      </c>
      <c r="W103" s="41">
        <f>IF(U103&gt;0,V103/U103,"")</f>
        <v/>
      </c>
      <c r="X103" s="40">
        <f>IF(F103&lt;&gt;"",F103,"")</f>
        <v/>
      </c>
      <c r="Y103" s="41">
        <f>IF(AND(X103&lt;&gt;"",C103&gt;0),(X103-C103)/C103,"")</f>
        <v/>
      </c>
      <c r="Z103" s="41">
        <f>IF(AND(X103&lt;&gt;"",X103&gt;0),(X103-C103)/X103,"")</f>
        <v/>
      </c>
      <c r="AA103" s="40">
        <f>IF(AND(X103&lt;&gt;"",C103&gt;0),X103-C103,"")</f>
        <v/>
      </c>
      <c r="AB103" s="41">
        <f>IF(AND(X103&lt;&gt;"",D103&gt;0),(X103-D103)/D103,"")</f>
        <v/>
      </c>
      <c r="AC103" s="41">
        <f>IF(AND(Z103&lt;&gt;"",P103&lt;&gt;""),(Z103-P103)/ABS(IF(P103=0,1,P103)),"")</f>
        <v/>
      </c>
      <c r="AD103" s="40">
        <f>IF(AND(AA103&lt;&gt;"",Q103&lt;&gt;""),AA103-Q103,"")</f>
        <v/>
      </c>
      <c r="AE103" s="40">
        <f>IF(G103&lt;&gt;"",G103,"")</f>
        <v/>
      </c>
      <c r="AF103" s="41">
        <f>IF(AND(AE103&lt;&gt;"",C103&gt;0),(AE103-C103)/C103,"")</f>
        <v/>
      </c>
      <c r="AG103" s="41">
        <f>IF(AND(AE103&lt;&gt;"",AE103&gt;0),(AE103-C103)/AE103,"")</f>
        <v/>
      </c>
      <c r="AH103" s="40">
        <f>IF(AND(AE103&lt;&gt;"",C103&gt;0),AE103-C103,"")</f>
        <v/>
      </c>
      <c r="AI103" s="41">
        <f>IF(AND(AE103&lt;&gt;"",D103&gt;0),(AE103-D103)/D103,"")</f>
        <v/>
      </c>
      <c r="AJ103" s="41">
        <f>IF(AND(AG103&lt;&gt;"",P103&lt;&gt;""),(AG103-P103)/ABS(IF(P103=0,1,P103)),"")</f>
        <v/>
      </c>
      <c r="AK103" s="40">
        <f>IF(AND(AH103&lt;&gt;"",Q103&lt;&gt;""),AH103-Q103,"")</f>
        <v/>
      </c>
      <c r="AL103" s="40">
        <f>IF(H103&lt;&gt;"",H103,"")</f>
        <v/>
      </c>
      <c r="AM103" s="41">
        <f>IF(AND(AL103&lt;&gt;"",C103&gt;0),(AL103-C103)/C103,"")</f>
        <v/>
      </c>
      <c r="AN103" s="41">
        <f>IF(AND(AL103&lt;&gt;"",AL103&gt;0),(AL103-C103)/AL103,"")</f>
        <v/>
      </c>
      <c r="AO103" s="40">
        <f>IF(AND(AL103&lt;&gt;"",C103&gt;0),AL103-C103,"")</f>
        <v/>
      </c>
      <c r="AP103" s="41">
        <f>IF(AND(AL103&lt;&gt;"",D103&gt;0),(AL103-D103)/D103,"")</f>
        <v/>
      </c>
      <c r="AQ103" s="41">
        <f>IF(AND(AN103&lt;&gt;"",P103&lt;&gt;""),(AN103-P103)/ABS(IF(P103=0,1,P103)),"")</f>
        <v/>
      </c>
      <c r="AR103" s="40">
        <f>IF(AND(AO103&lt;&gt;"",Q103&lt;&gt;""),AO103-Q103,"")</f>
        <v/>
      </c>
      <c r="AS103" s="44" t="n"/>
      <c r="AT103" s="41">
        <f>IF(AND(AS103&gt;0,C103&gt;0),(AS103-C103)/C103,"")</f>
        <v/>
      </c>
      <c r="AU103" s="41">
        <f>IF(AND(AS103&gt;0,AS103&gt;0),(AS103-C103)/AS103,"")</f>
        <v/>
      </c>
      <c r="AV103" s="40">
        <f>IF(AND(AS103&gt;0,C103&gt;0),AS103-C103,"")</f>
        <v/>
      </c>
      <c r="AW103" s="41">
        <f>IF(AND(AS103&gt;0,D103&gt;0),(AS103-D103)/D103,"")</f>
        <v/>
      </c>
      <c r="AX103" s="41">
        <f>IF(AND(AU103&lt;&gt;"",P103&lt;&gt;""),(AU103-P103)/ABS(IF(P103=0,1,P103)),"")</f>
        <v/>
      </c>
      <c r="AY103" s="40">
        <f>IF(AND(AV103&lt;&gt;"",Q103&lt;&gt;""),AV103-Q103,"")</f>
        <v/>
      </c>
      <c r="AZ103" s="45" t="n"/>
      <c r="BA103" s="40">
        <f>IF(AND(AZ103&gt;0,C103&gt;0),C103/(1-AZ103),"")</f>
        <v/>
      </c>
      <c r="BB103" s="41">
        <f>IF(AND(BA103&lt;&gt;"",C103&gt;0),(BA103-C103)/C103,"")</f>
        <v/>
      </c>
      <c r="BC103" s="41">
        <f>IF(BA103&lt;&gt;"",AZ103,"")</f>
        <v/>
      </c>
      <c r="BD103" s="40">
        <f>IF(AND(BA103&lt;&gt;"",C103&gt;0),BA103-C103,"")</f>
        <v/>
      </c>
      <c r="BE103" s="41">
        <f>IF(AND(BA103&lt;&gt;"",D103&gt;0),(BA103-D103)/D103,"")</f>
        <v/>
      </c>
      <c r="BF103" s="41">
        <f>IF(AND(BC103&lt;&gt;"",P103&lt;&gt;""),(BC103-P103)/ABS(IF(P103=0,1,P103)),"")</f>
        <v/>
      </c>
      <c r="BG103" s="40">
        <f>IF(AND(BD103&lt;&gt;"",Q103&lt;&gt;""),BD103-Q103,"")</f>
        <v/>
      </c>
      <c r="BH103" s="40">
        <f>IF(AND(T103&gt;0,X103&lt;&gt;""),T103*X103,"")</f>
        <v/>
      </c>
      <c r="BI103" s="40">
        <f>IF(AND(T103&gt;0,AA103&lt;&gt;""),T103*AA103,"")</f>
        <v/>
      </c>
      <c r="BJ103" s="40">
        <f>IF(AND(T103&gt;0,AE103&lt;&gt;""),T103*AE103,"")</f>
        <v/>
      </c>
      <c r="BK103" s="40">
        <f>IF(AND(T103&gt;0,AH103&lt;&gt;""),T103*AH103,"")</f>
        <v/>
      </c>
      <c r="BL103" s="40">
        <f>IF(AND(T103&gt;0,AL103&lt;&gt;""),T103*AL103,"")</f>
        <v/>
      </c>
      <c r="BM103" s="40">
        <f>IF(AND(T103&gt;0,AO103&lt;&gt;""),T103*AO103,"")</f>
        <v/>
      </c>
      <c r="BN103" s="40">
        <f>IF(AND(T103&gt;0,AS103&gt;0),T103*AS103,"")</f>
        <v/>
      </c>
      <c r="BO103" s="40">
        <f>IF(AND(T103&gt;0,AV103&lt;&gt;""),T103*AV103,"")</f>
        <v/>
      </c>
      <c r="BP103" s="40">
        <f>IF(AND(T103&gt;0,BA103&lt;&gt;""),T103*BA103,"")</f>
        <v/>
      </c>
      <c r="BQ103" s="40">
        <f>IF(AND(T103&gt;0,BD103&lt;&gt;""),T103*BD103,"")</f>
        <v/>
      </c>
      <c r="BR103" s="46">
        <f>IF(AND(T103&gt;0,V103&gt;0,AA103&lt;&gt;0),V103/AA103-T103,"")</f>
        <v/>
      </c>
      <c r="BS103" s="41">
        <f>IF(AND(BR103&lt;&gt;"",T103&gt;0),BR103/T103,"")</f>
        <v/>
      </c>
      <c r="BT103" s="46">
        <f>IF(AND(T103&gt;0,V103&gt;0,AO103&lt;&gt;0),V103/AO103-T103,"")</f>
        <v/>
      </c>
      <c r="BU103" s="41">
        <f>IF(AND(BT103&lt;&gt;"",T103&gt;0),BT103/T103,"")</f>
        <v/>
      </c>
    </row>
    <row r="104">
      <c r="A104" s="36">
        <f>'📊 Исходные данные'!A103</f>
        <v/>
      </c>
      <c r="B104" s="37">
        <f>'📊 Исходные данные'!B103</f>
        <v/>
      </c>
      <c r="C104" s="38">
        <f>'📊 Исходные данные'!C103</f>
        <v/>
      </c>
      <c r="D104" s="38">
        <f>'📊 Исходные данные'!D103</f>
        <v/>
      </c>
      <c r="E104" s="39">
        <f>IF(OR(D104="",F104=""),"-",IF(D104&gt;F104*1.05,"Выше рынка",IF(D104&lt;F104*0.95,"Ниже рынка","На уровне")))</f>
        <v/>
      </c>
      <c r="F104" s="40">
        <f>IFERROR(AVERAGE('📊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G104" s="40">
        <f>IFERROR(MEDIAN('📊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H104" s="40">
        <f>IFERROR(MIN('📊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I104" s="40">
        <f>IFERROR(MAX('📊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данные'!K103),"")</f>
        <v/>
      </c>
      <c r="J104" s="41">
        <f>IF(AND(D104&lt;&gt;"",F104&lt;&gt;""),(D104-F104)/F104,"")</f>
        <v/>
      </c>
      <c r="K104" s="41">
        <f>IF(AND(D104&lt;&gt;"",G104&lt;&gt;""),(D104-G104)/G104,"")</f>
        <v/>
      </c>
      <c r="L104" s="41">
        <f>IF(AND(D104&lt;&gt;"",H104&lt;&gt;""),(D104-H104)/H104,"")</f>
        <v/>
      </c>
      <c r="M104" s="42">
        <f>IFERROR(RANK(D104,('📊 Исходные данные'!E103,'📊 Исходные данные'!F103,'📊 Исходные данные'!G103,'📊 Исходные данные'!H103,'📊 Исходные данные'!I103,'📊 Исходные данные'!J103,'📊 Исходные данные'!K103)),"")</f>
        <v/>
      </c>
      <c r="N104" s="39">
        <f>IF(M104="","-",IF(M104=1,"Дороже всех",IF(M104=2,"2-й по цене",IF(M104&lt;=4,"Средний","Ниже конкурентов"))))</f>
        <v/>
      </c>
      <c r="O104" s="41">
        <f>IF(AND(C104&gt;0,D104&gt;0),(D104-C104)/C104,"")</f>
        <v/>
      </c>
      <c r="P104" s="41">
        <f>IF(AND(C104&gt;0,D104&gt;0),(D104-C104)/D104,"")</f>
        <v/>
      </c>
      <c r="Q104" s="40">
        <f>IF(AND(C104&gt;0,D104&gt;0),D104-C104,"")</f>
        <v/>
      </c>
      <c r="R104" s="39">
        <f>IF(P104="","-",IF(P104&lt;0.1,"Низкая(&lt;10%)",IF(P104&lt;0.2,"Средняя(10-20%)","Хорошая(&gt;20%)")))</f>
        <v/>
      </c>
      <c r="S104" s="39">
        <f>IF(OR(H104="",C104=""),"-",IF((H104-C104)/H104&lt;0.05,"КРИТИЧНО",IF((H104-C104)/H104&lt;0.15,"УМЕРЕННЫЙ","НИЗКИЙ")))</f>
        <v/>
      </c>
      <c r="T104" s="43" t="n"/>
      <c r="U104" s="40">
        <f>IF(T104&gt;0,T104*D104,"")</f>
        <v/>
      </c>
      <c r="V104" s="40">
        <f>IF(T104&gt;0,T104*Q104,"")</f>
        <v/>
      </c>
      <c r="W104" s="41">
        <f>IF(U104&gt;0,V104/U104,"")</f>
        <v/>
      </c>
      <c r="X104" s="40">
        <f>IF(F104&lt;&gt;"",F104,"")</f>
        <v/>
      </c>
      <c r="Y104" s="41">
        <f>IF(AND(X104&lt;&gt;"",C104&gt;0),(X104-C104)/C104,"")</f>
        <v/>
      </c>
      <c r="Z104" s="41">
        <f>IF(AND(X104&lt;&gt;"",X104&gt;0),(X104-C104)/X104,"")</f>
        <v/>
      </c>
      <c r="AA104" s="40">
        <f>IF(AND(X104&lt;&gt;"",C104&gt;0),X104-C104,"")</f>
        <v/>
      </c>
      <c r="AB104" s="41">
        <f>IF(AND(X104&lt;&gt;"",D104&gt;0),(X104-D104)/D104,"")</f>
        <v/>
      </c>
      <c r="AC104" s="41">
        <f>IF(AND(Z104&lt;&gt;"",P104&lt;&gt;""),(Z104-P104)/ABS(IF(P104=0,1,P104)),"")</f>
        <v/>
      </c>
      <c r="AD104" s="40">
        <f>IF(AND(AA104&lt;&gt;"",Q104&lt;&gt;""),AA104-Q104,"")</f>
        <v/>
      </c>
      <c r="AE104" s="40">
        <f>IF(G104&lt;&gt;"",G104,"")</f>
        <v/>
      </c>
      <c r="AF104" s="41">
        <f>IF(AND(AE104&lt;&gt;"",C104&gt;0),(AE104-C104)/C104,"")</f>
        <v/>
      </c>
      <c r="AG104" s="41">
        <f>IF(AND(AE104&lt;&gt;"",AE104&gt;0),(AE104-C104)/AE104,"")</f>
        <v/>
      </c>
      <c r="AH104" s="40">
        <f>IF(AND(AE104&lt;&gt;"",C104&gt;0),AE104-C104,"")</f>
        <v/>
      </c>
      <c r="AI104" s="41">
        <f>IF(AND(AE104&lt;&gt;"",D104&gt;0),(AE104-D104)/D104,"")</f>
        <v/>
      </c>
      <c r="AJ104" s="41">
        <f>IF(AND(AG104&lt;&gt;"",P104&lt;&gt;""),(AG104-P104)/ABS(IF(P104=0,1,P104)),"")</f>
        <v/>
      </c>
      <c r="AK104" s="40">
        <f>IF(AND(AH104&lt;&gt;"",Q104&lt;&gt;""),AH104-Q104,"")</f>
        <v/>
      </c>
      <c r="AL104" s="40">
        <f>IF(H104&lt;&gt;"",H104,"")</f>
        <v/>
      </c>
      <c r="AM104" s="41">
        <f>IF(AND(AL104&lt;&gt;"",C104&gt;0),(AL104-C104)/C104,"")</f>
        <v/>
      </c>
      <c r="AN104" s="41">
        <f>IF(AND(AL104&lt;&gt;"",AL104&gt;0),(AL104-C104)/AL104,"")</f>
        <v/>
      </c>
      <c r="AO104" s="40">
        <f>IF(AND(AL104&lt;&gt;"",C104&gt;0),AL104-C104,"")</f>
        <v/>
      </c>
      <c r="AP104" s="41">
        <f>IF(AND(AL104&lt;&gt;"",D104&gt;0),(AL104-D104)/D104,"")</f>
        <v/>
      </c>
      <c r="AQ104" s="41">
        <f>IF(AND(AN104&lt;&gt;"",P104&lt;&gt;""),(AN104-P104)/ABS(IF(P104=0,1,P104)),"")</f>
        <v/>
      </c>
      <c r="AR104" s="40">
        <f>IF(AND(AO104&lt;&gt;"",Q104&lt;&gt;""),AO104-Q104,"")</f>
        <v/>
      </c>
      <c r="AS104" s="44" t="n"/>
      <c r="AT104" s="41">
        <f>IF(AND(AS104&gt;0,C104&gt;0),(AS104-C104)/C104,"")</f>
        <v/>
      </c>
      <c r="AU104" s="41">
        <f>IF(AND(AS104&gt;0,AS104&gt;0),(AS104-C104)/AS104,"")</f>
        <v/>
      </c>
      <c r="AV104" s="40">
        <f>IF(AND(AS104&gt;0,C104&gt;0),AS104-C104,"")</f>
        <v/>
      </c>
      <c r="AW104" s="41">
        <f>IF(AND(AS104&gt;0,D104&gt;0),(AS104-D104)/D104,"")</f>
        <v/>
      </c>
      <c r="AX104" s="41">
        <f>IF(AND(AU104&lt;&gt;"",P104&lt;&gt;""),(AU104-P104)/ABS(IF(P104=0,1,P104)),"")</f>
        <v/>
      </c>
      <c r="AY104" s="40">
        <f>IF(AND(AV104&lt;&gt;"",Q104&lt;&gt;""),AV104-Q104,"")</f>
        <v/>
      </c>
      <c r="AZ104" s="45" t="n"/>
      <c r="BA104" s="40">
        <f>IF(AND(AZ104&gt;0,C104&gt;0),C104/(1-AZ104),"")</f>
        <v/>
      </c>
      <c r="BB104" s="41">
        <f>IF(AND(BA104&lt;&gt;"",C104&gt;0),(BA104-C104)/C104,"")</f>
        <v/>
      </c>
      <c r="BC104" s="41">
        <f>IF(BA104&lt;&gt;"",AZ104,"")</f>
        <v/>
      </c>
      <c r="BD104" s="40">
        <f>IF(AND(BA104&lt;&gt;"",C104&gt;0),BA104-C104,"")</f>
        <v/>
      </c>
      <c r="BE104" s="41">
        <f>IF(AND(BA104&lt;&gt;"",D104&gt;0),(BA104-D104)/D104,"")</f>
        <v/>
      </c>
      <c r="BF104" s="41">
        <f>IF(AND(BC104&lt;&gt;"",P104&lt;&gt;""),(BC104-P104)/ABS(IF(P104=0,1,P104)),"")</f>
        <v/>
      </c>
      <c r="BG104" s="40">
        <f>IF(AND(BD104&lt;&gt;"",Q104&lt;&gt;""),BD104-Q104,"")</f>
        <v/>
      </c>
      <c r="BH104" s="40">
        <f>IF(AND(T104&gt;0,X104&lt;&gt;""),T104*X104,"")</f>
        <v/>
      </c>
      <c r="BI104" s="40">
        <f>IF(AND(T104&gt;0,AA104&lt;&gt;""),T104*AA104,"")</f>
        <v/>
      </c>
      <c r="BJ104" s="40">
        <f>IF(AND(T104&gt;0,AE104&lt;&gt;""),T104*AE104,"")</f>
        <v/>
      </c>
      <c r="BK104" s="40">
        <f>IF(AND(T104&gt;0,AH104&lt;&gt;""),T104*AH104,"")</f>
        <v/>
      </c>
      <c r="BL104" s="40">
        <f>IF(AND(T104&gt;0,AL104&lt;&gt;""),T104*AL104,"")</f>
        <v/>
      </c>
      <c r="BM104" s="40">
        <f>IF(AND(T104&gt;0,AO104&lt;&gt;""),T104*AO104,"")</f>
        <v/>
      </c>
      <c r="BN104" s="40">
        <f>IF(AND(T104&gt;0,AS104&gt;0),T104*AS104,"")</f>
        <v/>
      </c>
      <c r="BO104" s="40">
        <f>IF(AND(T104&gt;0,AV104&lt;&gt;""),T104*AV104,"")</f>
        <v/>
      </c>
      <c r="BP104" s="40">
        <f>IF(AND(T104&gt;0,BA104&lt;&gt;""),T104*BA104,"")</f>
        <v/>
      </c>
      <c r="BQ104" s="40">
        <f>IF(AND(T104&gt;0,BD104&lt;&gt;""),T104*BD104,"")</f>
        <v/>
      </c>
      <c r="BR104" s="46">
        <f>IF(AND(T104&gt;0,V104&gt;0,AA104&lt;&gt;0),V104/AA104-T104,"")</f>
        <v/>
      </c>
      <c r="BS104" s="41">
        <f>IF(AND(BR104&lt;&gt;"",T104&gt;0),BR104/T104,"")</f>
        <v/>
      </c>
      <c r="BT104" s="46">
        <f>IF(AND(T104&gt;0,V104&gt;0,AO104&lt;&gt;0),V104/AO104-T104,"")</f>
        <v/>
      </c>
      <c r="BU104" s="41">
        <f>IF(AND(BT104&lt;&gt;"",T104&gt;0),BT104/T104,"")</f>
        <v/>
      </c>
    </row>
    <row r="105">
      <c r="A105" s="36">
        <f>'📊 Исходные данные'!A104</f>
        <v/>
      </c>
      <c r="B105" s="37">
        <f>'📊 Исходные данные'!B104</f>
        <v/>
      </c>
      <c r="C105" s="38">
        <f>'📊 Исходные данные'!C104</f>
        <v/>
      </c>
      <c r="D105" s="38">
        <f>'📊 Исходные данные'!D104</f>
        <v/>
      </c>
      <c r="E105" s="39">
        <f>IF(OR(D105="",F105=""),"-",IF(D105&gt;F105*1.05,"Выше рынка",IF(D105&lt;F105*0.95,"Ниже рынка","На уровне")))</f>
        <v/>
      </c>
      <c r="F105" s="40">
        <f>IFERROR(AVERAGE('📊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G105" s="40">
        <f>IFERROR(MEDIAN('📊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H105" s="40">
        <f>IFERROR(MIN('📊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I105" s="40">
        <f>IFERROR(MAX('📊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данные'!K104),"")</f>
        <v/>
      </c>
      <c r="J105" s="41">
        <f>IF(AND(D105&lt;&gt;"",F105&lt;&gt;""),(D105-F105)/F105,"")</f>
        <v/>
      </c>
      <c r="K105" s="41">
        <f>IF(AND(D105&lt;&gt;"",G105&lt;&gt;""),(D105-G105)/G105,"")</f>
        <v/>
      </c>
      <c r="L105" s="41">
        <f>IF(AND(D105&lt;&gt;"",H105&lt;&gt;""),(D105-H105)/H105,"")</f>
        <v/>
      </c>
      <c r="M105" s="42">
        <f>IFERROR(RANK(D105,('📊 Исходные данные'!E104,'📊 Исходные данные'!F104,'📊 Исходные данные'!G104,'📊 Исходные данные'!H104,'📊 Исходные данные'!I104,'📊 Исходные данные'!J104,'📊 Исходные данные'!K104)),"")</f>
        <v/>
      </c>
      <c r="N105" s="39">
        <f>IF(M105="","-",IF(M105=1,"Дороже всех",IF(M105=2,"2-й по цене",IF(M105&lt;=4,"Средний","Ниже конкурентов"))))</f>
        <v/>
      </c>
      <c r="O105" s="41">
        <f>IF(AND(C105&gt;0,D105&gt;0),(D105-C105)/C105,"")</f>
        <v/>
      </c>
      <c r="P105" s="41">
        <f>IF(AND(C105&gt;0,D105&gt;0),(D105-C105)/D105,"")</f>
        <v/>
      </c>
      <c r="Q105" s="40">
        <f>IF(AND(C105&gt;0,D105&gt;0),D105-C105,"")</f>
        <v/>
      </c>
      <c r="R105" s="39">
        <f>IF(P105="","-",IF(P105&lt;0.1,"Низкая(&lt;10%)",IF(P105&lt;0.2,"Средняя(10-20%)","Хорошая(&gt;20%)")))</f>
        <v/>
      </c>
      <c r="S105" s="39">
        <f>IF(OR(H105="",C105=""),"-",IF((H105-C105)/H105&lt;0.05,"КРИТИЧНО",IF((H105-C105)/H105&lt;0.15,"УМЕРЕННЫЙ","НИЗКИЙ")))</f>
        <v/>
      </c>
      <c r="T105" s="43" t="n"/>
      <c r="U105" s="40">
        <f>IF(T105&gt;0,T105*D105,"")</f>
        <v/>
      </c>
      <c r="V105" s="40">
        <f>IF(T105&gt;0,T105*Q105,"")</f>
        <v/>
      </c>
      <c r="W105" s="41">
        <f>IF(U105&gt;0,V105/U105,"")</f>
        <v/>
      </c>
      <c r="X105" s="40">
        <f>IF(F105&lt;&gt;"",F105,"")</f>
        <v/>
      </c>
      <c r="Y105" s="41">
        <f>IF(AND(X105&lt;&gt;"",C105&gt;0),(X105-C105)/C105,"")</f>
        <v/>
      </c>
      <c r="Z105" s="41">
        <f>IF(AND(X105&lt;&gt;"",X105&gt;0),(X105-C105)/X105,"")</f>
        <v/>
      </c>
      <c r="AA105" s="40">
        <f>IF(AND(X105&lt;&gt;"",C105&gt;0),X105-C105,"")</f>
        <v/>
      </c>
      <c r="AB105" s="41">
        <f>IF(AND(X105&lt;&gt;"",D105&gt;0),(X105-D105)/D105,"")</f>
        <v/>
      </c>
      <c r="AC105" s="41">
        <f>IF(AND(Z105&lt;&gt;"",P105&lt;&gt;""),(Z105-P105)/ABS(IF(P105=0,1,P105)),"")</f>
        <v/>
      </c>
      <c r="AD105" s="40">
        <f>IF(AND(AA105&lt;&gt;"",Q105&lt;&gt;""),AA105-Q105,"")</f>
        <v/>
      </c>
      <c r="AE105" s="40">
        <f>IF(G105&lt;&gt;"",G105,"")</f>
        <v/>
      </c>
      <c r="AF105" s="41">
        <f>IF(AND(AE105&lt;&gt;"",C105&gt;0),(AE105-C105)/C105,"")</f>
        <v/>
      </c>
      <c r="AG105" s="41">
        <f>IF(AND(AE105&lt;&gt;"",AE105&gt;0),(AE105-C105)/AE105,"")</f>
        <v/>
      </c>
      <c r="AH105" s="40">
        <f>IF(AND(AE105&lt;&gt;"",C105&gt;0),AE105-C105,"")</f>
        <v/>
      </c>
      <c r="AI105" s="41">
        <f>IF(AND(AE105&lt;&gt;"",D105&gt;0),(AE105-D105)/D105,"")</f>
        <v/>
      </c>
      <c r="AJ105" s="41">
        <f>IF(AND(AG105&lt;&gt;"",P105&lt;&gt;""),(AG105-P105)/ABS(IF(P105=0,1,P105)),"")</f>
        <v/>
      </c>
      <c r="AK105" s="40">
        <f>IF(AND(AH105&lt;&gt;"",Q105&lt;&gt;""),AH105-Q105,"")</f>
        <v/>
      </c>
      <c r="AL105" s="40">
        <f>IF(H105&lt;&gt;"",H105,"")</f>
        <v/>
      </c>
      <c r="AM105" s="41">
        <f>IF(AND(AL105&lt;&gt;"",C105&gt;0),(AL105-C105)/C105,"")</f>
        <v/>
      </c>
      <c r="AN105" s="41">
        <f>IF(AND(AL105&lt;&gt;"",AL105&gt;0),(AL105-C105)/AL105,"")</f>
        <v/>
      </c>
      <c r="AO105" s="40">
        <f>IF(AND(AL105&lt;&gt;"",C105&gt;0),AL105-C105,"")</f>
        <v/>
      </c>
      <c r="AP105" s="41">
        <f>IF(AND(AL105&lt;&gt;"",D105&gt;0),(AL105-D105)/D105,"")</f>
        <v/>
      </c>
      <c r="AQ105" s="41">
        <f>IF(AND(AN105&lt;&gt;"",P105&lt;&gt;""),(AN105-P105)/ABS(IF(P105=0,1,P105)),"")</f>
        <v/>
      </c>
      <c r="AR105" s="40">
        <f>IF(AND(AO105&lt;&gt;"",Q105&lt;&gt;""),AO105-Q105,"")</f>
        <v/>
      </c>
      <c r="AS105" s="44" t="n"/>
      <c r="AT105" s="41">
        <f>IF(AND(AS105&gt;0,C105&gt;0),(AS105-C105)/C105,"")</f>
        <v/>
      </c>
      <c r="AU105" s="41">
        <f>IF(AND(AS105&gt;0,AS105&gt;0),(AS105-C105)/AS105,"")</f>
        <v/>
      </c>
      <c r="AV105" s="40">
        <f>IF(AND(AS105&gt;0,C105&gt;0),AS105-C105,"")</f>
        <v/>
      </c>
      <c r="AW105" s="41">
        <f>IF(AND(AS105&gt;0,D105&gt;0),(AS105-D105)/D105,"")</f>
        <v/>
      </c>
      <c r="AX105" s="41">
        <f>IF(AND(AU105&lt;&gt;"",P105&lt;&gt;""),(AU105-P105)/ABS(IF(P105=0,1,P105)),"")</f>
        <v/>
      </c>
      <c r="AY105" s="40">
        <f>IF(AND(AV105&lt;&gt;"",Q105&lt;&gt;""),AV105-Q105,"")</f>
        <v/>
      </c>
      <c r="AZ105" s="45" t="n"/>
      <c r="BA105" s="40">
        <f>IF(AND(AZ105&gt;0,C105&gt;0),C105/(1-AZ105),"")</f>
        <v/>
      </c>
      <c r="BB105" s="41">
        <f>IF(AND(BA105&lt;&gt;"",C105&gt;0),(BA105-C105)/C105,"")</f>
        <v/>
      </c>
      <c r="BC105" s="41">
        <f>IF(BA105&lt;&gt;"",AZ105,"")</f>
        <v/>
      </c>
      <c r="BD105" s="40">
        <f>IF(AND(BA105&lt;&gt;"",C105&gt;0),BA105-C105,"")</f>
        <v/>
      </c>
      <c r="BE105" s="41">
        <f>IF(AND(BA105&lt;&gt;"",D105&gt;0),(BA105-D105)/D105,"")</f>
        <v/>
      </c>
      <c r="BF105" s="41">
        <f>IF(AND(BC105&lt;&gt;"",P105&lt;&gt;""),(BC105-P105)/ABS(IF(P105=0,1,P105)),"")</f>
        <v/>
      </c>
      <c r="BG105" s="40">
        <f>IF(AND(BD105&lt;&gt;"",Q105&lt;&gt;""),BD105-Q105,"")</f>
        <v/>
      </c>
      <c r="BH105" s="40">
        <f>IF(AND(T105&gt;0,X105&lt;&gt;""),T105*X105,"")</f>
        <v/>
      </c>
      <c r="BI105" s="40">
        <f>IF(AND(T105&gt;0,AA105&lt;&gt;""),T105*AA105,"")</f>
        <v/>
      </c>
      <c r="BJ105" s="40">
        <f>IF(AND(T105&gt;0,AE105&lt;&gt;""),T105*AE105,"")</f>
        <v/>
      </c>
      <c r="BK105" s="40">
        <f>IF(AND(T105&gt;0,AH105&lt;&gt;""),T105*AH105,"")</f>
        <v/>
      </c>
      <c r="BL105" s="40">
        <f>IF(AND(T105&gt;0,AL105&lt;&gt;""),T105*AL105,"")</f>
        <v/>
      </c>
      <c r="BM105" s="40">
        <f>IF(AND(T105&gt;0,AO105&lt;&gt;""),T105*AO105,"")</f>
        <v/>
      </c>
      <c r="BN105" s="40">
        <f>IF(AND(T105&gt;0,AS105&gt;0),T105*AS105,"")</f>
        <v/>
      </c>
      <c r="BO105" s="40">
        <f>IF(AND(T105&gt;0,AV105&lt;&gt;""),T105*AV105,"")</f>
        <v/>
      </c>
      <c r="BP105" s="40">
        <f>IF(AND(T105&gt;0,BA105&lt;&gt;""),T105*BA105,"")</f>
        <v/>
      </c>
      <c r="BQ105" s="40">
        <f>IF(AND(T105&gt;0,BD105&lt;&gt;""),T105*BD105,"")</f>
        <v/>
      </c>
      <c r="BR105" s="46">
        <f>IF(AND(T105&gt;0,V105&gt;0,AA105&lt;&gt;0),V105/AA105-T105,"")</f>
        <v/>
      </c>
      <c r="BS105" s="41">
        <f>IF(AND(BR105&lt;&gt;"",T105&gt;0),BR105/T105,"")</f>
        <v/>
      </c>
      <c r="BT105" s="46">
        <f>IF(AND(T105&gt;0,V105&gt;0,AO105&lt;&gt;0),V105/AO105-T105,"")</f>
        <v/>
      </c>
      <c r="BU105" s="41">
        <f>IF(AND(BT105&lt;&gt;"",T105&gt;0),BT105/T105,"")</f>
        <v/>
      </c>
    </row>
    <row r="106">
      <c r="A106" s="36">
        <f>'📊 Исходные данные'!A105</f>
        <v/>
      </c>
      <c r="B106" s="37">
        <f>'📊 Исходные данные'!B105</f>
        <v/>
      </c>
      <c r="C106" s="38">
        <f>'📊 Исходные данные'!C105</f>
        <v/>
      </c>
      <c r="D106" s="38">
        <f>'📊 Исходные данные'!D105</f>
        <v/>
      </c>
      <c r="E106" s="39">
        <f>IF(OR(D106="",F106=""),"-",IF(D106&gt;F106*1.05,"Выше рынка",IF(D106&lt;F106*0.95,"Ниже рынка","На уровне")))</f>
        <v/>
      </c>
      <c r="F106" s="40">
        <f>IFERROR(AVERAGE('📊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G106" s="40">
        <f>IFERROR(MEDIAN('📊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H106" s="40">
        <f>IFERROR(MIN('📊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I106" s="40">
        <f>IFERROR(MAX('📊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данные'!K105),"")</f>
        <v/>
      </c>
      <c r="J106" s="41">
        <f>IF(AND(D106&lt;&gt;"",F106&lt;&gt;""),(D106-F106)/F106,"")</f>
        <v/>
      </c>
      <c r="K106" s="41">
        <f>IF(AND(D106&lt;&gt;"",G106&lt;&gt;""),(D106-G106)/G106,"")</f>
        <v/>
      </c>
      <c r="L106" s="41">
        <f>IF(AND(D106&lt;&gt;"",H106&lt;&gt;""),(D106-H106)/H106,"")</f>
        <v/>
      </c>
      <c r="M106" s="42">
        <f>IFERROR(RANK(D106,('📊 Исходные данные'!E105,'📊 Исходные данные'!F105,'📊 Исходные данные'!G105,'📊 Исходные данные'!H105,'📊 Исходные данные'!I105,'📊 Исходные данные'!J105,'📊 Исходные данные'!K105)),"")</f>
        <v/>
      </c>
      <c r="N106" s="39">
        <f>IF(M106="","-",IF(M106=1,"Дороже всех",IF(M106=2,"2-й по цене",IF(M106&lt;=4,"Средний","Ниже конкурентов"))))</f>
        <v/>
      </c>
      <c r="O106" s="41">
        <f>IF(AND(C106&gt;0,D106&gt;0),(D106-C106)/C106,"")</f>
        <v/>
      </c>
      <c r="P106" s="41">
        <f>IF(AND(C106&gt;0,D106&gt;0),(D106-C106)/D106,"")</f>
        <v/>
      </c>
      <c r="Q106" s="40">
        <f>IF(AND(C106&gt;0,D106&gt;0),D106-C106,"")</f>
        <v/>
      </c>
      <c r="R106" s="39">
        <f>IF(P106="","-",IF(P106&lt;0.1,"Низкая(&lt;10%)",IF(P106&lt;0.2,"Средняя(10-20%)","Хорошая(&gt;20%)")))</f>
        <v/>
      </c>
      <c r="S106" s="39">
        <f>IF(OR(H106="",C106=""),"-",IF((H106-C106)/H106&lt;0.05,"КРИТИЧНО",IF((H106-C106)/H106&lt;0.15,"УМЕРЕННЫЙ","НИЗКИЙ")))</f>
        <v/>
      </c>
      <c r="T106" s="43" t="n"/>
      <c r="U106" s="40">
        <f>IF(T106&gt;0,T106*D106,"")</f>
        <v/>
      </c>
      <c r="V106" s="40">
        <f>IF(T106&gt;0,T106*Q106,"")</f>
        <v/>
      </c>
      <c r="W106" s="41">
        <f>IF(U106&gt;0,V106/U106,"")</f>
        <v/>
      </c>
      <c r="X106" s="40">
        <f>IF(F106&lt;&gt;"",F106,"")</f>
        <v/>
      </c>
      <c r="Y106" s="41">
        <f>IF(AND(X106&lt;&gt;"",C106&gt;0),(X106-C106)/C106,"")</f>
        <v/>
      </c>
      <c r="Z106" s="41">
        <f>IF(AND(X106&lt;&gt;"",X106&gt;0),(X106-C106)/X106,"")</f>
        <v/>
      </c>
      <c r="AA106" s="40">
        <f>IF(AND(X106&lt;&gt;"",C106&gt;0),X106-C106,"")</f>
        <v/>
      </c>
      <c r="AB106" s="41">
        <f>IF(AND(X106&lt;&gt;"",D106&gt;0),(X106-D106)/D106,"")</f>
        <v/>
      </c>
      <c r="AC106" s="41">
        <f>IF(AND(Z106&lt;&gt;"",P106&lt;&gt;""),(Z106-P106)/ABS(IF(P106=0,1,P106)),"")</f>
        <v/>
      </c>
      <c r="AD106" s="40">
        <f>IF(AND(AA106&lt;&gt;"",Q106&lt;&gt;""),AA106-Q106,"")</f>
        <v/>
      </c>
      <c r="AE106" s="40">
        <f>IF(G106&lt;&gt;"",G106,"")</f>
        <v/>
      </c>
      <c r="AF106" s="41">
        <f>IF(AND(AE106&lt;&gt;"",C106&gt;0),(AE106-C106)/C106,"")</f>
        <v/>
      </c>
      <c r="AG106" s="41">
        <f>IF(AND(AE106&lt;&gt;"",AE106&gt;0),(AE106-C106)/AE106,"")</f>
        <v/>
      </c>
      <c r="AH106" s="40">
        <f>IF(AND(AE106&lt;&gt;"",C106&gt;0),AE106-C106,"")</f>
        <v/>
      </c>
      <c r="AI106" s="41">
        <f>IF(AND(AE106&lt;&gt;"",D106&gt;0),(AE106-D106)/D106,"")</f>
        <v/>
      </c>
      <c r="AJ106" s="41">
        <f>IF(AND(AG106&lt;&gt;"",P106&lt;&gt;""),(AG106-P106)/ABS(IF(P106=0,1,P106)),"")</f>
        <v/>
      </c>
      <c r="AK106" s="40">
        <f>IF(AND(AH106&lt;&gt;"",Q106&lt;&gt;""),AH106-Q106,"")</f>
        <v/>
      </c>
      <c r="AL106" s="40">
        <f>IF(H106&lt;&gt;"",H106,"")</f>
        <v/>
      </c>
      <c r="AM106" s="41">
        <f>IF(AND(AL106&lt;&gt;"",C106&gt;0),(AL106-C106)/C106,"")</f>
        <v/>
      </c>
      <c r="AN106" s="41">
        <f>IF(AND(AL106&lt;&gt;"",AL106&gt;0),(AL106-C106)/AL106,"")</f>
        <v/>
      </c>
      <c r="AO106" s="40">
        <f>IF(AND(AL106&lt;&gt;"",C106&gt;0),AL106-C106,"")</f>
        <v/>
      </c>
      <c r="AP106" s="41">
        <f>IF(AND(AL106&lt;&gt;"",D106&gt;0),(AL106-D106)/D106,"")</f>
        <v/>
      </c>
      <c r="AQ106" s="41">
        <f>IF(AND(AN106&lt;&gt;"",P106&lt;&gt;""),(AN106-P106)/ABS(IF(P106=0,1,P106)),"")</f>
        <v/>
      </c>
      <c r="AR106" s="40">
        <f>IF(AND(AO106&lt;&gt;"",Q106&lt;&gt;""),AO106-Q106,"")</f>
        <v/>
      </c>
      <c r="AS106" s="44" t="n"/>
      <c r="AT106" s="41">
        <f>IF(AND(AS106&gt;0,C106&gt;0),(AS106-C106)/C106,"")</f>
        <v/>
      </c>
      <c r="AU106" s="41">
        <f>IF(AND(AS106&gt;0,AS106&gt;0),(AS106-C106)/AS106,"")</f>
        <v/>
      </c>
      <c r="AV106" s="40">
        <f>IF(AND(AS106&gt;0,C106&gt;0),AS106-C106,"")</f>
        <v/>
      </c>
      <c r="AW106" s="41">
        <f>IF(AND(AS106&gt;0,D106&gt;0),(AS106-D106)/D106,"")</f>
        <v/>
      </c>
      <c r="AX106" s="41">
        <f>IF(AND(AU106&lt;&gt;"",P106&lt;&gt;""),(AU106-P106)/ABS(IF(P106=0,1,P106)),"")</f>
        <v/>
      </c>
      <c r="AY106" s="40">
        <f>IF(AND(AV106&lt;&gt;"",Q106&lt;&gt;""),AV106-Q106,"")</f>
        <v/>
      </c>
      <c r="AZ106" s="45" t="n"/>
      <c r="BA106" s="40">
        <f>IF(AND(AZ106&gt;0,C106&gt;0),C106/(1-AZ106),"")</f>
        <v/>
      </c>
      <c r="BB106" s="41">
        <f>IF(AND(BA106&lt;&gt;"",C106&gt;0),(BA106-C106)/C106,"")</f>
        <v/>
      </c>
      <c r="BC106" s="41">
        <f>IF(BA106&lt;&gt;"",AZ106,"")</f>
        <v/>
      </c>
      <c r="BD106" s="40">
        <f>IF(AND(BA106&lt;&gt;"",C106&gt;0),BA106-C106,"")</f>
        <v/>
      </c>
      <c r="BE106" s="41">
        <f>IF(AND(BA106&lt;&gt;"",D106&gt;0),(BA106-D106)/D106,"")</f>
        <v/>
      </c>
      <c r="BF106" s="41">
        <f>IF(AND(BC106&lt;&gt;"",P106&lt;&gt;""),(BC106-P106)/ABS(IF(P106=0,1,P106)),"")</f>
        <v/>
      </c>
      <c r="BG106" s="40">
        <f>IF(AND(BD106&lt;&gt;"",Q106&lt;&gt;""),BD106-Q106,"")</f>
        <v/>
      </c>
      <c r="BH106" s="40">
        <f>IF(AND(T106&gt;0,X106&lt;&gt;""),T106*X106,"")</f>
        <v/>
      </c>
      <c r="BI106" s="40">
        <f>IF(AND(T106&gt;0,AA106&lt;&gt;""),T106*AA106,"")</f>
        <v/>
      </c>
      <c r="BJ106" s="40">
        <f>IF(AND(T106&gt;0,AE106&lt;&gt;""),T106*AE106,"")</f>
        <v/>
      </c>
      <c r="BK106" s="40">
        <f>IF(AND(T106&gt;0,AH106&lt;&gt;""),T106*AH106,"")</f>
        <v/>
      </c>
      <c r="BL106" s="40">
        <f>IF(AND(T106&gt;0,AL106&lt;&gt;""),T106*AL106,"")</f>
        <v/>
      </c>
      <c r="BM106" s="40">
        <f>IF(AND(T106&gt;0,AO106&lt;&gt;""),T106*AO106,"")</f>
        <v/>
      </c>
      <c r="BN106" s="40">
        <f>IF(AND(T106&gt;0,AS106&gt;0),T106*AS106,"")</f>
        <v/>
      </c>
      <c r="BO106" s="40">
        <f>IF(AND(T106&gt;0,AV106&lt;&gt;""),T106*AV106,"")</f>
        <v/>
      </c>
      <c r="BP106" s="40">
        <f>IF(AND(T106&gt;0,BA106&lt;&gt;""),T106*BA106,"")</f>
        <v/>
      </c>
      <c r="BQ106" s="40">
        <f>IF(AND(T106&gt;0,BD106&lt;&gt;""),T106*BD106,"")</f>
        <v/>
      </c>
      <c r="BR106" s="46">
        <f>IF(AND(T106&gt;0,V106&gt;0,AA106&lt;&gt;0),V106/AA106-T106,"")</f>
        <v/>
      </c>
      <c r="BS106" s="41">
        <f>IF(AND(BR106&lt;&gt;"",T106&gt;0),BR106/T106,"")</f>
        <v/>
      </c>
      <c r="BT106" s="46">
        <f>IF(AND(T106&gt;0,V106&gt;0,AO106&lt;&gt;0),V106/AO106-T106,"")</f>
        <v/>
      </c>
      <c r="BU106" s="41">
        <f>IF(AND(BT106&lt;&gt;"",T106&gt;0),BT106/T106,"")</f>
        <v/>
      </c>
    </row>
    <row r="107">
      <c r="A107" s="36">
        <f>'📊 Исходные данные'!A106</f>
        <v/>
      </c>
      <c r="B107" s="37">
        <f>'📊 Исходные данные'!B106</f>
        <v/>
      </c>
      <c r="C107" s="38">
        <f>'📊 Исходные данные'!C106</f>
        <v/>
      </c>
      <c r="D107" s="38">
        <f>'📊 Исходные данные'!D106</f>
        <v/>
      </c>
      <c r="E107" s="39">
        <f>IF(OR(D107="",F107=""),"-",IF(D107&gt;F107*1.05,"Выше рынка",IF(D107&lt;F107*0.95,"Ниже рынка","На уровне")))</f>
        <v/>
      </c>
      <c r="F107" s="40">
        <f>IFERROR(AVERAGE('📊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G107" s="40">
        <f>IFERROR(MEDIAN('📊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H107" s="40">
        <f>IFERROR(MIN('📊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I107" s="40">
        <f>IFERROR(MAX('📊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данные'!K106),"")</f>
        <v/>
      </c>
      <c r="J107" s="41">
        <f>IF(AND(D107&lt;&gt;"",F107&lt;&gt;""),(D107-F107)/F107,"")</f>
        <v/>
      </c>
      <c r="K107" s="41">
        <f>IF(AND(D107&lt;&gt;"",G107&lt;&gt;""),(D107-G107)/G107,"")</f>
        <v/>
      </c>
      <c r="L107" s="41">
        <f>IF(AND(D107&lt;&gt;"",H107&lt;&gt;""),(D107-H107)/H107,"")</f>
        <v/>
      </c>
      <c r="M107" s="42">
        <f>IFERROR(RANK(D107,('📊 Исходные данные'!E106,'📊 Исходные данные'!F106,'📊 Исходные данные'!G106,'📊 Исходные данные'!H106,'📊 Исходные данные'!I106,'📊 Исходные данные'!J106,'📊 Исходные данные'!K106)),"")</f>
        <v/>
      </c>
      <c r="N107" s="39">
        <f>IF(M107="","-",IF(M107=1,"Дороже всех",IF(M107=2,"2-й по цене",IF(M107&lt;=4,"Средний","Ниже конкурентов"))))</f>
        <v/>
      </c>
      <c r="O107" s="41">
        <f>IF(AND(C107&gt;0,D107&gt;0),(D107-C107)/C107,"")</f>
        <v/>
      </c>
      <c r="P107" s="41">
        <f>IF(AND(C107&gt;0,D107&gt;0),(D107-C107)/D107,"")</f>
        <v/>
      </c>
      <c r="Q107" s="40">
        <f>IF(AND(C107&gt;0,D107&gt;0),D107-C107,"")</f>
        <v/>
      </c>
      <c r="R107" s="39">
        <f>IF(P107="","-",IF(P107&lt;0.1,"Низкая(&lt;10%)",IF(P107&lt;0.2,"Средняя(10-20%)","Хорошая(&gt;20%)")))</f>
        <v/>
      </c>
      <c r="S107" s="39">
        <f>IF(OR(H107="",C107=""),"-",IF((H107-C107)/H107&lt;0.05,"КРИТИЧНО",IF((H107-C107)/H107&lt;0.15,"УМЕРЕННЫЙ","НИЗКИЙ")))</f>
        <v/>
      </c>
      <c r="T107" s="43" t="n"/>
      <c r="U107" s="40">
        <f>IF(T107&gt;0,T107*D107,"")</f>
        <v/>
      </c>
      <c r="V107" s="40">
        <f>IF(T107&gt;0,T107*Q107,"")</f>
        <v/>
      </c>
      <c r="W107" s="41">
        <f>IF(U107&gt;0,V107/U107,"")</f>
        <v/>
      </c>
      <c r="X107" s="40">
        <f>IF(F107&lt;&gt;"",F107,"")</f>
        <v/>
      </c>
      <c r="Y107" s="41">
        <f>IF(AND(X107&lt;&gt;"",C107&gt;0),(X107-C107)/C107,"")</f>
        <v/>
      </c>
      <c r="Z107" s="41">
        <f>IF(AND(X107&lt;&gt;"",X107&gt;0),(X107-C107)/X107,"")</f>
        <v/>
      </c>
      <c r="AA107" s="40">
        <f>IF(AND(X107&lt;&gt;"",C107&gt;0),X107-C107,"")</f>
        <v/>
      </c>
      <c r="AB107" s="41">
        <f>IF(AND(X107&lt;&gt;"",D107&gt;0),(X107-D107)/D107,"")</f>
        <v/>
      </c>
      <c r="AC107" s="41">
        <f>IF(AND(Z107&lt;&gt;"",P107&lt;&gt;""),(Z107-P107)/ABS(IF(P107=0,1,P107)),"")</f>
        <v/>
      </c>
      <c r="AD107" s="40">
        <f>IF(AND(AA107&lt;&gt;"",Q107&lt;&gt;""),AA107-Q107,"")</f>
        <v/>
      </c>
      <c r="AE107" s="40">
        <f>IF(G107&lt;&gt;"",G107,"")</f>
        <v/>
      </c>
      <c r="AF107" s="41">
        <f>IF(AND(AE107&lt;&gt;"",C107&gt;0),(AE107-C107)/C107,"")</f>
        <v/>
      </c>
      <c r="AG107" s="41">
        <f>IF(AND(AE107&lt;&gt;"",AE107&gt;0),(AE107-C107)/AE107,"")</f>
        <v/>
      </c>
      <c r="AH107" s="40">
        <f>IF(AND(AE107&lt;&gt;"",C107&gt;0),AE107-C107,"")</f>
        <v/>
      </c>
      <c r="AI107" s="41">
        <f>IF(AND(AE107&lt;&gt;"",D107&gt;0),(AE107-D107)/D107,"")</f>
        <v/>
      </c>
      <c r="AJ107" s="41">
        <f>IF(AND(AG107&lt;&gt;"",P107&lt;&gt;""),(AG107-P107)/ABS(IF(P107=0,1,P107)),"")</f>
        <v/>
      </c>
      <c r="AK107" s="40">
        <f>IF(AND(AH107&lt;&gt;"",Q107&lt;&gt;""),AH107-Q107,"")</f>
        <v/>
      </c>
      <c r="AL107" s="40">
        <f>IF(H107&lt;&gt;"",H107,"")</f>
        <v/>
      </c>
      <c r="AM107" s="41">
        <f>IF(AND(AL107&lt;&gt;"",C107&gt;0),(AL107-C107)/C107,"")</f>
        <v/>
      </c>
      <c r="AN107" s="41">
        <f>IF(AND(AL107&lt;&gt;"",AL107&gt;0),(AL107-C107)/AL107,"")</f>
        <v/>
      </c>
      <c r="AO107" s="40">
        <f>IF(AND(AL107&lt;&gt;"",C107&gt;0),AL107-C107,"")</f>
        <v/>
      </c>
      <c r="AP107" s="41">
        <f>IF(AND(AL107&lt;&gt;"",D107&gt;0),(AL107-D107)/D107,"")</f>
        <v/>
      </c>
      <c r="AQ107" s="41">
        <f>IF(AND(AN107&lt;&gt;"",P107&lt;&gt;""),(AN107-P107)/ABS(IF(P107=0,1,P107)),"")</f>
        <v/>
      </c>
      <c r="AR107" s="40">
        <f>IF(AND(AO107&lt;&gt;"",Q107&lt;&gt;""),AO107-Q107,"")</f>
        <v/>
      </c>
      <c r="AS107" s="44" t="n"/>
      <c r="AT107" s="41">
        <f>IF(AND(AS107&gt;0,C107&gt;0),(AS107-C107)/C107,"")</f>
        <v/>
      </c>
      <c r="AU107" s="41">
        <f>IF(AND(AS107&gt;0,AS107&gt;0),(AS107-C107)/AS107,"")</f>
        <v/>
      </c>
      <c r="AV107" s="40">
        <f>IF(AND(AS107&gt;0,C107&gt;0),AS107-C107,"")</f>
        <v/>
      </c>
      <c r="AW107" s="41">
        <f>IF(AND(AS107&gt;0,D107&gt;0),(AS107-D107)/D107,"")</f>
        <v/>
      </c>
      <c r="AX107" s="41">
        <f>IF(AND(AU107&lt;&gt;"",P107&lt;&gt;""),(AU107-P107)/ABS(IF(P107=0,1,P107)),"")</f>
        <v/>
      </c>
      <c r="AY107" s="40">
        <f>IF(AND(AV107&lt;&gt;"",Q107&lt;&gt;""),AV107-Q107,"")</f>
        <v/>
      </c>
      <c r="AZ107" s="45" t="n"/>
      <c r="BA107" s="40">
        <f>IF(AND(AZ107&gt;0,C107&gt;0),C107/(1-AZ107),"")</f>
        <v/>
      </c>
      <c r="BB107" s="41">
        <f>IF(AND(BA107&lt;&gt;"",C107&gt;0),(BA107-C107)/C107,"")</f>
        <v/>
      </c>
      <c r="BC107" s="41">
        <f>IF(BA107&lt;&gt;"",AZ107,"")</f>
        <v/>
      </c>
      <c r="BD107" s="40">
        <f>IF(AND(BA107&lt;&gt;"",C107&gt;0),BA107-C107,"")</f>
        <v/>
      </c>
      <c r="BE107" s="41">
        <f>IF(AND(BA107&lt;&gt;"",D107&gt;0),(BA107-D107)/D107,"")</f>
        <v/>
      </c>
      <c r="BF107" s="41">
        <f>IF(AND(BC107&lt;&gt;"",P107&lt;&gt;""),(BC107-P107)/ABS(IF(P107=0,1,P107)),"")</f>
        <v/>
      </c>
      <c r="BG107" s="40">
        <f>IF(AND(BD107&lt;&gt;"",Q107&lt;&gt;""),BD107-Q107,"")</f>
        <v/>
      </c>
      <c r="BH107" s="40">
        <f>IF(AND(T107&gt;0,X107&lt;&gt;""),T107*X107,"")</f>
        <v/>
      </c>
      <c r="BI107" s="40">
        <f>IF(AND(T107&gt;0,AA107&lt;&gt;""),T107*AA107,"")</f>
        <v/>
      </c>
      <c r="BJ107" s="40">
        <f>IF(AND(T107&gt;0,AE107&lt;&gt;""),T107*AE107,"")</f>
        <v/>
      </c>
      <c r="BK107" s="40">
        <f>IF(AND(T107&gt;0,AH107&lt;&gt;""),T107*AH107,"")</f>
        <v/>
      </c>
      <c r="BL107" s="40">
        <f>IF(AND(T107&gt;0,AL107&lt;&gt;""),T107*AL107,"")</f>
        <v/>
      </c>
      <c r="BM107" s="40">
        <f>IF(AND(T107&gt;0,AO107&lt;&gt;""),T107*AO107,"")</f>
        <v/>
      </c>
      <c r="BN107" s="40">
        <f>IF(AND(T107&gt;0,AS107&gt;0),T107*AS107,"")</f>
        <v/>
      </c>
      <c r="BO107" s="40">
        <f>IF(AND(T107&gt;0,AV107&lt;&gt;""),T107*AV107,"")</f>
        <v/>
      </c>
      <c r="BP107" s="40">
        <f>IF(AND(T107&gt;0,BA107&lt;&gt;""),T107*BA107,"")</f>
        <v/>
      </c>
      <c r="BQ107" s="40">
        <f>IF(AND(T107&gt;0,BD107&lt;&gt;""),T107*BD107,"")</f>
        <v/>
      </c>
      <c r="BR107" s="46">
        <f>IF(AND(T107&gt;0,V107&gt;0,AA107&lt;&gt;0),V107/AA107-T107,"")</f>
        <v/>
      </c>
      <c r="BS107" s="41">
        <f>IF(AND(BR107&lt;&gt;"",T107&gt;0),BR107/T107,"")</f>
        <v/>
      </c>
      <c r="BT107" s="46">
        <f>IF(AND(T107&gt;0,V107&gt;0,AO107&lt;&gt;0),V107/AO107-T107,"")</f>
        <v/>
      </c>
      <c r="BU107" s="41">
        <f>IF(AND(BT107&lt;&gt;"",T107&gt;0),BT107/T107,"")</f>
        <v/>
      </c>
    </row>
    <row r="108">
      <c r="A108" s="36">
        <f>'📊 Исходные данные'!A107</f>
        <v/>
      </c>
      <c r="B108" s="37">
        <f>'📊 Исходные данные'!B107</f>
        <v/>
      </c>
      <c r="C108" s="38">
        <f>'📊 Исходные данные'!C107</f>
        <v/>
      </c>
      <c r="D108" s="38">
        <f>'📊 Исходные данные'!D107</f>
        <v/>
      </c>
      <c r="E108" s="39">
        <f>IF(OR(D108="",F108=""),"-",IF(D108&gt;F108*1.05,"Выше рынка",IF(D108&lt;F108*0.95,"Ниже рынка","На уровне")))</f>
        <v/>
      </c>
      <c r="F108" s="40">
        <f>IFERROR(AVERAGE('📊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G108" s="40">
        <f>IFERROR(MEDIAN('📊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H108" s="40">
        <f>IFERROR(MIN('📊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I108" s="40">
        <f>IFERROR(MAX('📊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данные'!K107),"")</f>
        <v/>
      </c>
      <c r="J108" s="41">
        <f>IF(AND(D108&lt;&gt;"",F108&lt;&gt;""),(D108-F108)/F108,"")</f>
        <v/>
      </c>
      <c r="K108" s="41">
        <f>IF(AND(D108&lt;&gt;"",G108&lt;&gt;""),(D108-G108)/G108,"")</f>
        <v/>
      </c>
      <c r="L108" s="41">
        <f>IF(AND(D108&lt;&gt;"",H108&lt;&gt;""),(D108-H108)/H108,"")</f>
        <v/>
      </c>
      <c r="M108" s="42">
        <f>IFERROR(RANK(D108,('📊 Исходные данные'!E107,'📊 Исходные данные'!F107,'📊 Исходные данные'!G107,'📊 Исходные данные'!H107,'📊 Исходные данные'!I107,'📊 Исходные данные'!J107,'📊 Исходные данные'!K107)),"")</f>
        <v/>
      </c>
      <c r="N108" s="39">
        <f>IF(M108="","-",IF(M108=1,"Дороже всех",IF(M108=2,"2-й по цене",IF(M108&lt;=4,"Средний","Ниже конкурентов"))))</f>
        <v/>
      </c>
      <c r="O108" s="41">
        <f>IF(AND(C108&gt;0,D108&gt;0),(D108-C108)/C108,"")</f>
        <v/>
      </c>
      <c r="P108" s="41">
        <f>IF(AND(C108&gt;0,D108&gt;0),(D108-C108)/D108,"")</f>
        <v/>
      </c>
      <c r="Q108" s="40">
        <f>IF(AND(C108&gt;0,D108&gt;0),D108-C108,"")</f>
        <v/>
      </c>
      <c r="R108" s="39">
        <f>IF(P108="","-",IF(P108&lt;0.1,"Низкая(&lt;10%)",IF(P108&lt;0.2,"Средняя(10-20%)","Хорошая(&gt;20%)")))</f>
        <v/>
      </c>
      <c r="S108" s="39">
        <f>IF(OR(H108="",C108=""),"-",IF((H108-C108)/H108&lt;0.05,"КРИТИЧНО",IF((H108-C108)/H108&lt;0.15,"УМЕРЕННЫЙ","НИЗКИЙ")))</f>
        <v/>
      </c>
      <c r="T108" s="43" t="n"/>
      <c r="U108" s="40">
        <f>IF(T108&gt;0,T108*D108,"")</f>
        <v/>
      </c>
      <c r="V108" s="40">
        <f>IF(T108&gt;0,T108*Q108,"")</f>
        <v/>
      </c>
      <c r="W108" s="41">
        <f>IF(U108&gt;0,V108/U108,"")</f>
        <v/>
      </c>
      <c r="X108" s="40">
        <f>IF(F108&lt;&gt;"",F108,"")</f>
        <v/>
      </c>
      <c r="Y108" s="41">
        <f>IF(AND(X108&lt;&gt;"",C108&gt;0),(X108-C108)/C108,"")</f>
        <v/>
      </c>
      <c r="Z108" s="41">
        <f>IF(AND(X108&lt;&gt;"",X108&gt;0),(X108-C108)/X108,"")</f>
        <v/>
      </c>
      <c r="AA108" s="40">
        <f>IF(AND(X108&lt;&gt;"",C108&gt;0),X108-C108,"")</f>
        <v/>
      </c>
      <c r="AB108" s="41">
        <f>IF(AND(X108&lt;&gt;"",D108&gt;0),(X108-D108)/D108,"")</f>
        <v/>
      </c>
      <c r="AC108" s="41">
        <f>IF(AND(Z108&lt;&gt;"",P108&lt;&gt;""),(Z108-P108)/ABS(IF(P108=0,1,P108)),"")</f>
        <v/>
      </c>
      <c r="AD108" s="40">
        <f>IF(AND(AA108&lt;&gt;"",Q108&lt;&gt;""),AA108-Q108,"")</f>
        <v/>
      </c>
      <c r="AE108" s="40">
        <f>IF(G108&lt;&gt;"",G108,"")</f>
        <v/>
      </c>
      <c r="AF108" s="41">
        <f>IF(AND(AE108&lt;&gt;"",C108&gt;0),(AE108-C108)/C108,"")</f>
        <v/>
      </c>
      <c r="AG108" s="41">
        <f>IF(AND(AE108&lt;&gt;"",AE108&gt;0),(AE108-C108)/AE108,"")</f>
        <v/>
      </c>
      <c r="AH108" s="40">
        <f>IF(AND(AE108&lt;&gt;"",C108&gt;0),AE108-C108,"")</f>
        <v/>
      </c>
      <c r="AI108" s="41">
        <f>IF(AND(AE108&lt;&gt;"",D108&gt;0),(AE108-D108)/D108,"")</f>
        <v/>
      </c>
      <c r="AJ108" s="41">
        <f>IF(AND(AG108&lt;&gt;"",P108&lt;&gt;""),(AG108-P108)/ABS(IF(P108=0,1,P108)),"")</f>
        <v/>
      </c>
      <c r="AK108" s="40">
        <f>IF(AND(AH108&lt;&gt;"",Q108&lt;&gt;""),AH108-Q108,"")</f>
        <v/>
      </c>
      <c r="AL108" s="40">
        <f>IF(H108&lt;&gt;"",H108,"")</f>
        <v/>
      </c>
      <c r="AM108" s="41">
        <f>IF(AND(AL108&lt;&gt;"",C108&gt;0),(AL108-C108)/C108,"")</f>
        <v/>
      </c>
      <c r="AN108" s="41">
        <f>IF(AND(AL108&lt;&gt;"",AL108&gt;0),(AL108-C108)/AL108,"")</f>
        <v/>
      </c>
      <c r="AO108" s="40">
        <f>IF(AND(AL108&lt;&gt;"",C108&gt;0),AL108-C108,"")</f>
        <v/>
      </c>
      <c r="AP108" s="41">
        <f>IF(AND(AL108&lt;&gt;"",D108&gt;0),(AL108-D108)/D108,"")</f>
        <v/>
      </c>
      <c r="AQ108" s="41">
        <f>IF(AND(AN108&lt;&gt;"",P108&lt;&gt;""),(AN108-P108)/ABS(IF(P108=0,1,P108)),"")</f>
        <v/>
      </c>
      <c r="AR108" s="40">
        <f>IF(AND(AO108&lt;&gt;"",Q108&lt;&gt;""),AO108-Q108,"")</f>
        <v/>
      </c>
      <c r="AS108" s="44" t="n"/>
      <c r="AT108" s="41">
        <f>IF(AND(AS108&gt;0,C108&gt;0),(AS108-C108)/C108,"")</f>
        <v/>
      </c>
      <c r="AU108" s="41">
        <f>IF(AND(AS108&gt;0,AS108&gt;0),(AS108-C108)/AS108,"")</f>
        <v/>
      </c>
      <c r="AV108" s="40">
        <f>IF(AND(AS108&gt;0,C108&gt;0),AS108-C108,"")</f>
        <v/>
      </c>
      <c r="AW108" s="41">
        <f>IF(AND(AS108&gt;0,D108&gt;0),(AS108-D108)/D108,"")</f>
        <v/>
      </c>
      <c r="AX108" s="41">
        <f>IF(AND(AU108&lt;&gt;"",P108&lt;&gt;""),(AU108-P108)/ABS(IF(P108=0,1,P108)),"")</f>
        <v/>
      </c>
      <c r="AY108" s="40">
        <f>IF(AND(AV108&lt;&gt;"",Q108&lt;&gt;""),AV108-Q108,"")</f>
        <v/>
      </c>
      <c r="AZ108" s="45" t="n"/>
      <c r="BA108" s="40">
        <f>IF(AND(AZ108&gt;0,C108&gt;0),C108/(1-AZ108),"")</f>
        <v/>
      </c>
      <c r="BB108" s="41">
        <f>IF(AND(BA108&lt;&gt;"",C108&gt;0),(BA108-C108)/C108,"")</f>
        <v/>
      </c>
      <c r="BC108" s="41">
        <f>IF(BA108&lt;&gt;"",AZ108,"")</f>
        <v/>
      </c>
      <c r="BD108" s="40">
        <f>IF(AND(BA108&lt;&gt;"",C108&gt;0),BA108-C108,"")</f>
        <v/>
      </c>
      <c r="BE108" s="41">
        <f>IF(AND(BA108&lt;&gt;"",D108&gt;0),(BA108-D108)/D108,"")</f>
        <v/>
      </c>
      <c r="BF108" s="41">
        <f>IF(AND(BC108&lt;&gt;"",P108&lt;&gt;""),(BC108-P108)/ABS(IF(P108=0,1,P108)),"")</f>
        <v/>
      </c>
      <c r="BG108" s="40">
        <f>IF(AND(BD108&lt;&gt;"",Q108&lt;&gt;""),BD108-Q108,"")</f>
        <v/>
      </c>
      <c r="BH108" s="40">
        <f>IF(AND(T108&gt;0,X108&lt;&gt;""),T108*X108,"")</f>
        <v/>
      </c>
      <c r="BI108" s="40">
        <f>IF(AND(T108&gt;0,AA108&lt;&gt;""),T108*AA108,"")</f>
        <v/>
      </c>
      <c r="BJ108" s="40">
        <f>IF(AND(T108&gt;0,AE108&lt;&gt;""),T108*AE108,"")</f>
        <v/>
      </c>
      <c r="BK108" s="40">
        <f>IF(AND(T108&gt;0,AH108&lt;&gt;""),T108*AH108,"")</f>
        <v/>
      </c>
      <c r="BL108" s="40">
        <f>IF(AND(T108&gt;0,AL108&lt;&gt;""),T108*AL108,"")</f>
        <v/>
      </c>
      <c r="BM108" s="40">
        <f>IF(AND(T108&gt;0,AO108&lt;&gt;""),T108*AO108,"")</f>
        <v/>
      </c>
      <c r="BN108" s="40">
        <f>IF(AND(T108&gt;0,AS108&gt;0),T108*AS108,"")</f>
        <v/>
      </c>
      <c r="BO108" s="40">
        <f>IF(AND(T108&gt;0,AV108&lt;&gt;""),T108*AV108,"")</f>
        <v/>
      </c>
      <c r="BP108" s="40">
        <f>IF(AND(T108&gt;0,BA108&lt;&gt;""),T108*BA108,"")</f>
        <v/>
      </c>
      <c r="BQ108" s="40">
        <f>IF(AND(T108&gt;0,BD108&lt;&gt;""),T108*BD108,"")</f>
        <v/>
      </c>
      <c r="BR108" s="46">
        <f>IF(AND(T108&gt;0,V108&gt;0,AA108&lt;&gt;0),V108/AA108-T108,"")</f>
        <v/>
      </c>
      <c r="BS108" s="41">
        <f>IF(AND(BR108&lt;&gt;"",T108&gt;0),BR108/T108,"")</f>
        <v/>
      </c>
      <c r="BT108" s="46">
        <f>IF(AND(T108&gt;0,V108&gt;0,AO108&lt;&gt;0),V108/AO108-T108,"")</f>
        <v/>
      </c>
      <c r="BU108" s="41">
        <f>IF(AND(BT108&lt;&gt;"",T108&gt;0),BT108/T108,"")</f>
        <v/>
      </c>
    </row>
    <row r="109">
      <c r="A109" s="36">
        <f>'📊 Исходные данные'!A108</f>
        <v/>
      </c>
      <c r="B109" s="37">
        <f>'📊 Исходные данные'!B108</f>
        <v/>
      </c>
      <c r="C109" s="38">
        <f>'📊 Исходные данные'!C108</f>
        <v/>
      </c>
      <c r="D109" s="38">
        <f>'📊 Исходные данные'!D108</f>
        <v/>
      </c>
      <c r="E109" s="39">
        <f>IF(OR(D109="",F109=""),"-",IF(D109&gt;F109*1.05,"Выше рынка",IF(D109&lt;F109*0.95,"Ниже рынка","На уровне")))</f>
        <v/>
      </c>
      <c r="F109" s="40">
        <f>IFERROR(AVERAGE('📊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G109" s="40">
        <f>IFERROR(MEDIAN('📊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H109" s="40">
        <f>IFERROR(MIN('📊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I109" s="40">
        <f>IFERROR(MAX('📊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данные'!K108),"")</f>
        <v/>
      </c>
      <c r="J109" s="41">
        <f>IF(AND(D109&lt;&gt;"",F109&lt;&gt;""),(D109-F109)/F109,"")</f>
        <v/>
      </c>
      <c r="K109" s="41">
        <f>IF(AND(D109&lt;&gt;"",G109&lt;&gt;""),(D109-G109)/G109,"")</f>
        <v/>
      </c>
      <c r="L109" s="41">
        <f>IF(AND(D109&lt;&gt;"",H109&lt;&gt;""),(D109-H109)/H109,"")</f>
        <v/>
      </c>
      <c r="M109" s="42">
        <f>IFERROR(RANK(D109,('📊 Исходные данные'!E108,'📊 Исходные данные'!F108,'📊 Исходные данные'!G108,'📊 Исходные данные'!H108,'📊 Исходные данные'!I108,'📊 Исходные данные'!J108,'📊 Исходные данные'!K108)),"")</f>
        <v/>
      </c>
      <c r="N109" s="39">
        <f>IF(M109="","-",IF(M109=1,"Дороже всех",IF(M109=2,"2-й по цене",IF(M109&lt;=4,"Средний","Ниже конкурентов"))))</f>
        <v/>
      </c>
      <c r="O109" s="41">
        <f>IF(AND(C109&gt;0,D109&gt;0),(D109-C109)/C109,"")</f>
        <v/>
      </c>
      <c r="P109" s="41">
        <f>IF(AND(C109&gt;0,D109&gt;0),(D109-C109)/D109,"")</f>
        <v/>
      </c>
      <c r="Q109" s="40">
        <f>IF(AND(C109&gt;0,D109&gt;0),D109-C109,"")</f>
        <v/>
      </c>
      <c r="R109" s="39">
        <f>IF(P109="","-",IF(P109&lt;0.1,"Низкая(&lt;10%)",IF(P109&lt;0.2,"Средняя(10-20%)","Хорошая(&gt;20%)")))</f>
        <v/>
      </c>
      <c r="S109" s="39">
        <f>IF(OR(H109="",C109=""),"-",IF((H109-C109)/H109&lt;0.05,"КРИТИЧНО",IF((H109-C109)/H109&lt;0.15,"УМЕРЕННЫЙ","НИЗКИЙ")))</f>
        <v/>
      </c>
      <c r="T109" s="43" t="n"/>
      <c r="U109" s="40">
        <f>IF(T109&gt;0,T109*D109,"")</f>
        <v/>
      </c>
      <c r="V109" s="40">
        <f>IF(T109&gt;0,T109*Q109,"")</f>
        <v/>
      </c>
      <c r="W109" s="41">
        <f>IF(U109&gt;0,V109/U109,"")</f>
        <v/>
      </c>
      <c r="X109" s="40">
        <f>IF(F109&lt;&gt;"",F109,"")</f>
        <v/>
      </c>
      <c r="Y109" s="41">
        <f>IF(AND(X109&lt;&gt;"",C109&gt;0),(X109-C109)/C109,"")</f>
        <v/>
      </c>
      <c r="Z109" s="41">
        <f>IF(AND(X109&lt;&gt;"",X109&gt;0),(X109-C109)/X109,"")</f>
        <v/>
      </c>
      <c r="AA109" s="40">
        <f>IF(AND(X109&lt;&gt;"",C109&gt;0),X109-C109,"")</f>
        <v/>
      </c>
      <c r="AB109" s="41">
        <f>IF(AND(X109&lt;&gt;"",D109&gt;0),(X109-D109)/D109,"")</f>
        <v/>
      </c>
      <c r="AC109" s="41">
        <f>IF(AND(Z109&lt;&gt;"",P109&lt;&gt;""),(Z109-P109)/ABS(IF(P109=0,1,P109)),"")</f>
        <v/>
      </c>
      <c r="AD109" s="40">
        <f>IF(AND(AA109&lt;&gt;"",Q109&lt;&gt;""),AA109-Q109,"")</f>
        <v/>
      </c>
      <c r="AE109" s="40">
        <f>IF(G109&lt;&gt;"",G109,"")</f>
        <v/>
      </c>
      <c r="AF109" s="41">
        <f>IF(AND(AE109&lt;&gt;"",C109&gt;0),(AE109-C109)/C109,"")</f>
        <v/>
      </c>
      <c r="AG109" s="41">
        <f>IF(AND(AE109&lt;&gt;"",AE109&gt;0),(AE109-C109)/AE109,"")</f>
        <v/>
      </c>
      <c r="AH109" s="40">
        <f>IF(AND(AE109&lt;&gt;"",C109&gt;0),AE109-C109,"")</f>
        <v/>
      </c>
      <c r="AI109" s="41">
        <f>IF(AND(AE109&lt;&gt;"",D109&gt;0),(AE109-D109)/D109,"")</f>
        <v/>
      </c>
      <c r="AJ109" s="41">
        <f>IF(AND(AG109&lt;&gt;"",P109&lt;&gt;""),(AG109-P109)/ABS(IF(P109=0,1,P109)),"")</f>
        <v/>
      </c>
      <c r="AK109" s="40">
        <f>IF(AND(AH109&lt;&gt;"",Q109&lt;&gt;""),AH109-Q109,"")</f>
        <v/>
      </c>
      <c r="AL109" s="40">
        <f>IF(H109&lt;&gt;"",H109,"")</f>
        <v/>
      </c>
      <c r="AM109" s="41">
        <f>IF(AND(AL109&lt;&gt;"",C109&gt;0),(AL109-C109)/C109,"")</f>
        <v/>
      </c>
      <c r="AN109" s="41">
        <f>IF(AND(AL109&lt;&gt;"",AL109&gt;0),(AL109-C109)/AL109,"")</f>
        <v/>
      </c>
      <c r="AO109" s="40">
        <f>IF(AND(AL109&lt;&gt;"",C109&gt;0),AL109-C109,"")</f>
        <v/>
      </c>
      <c r="AP109" s="41">
        <f>IF(AND(AL109&lt;&gt;"",D109&gt;0),(AL109-D109)/D109,"")</f>
        <v/>
      </c>
      <c r="AQ109" s="41">
        <f>IF(AND(AN109&lt;&gt;"",P109&lt;&gt;""),(AN109-P109)/ABS(IF(P109=0,1,P109)),"")</f>
        <v/>
      </c>
      <c r="AR109" s="40">
        <f>IF(AND(AO109&lt;&gt;"",Q109&lt;&gt;""),AO109-Q109,"")</f>
        <v/>
      </c>
      <c r="AS109" s="44" t="n"/>
      <c r="AT109" s="41">
        <f>IF(AND(AS109&gt;0,C109&gt;0),(AS109-C109)/C109,"")</f>
        <v/>
      </c>
      <c r="AU109" s="41">
        <f>IF(AND(AS109&gt;0,AS109&gt;0),(AS109-C109)/AS109,"")</f>
        <v/>
      </c>
      <c r="AV109" s="40">
        <f>IF(AND(AS109&gt;0,C109&gt;0),AS109-C109,"")</f>
        <v/>
      </c>
      <c r="AW109" s="41">
        <f>IF(AND(AS109&gt;0,D109&gt;0),(AS109-D109)/D109,"")</f>
        <v/>
      </c>
      <c r="AX109" s="41">
        <f>IF(AND(AU109&lt;&gt;"",P109&lt;&gt;""),(AU109-P109)/ABS(IF(P109=0,1,P109)),"")</f>
        <v/>
      </c>
      <c r="AY109" s="40">
        <f>IF(AND(AV109&lt;&gt;"",Q109&lt;&gt;""),AV109-Q109,"")</f>
        <v/>
      </c>
      <c r="AZ109" s="45" t="n"/>
      <c r="BA109" s="40">
        <f>IF(AND(AZ109&gt;0,C109&gt;0),C109/(1-AZ109),"")</f>
        <v/>
      </c>
      <c r="BB109" s="41">
        <f>IF(AND(BA109&lt;&gt;"",C109&gt;0),(BA109-C109)/C109,"")</f>
        <v/>
      </c>
      <c r="BC109" s="41">
        <f>IF(BA109&lt;&gt;"",AZ109,"")</f>
        <v/>
      </c>
      <c r="BD109" s="40">
        <f>IF(AND(BA109&lt;&gt;"",C109&gt;0),BA109-C109,"")</f>
        <v/>
      </c>
      <c r="BE109" s="41">
        <f>IF(AND(BA109&lt;&gt;"",D109&gt;0),(BA109-D109)/D109,"")</f>
        <v/>
      </c>
      <c r="BF109" s="41">
        <f>IF(AND(BC109&lt;&gt;"",P109&lt;&gt;""),(BC109-P109)/ABS(IF(P109=0,1,P109)),"")</f>
        <v/>
      </c>
      <c r="BG109" s="40">
        <f>IF(AND(BD109&lt;&gt;"",Q109&lt;&gt;""),BD109-Q109,"")</f>
        <v/>
      </c>
      <c r="BH109" s="40">
        <f>IF(AND(T109&gt;0,X109&lt;&gt;""),T109*X109,"")</f>
        <v/>
      </c>
      <c r="BI109" s="40">
        <f>IF(AND(T109&gt;0,AA109&lt;&gt;""),T109*AA109,"")</f>
        <v/>
      </c>
      <c r="BJ109" s="40">
        <f>IF(AND(T109&gt;0,AE109&lt;&gt;""),T109*AE109,"")</f>
        <v/>
      </c>
      <c r="BK109" s="40">
        <f>IF(AND(T109&gt;0,AH109&lt;&gt;""),T109*AH109,"")</f>
        <v/>
      </c>
      <c r="BL109" s="40">
        <f>IF(AND(T109&gt;0,AL109&lt;&gt;""),T109*AL109,"")</f>
        <v/>
      </c>
      <c r="BM109" s="40">
        <f>IF(AND(T109&gt;0,AO109&lt;&gt;""),T109*AO109,"")</f>
        <v/>
      </c>
      <c r="BN109" s="40">
        <f>IF(AND(T109&gt;0,AS109&gt;0),T109*AS109,"")</f>
        <v/>
      </c>
      <c r="BO109" s="40">
        <f>IF(AND(T109&gt;0,AV109&lt;&gt;""),T109*AV109,"")</f>
        <v/>
      </c>
      <c r="BP109" s="40">
        <f>IF(AND(T109&gt;0,BA109&lt;&gt;""),T109*BA109,"")</f>
        <v/>
      </c>
      <c r="BQ109" s="40">
        <f>IF(AND(T109&gt;0,BD109&lt;&gt;""),T109*BD109,"")</f>
        <v/>
      </c>
      <c r="BR109" s="46">
        <f>IF(AND(T109&gt;0,V109&gt;0,AA109&lt;&gt;0),V109/AA109-T109,"")</f>
        <v/>
      </c>
      <c r="BS109" s="41">
        <f>IF(AND(BR109&lt;&gt;"",T109&gt;0),BR109/T109,"")</f>
        <v/>
      </c>
      <c r="BT109" s="46">
        <f>IF(AND(T109&gt;0,V109&gt;0,AO109&lt;&gt;0),V109/AO109-T109,"")</f>
        <v/>
      </c>
      <c r="BU109" s="41">
        <f>IF(AND(BT109&lt;&gt;"",T109&gt;0),BT109/T109,"")</f>
        <v/>
      </c>
    </row>
    <row r="110">
      <c r="A110" s="36">
        <f>'📊 Исходные данные'!A109</f>
        <v/>
      </c>
      <c r="B110" s="37">
        <f>'📊 Исходные данные'!B109</f>
        <v/>
      </c>
      <c r="C110" s="38">
        <f>'📊 Исходные данные'!C109</f>
        <v/>
      </c>
      <c r="D110" s="38">
        <f>'📊 Исходные данные'!D109</f>
        <v/>
      </c>
      <c r="E110" s="39">
        <f>IF(OR(D110="",F110=""),"-",IF(D110&gt;F110*1.05,"Выше рынка",IF(D110&lt;F110*0.95,"Ниже рынка","На уровне")))</f>
        <v/>
      </c>
      <c r="F110" s="40">
        <f>IFERROR(AVERAGE('📊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G110" s="40">
        <f>IFERROR(MEDIAN('📊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H110" s="40">
        <f>IFERROR(MIN('📊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I110" s="40">
        <f>IFERROR(MAX('📊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данные'!K109),"")</f>
        <v/>
      </c>
      <c r="J110" s="41">
        <f>IF(AND(D110&lt;&gt;"",F110&lt;&gt;""),(D110-F110)/F110,"")</f>
        <v/>
      </c>
      <c r="K110" s="41">
        <f>IF(AND(D110&lt;&gt;"",G110&lt;&gt;""),(D110-G110)/G110,"")</f>
        <v/>
      </c>
      <c r="L110" s="41">
        <f>IF(AND(D110&lt;&gt;"",H110&lt;&gt;""),(D110-H110)/H110,"")</f>
        <v/>
      </c>
      <c r="M110" s="42">
        <f>IFERROR(RANK(D110,('📊 Исходные данные'!E109,'📊 Исходные данные'!F109,'📊 Исходные данные'!G109,'📊 Исходные данные'!H109,'📊 Исходные данные'!I109,'📊 Исходные данные'!J109,'📊 Исходные данные'!K109)),"")</f>
        <v/>
      </c>
      <c r="N110" s="39">
        <f>IF(M110="","-",IF(M110=1,"Дороже всех",IF(M110=2,"2-й по цене",IF(M110&lt;=4,"Средний","Ниже конкурентов"))))</f>
        <v/>
      </c>
      <c r="O110" s="41">
        <f>IF(AND(C110&gt;0,D110&gt;0),(D110-C110)/C110,"")</f>
        <v/>
      </c>
      <c r="P110" s="41">
        <f>IF(AND(C110&gt;0,D110&gt;0),(D110-C110)/D110,"")</f>
        <v/>
      </c>
      <c r="Q110" s="40">
        <f>IF(AND(C110&gt;0,D110&gt;0),D110-C110,"")</f>
        <v/>
      </c>
      <c r="R110" s="39">
        <f>IF(P110="","-",IF(P110&lt;0.1,"Низкая(&lt;10%)",IF(P110&lt;0.2,"Средняя(10-20%)","Хорошая(&gt;20%)")))</f>
        <v/>
      </c>
      <c r="S110" s="39">
        <f>IF(OR(H110="",C110=""),"-",IF((H110-C110)/H110&lt;0.05,"КРИТИЧНО",IF((H110-C110)/H110&lt;0.15,"УМЕРЕННЫЙ","НИЗКИЙ")))</f>
        <v/>
      </c>
      <c r="T110" s="43" t="n"/>
      <c r="U110" s="40">
        <f>IF(T110&gt;0,T110*D110,"")</f>
        <v/>
      </c>
      <c r="V110" s="40">
        <f>IF(T110&gt;0,T110*Q110,"")</f>
        <v/>
      </c>
      <c r="W110" s="41">
        <f>IF(U110&gt;0,V110/U110,"")</f>
        <v/>
      </c>
      <c r="X110" s="40">
        <f>IF(F110&lt;&gt;"",F110,"")</f>
        <v/>
      </c>
      <c r="Y110" s="41">
        <f>IF(AND(X110&lt;&gt;"",C110&gt;0),(X110-C110)/C110,"")</f>
        <v/>
      </c>
      <c r="Z110" s="41">
        <f>IF(AND(X110&lt;&gt;"",X110&gt;0),(X110-C110)/X110,"")</f>
        <v/>
      </c>
      <c r="AA110" s="40">
        <f>IF(AND(X110&lt;&gt;"",C110&gt;0),X110-C110,"")</f>
        <v/>
      </c>
      <c r="AB110" s="41">
        <f>IF(AND(X110&lt;&gt;"",D110&gt;0),(X110-D110)/D110,"")</f>
        <v/>
      </c>
      <c r="AC110" s="41">
        <f>IF(AND(Z110&lt;&gt;"",P110&lt;&gt;""),(Z110-P110)/ABS(IF(P110=0,1,P110)),"")</f>
        <v/>
      </c>
      <c r="AD110" s="40">
        <f>IF(AND(AA110&lt;&gt;"",Q110&lt;&gt;""),AA110-Q110,"")</f>
        <v/>
      </c>
      <c r="AE110" s="40">
        <f>IF(G110&lt;&gt;"",G110,"")</f>
        <v/>
      </c>
      <c r="AF110" s="41">
        <f>IF(AND(AE110&lt;&gt;"",C110&gt;0),(AE110-C110)/C110,"")</f>
        <v/>
      </c>
      <c r="AG110" s="41">
        <f>IF(AND(AE110&lt;&gt;"",AE110&gt;0),(AE110-C110)/AE110,"")</f>
        <v/>
      </c>
      <c r="AH110" s="40">
        <f>IF(AND(AE110&lt;&gt;"",C110&gt;0),AE110-C110,"")</f>
        <v/>
      </c>
      <c r="AI110" s="41">
        <f>IF(AND(AE110&lt;&gt;"",D110&gt;0),(AE110-D110)/D110,"")</f>
        <v/>
      </c>
      <c r="AJ110" s="41">
        <f>IF(AND(AG110&lt;&gt;"",P110&lt;&gt;""),(AG110-P110)/ABS(IF(P110=0,1,P110)),"")</f>
        <v/>
      </c>
      <c r="AK110" s="40">
        <f>IF(AND(AH110&lt;&gt;"",Q110&lt;&gt;""),AH110-Q110,"")</f>
        <v/>
      </c>
      <c r="AL110" s="40">
        <f>IF(H110&lt;&gt;"",H110,"")</f>
        <v/>
      </c>
      <c r="AM110" s="41">
        <f>IF(AND(AL110&lt;&gt;"",C110&gt;0),(AL110-C110)/C110,"")</f>
        <v/>
      </c>
      <c r="AN110" s="41">
        <f>IF(AND(AL110&lt;&gt;"",AL110&gt;0),(AL110-C110)/AL110,"")</f>
        <v/>
      </c>
      <c r="AO110" s="40">
        <f>IF(AND(AL110&lt;&gt;"",C110&gt;0),AL110-C110,"")</f>
        <v/>
      </c>
      <c r="AP110" s="41">
        <f>IF(AND(AL110&lt;&gt;"",D110&gt;0),(AL110-D110)/D110,"")</f>
        <v/>
      </c>
      <c r="AQ110" s="41">
        <f>IF(AND(AN110&lt;&gt;"",P110&lt;&gt;""),(AN110-P110)/ABS(IF(P110=0,1,P110)),"")</f>
        <v/>
      </c>
      <c r="AR110" s="40">
        <f>IF(AND(AO110&lt;&gt;"",Q110&lt;&gt;""),AO110-Q110,"")</f>
        <v/>
      </c>
      <c r="AS110" s="44" t="n"/>
      <c r="AT110" s="41">
        <f>IF(AND(AS110&gt;0,C110&gt;0),(AS110-C110)/C110,"")</f>
        <v/>
      </c>
      <c r="AU110" s="41">
        <f>IF(AND(AS110&gt;0,AS110&gt;0),(AS110-C110)/AS110,"")</f>
        <v/>
      </c>
      <c r="AV110" s="40">
        <f>IF(AND(AS110&gt;0,C110&gt;0),AS110-C110,"")</f>
        <v/>
      </c>
      <c r="AW110" s="41">
        <f>IF(AND(AS110&gt;0,D110&gt;0),(AS110-D110)/D110,"")</f>
        <v/>
      </c>
      <c r="AX110" s="41">
        <f>IF(AND(AU110&lt;&gt;"",P110&lt;&gt;""),(AU110-P110)/ABS(IF(P110=0,1,P110)),"")</f>
        <v/>
      </c>
      <c r="AY110" s="40">
        <f>IF(AND(AV110&lt;&gt;"",Q110&lt;&gt;""),AV110-Q110,"")</f>
        <v/>
      </c>
      <c r="AZ110" s="45" t="n"/>
      <c r="BA110" s="40">
        <f>IF(AND(AZ110&gt;0,C110&gt;0),C110/(1-AZ110),"")</f>
        <v/>
      </c>
      <c r="BB110" s="41">
        <f>IF(AND(BA110&lt;&gt;"",C110&gt;0),(BA110-C110)/C110,"")</f>
        <v/>
      </c>
      <c r="BC110" s="41">
        <f>IF(BA110&lt;&gt;"",AZ110,"")</f>
        <v/>
      </c>
      <c r="BD110" s="40">
        <f>IF(AND(BA110&lt;&gt;"",C110&gt;0),BA110-C110,"")</f>
        <v/>
      </c>
      <c r="BE110" s="41">
        <f>IF(AND(BA110&lt;&gt;"",D110&gt;0),(BA110-D110)/D110,"")</f>
        <v/>
      </c>
      <c r="BF110" s="41">
        <f>IF(AND(BC110&lt;&gt;"",P110&lt;&gt;""),(BC110-P110)/ABS(IF(P110=0,1,P110)),"")</f>
        <v/>
      </c>
      <c r="BG110" s="40">
        <f>IF(AND(BD110&lt;&gt;"",Q110&lt;&gt;""),BD110-Q110,"")</f>
        <v/>
      </c>
      <c r="BH110" s="40">
        <f>IF(AND(T110&gt;0,X110&lt;&gt;""),T110*X110,"")</f>
        <v/>
      </c>
      <c r="BI110" s="40">
        <f>IF(AND(T110&gt;0,AA110&lt;&gt;""),T110*AA110,"")</f>
        <v/>
      </c>
      <c r="BJ110" s="40">
        <f>IF(AND(T110&gt;0,AE110&lt;&gt;""),T110*AE110,"")</f>
        <v/>
      </c>
      <c r="BK110" s="40">
        <f>IF(AND(T110&gt;0,AH110&lt;&gt;""),T110*AH110,"")</f>
        <v/>
      </c>
      <c r="BL110" s="40">
        <f>IF(AND(T110&gt;0,AL110&lt;&gt;""),T110*AL110,"")</f>
        <v/>
      </c>
      <c r="BM110" s="40">
        <f>IF(AND(T110&gt;0,AO110&lt;&gt;""),T110*AO110,"")</f>
        <v/>
      </c>
      <c r="BN110" s="40">
        <f>IF(AND(T110&gt;0,AS110&gt;0),T110*AS110,"")</f>
        <v/>
      </c>
      <c r="BO110" s="40">
        <f>IF(AND(T110&gt;0,AV110&lt;&gt;""),T110*AV110,"")</f>
        <v/>
      </c>
      <c r="BP110" s="40">
        <f>IF(AND(T110&gt;0,BA110&lt;&gt;""),T110*BA110,"")</f>
        <v/>
      </c>
      <c r="BQ110" s="40">
        <f>IF(AND(T110&gt;0,BD110&lt;&gt;""),T110*BD110,"")</f>
        <v/>
      </c>
      <c r="BR110" s="46">
        <f>IF(AND(T110&gt;0,V110&gt;0,AA110&lt;&gt;0),V110/AA110-T110,"")</f>
        <v/>
      </c>
      <c r="BS110" s="41">
        <f>IF(AND(BR110&lt;&gt;"",T110&gt;0),BR110/T110,"")</f>
        <v/>
      </c>
      <c r="BT110" s="46">
        <f>IF(AND(T110&gt;0,V110&gt;0,AO110&lt;&gt;0),V110/AO110-T110,"")</f>
        <v/>
      </c>
      <c r="BU110" s="41">
        <f>IF(AND(BT110&lt;&gt;"",T110&gt;0),BT110/T110,"")</f>
        <v/>
      </c>
    </row>
    <row r="111">
      <c r="A111" s="36">
        <f>'📊 Исходные данные'!A110</f>
        <v/>
      </c>
      <c r="B111" s="37">
        <f>'📊 Исходные данные'!B110</f>
        <v/>
      </c>
      <c r="C111" s="38">
        <f>'📊 Исходные данные'!C110</f>
        <v/>
      </c>
      <c r="D111" s="38">
        <f>'📊 Исходные данные'!D110</f>
        <v/>
      </c>
      <c r="E111" s="39">
        <f>IF(OR(D111="",F111=""),"-",IF(D111&gt;F111*1.05,"Выше рынка",IF(D111&lt;F111*0.95,"Ниже рынка","На уровне")))</f>
        <v/>
      </c>
      <c r="F111" s="40">
        <f>IFERROR(AVERAGE('📊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G111" s="40">
        <f>IFERROR(MEDIAN('📊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H111" s="40">
        <f>IFERROR(MIN('📊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I111" s="40">
        <f>IFERROR(MAX('📊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данные'!K110),"")</f>
        <v/>
      </c>
      <c r="J111" s="41">
        <f>IF(AND(D111&lt;&gt;"",F111&lt;&gt;""),(D111-F111)/F111,"")</f>
        <v/>
      </c>
      <c r="K111" s="41">
        <f>IF(AND(D111&lt;&gt;"",G111&lt;&gt;""),(D111-G111)/G111,"")</f>
        <v/>
      </c>
      <c r="L111" s="41">
        <f>IF(AND(D111&lt;&gt;"",H111&lt;&gt;""),(D111-H111)/H111,"")</f>
        <v/>
      </c>
      <c r="M111" s="42">
        <f>IFERROR(RANK(D111,('📊 Исходные данные'!E110,'📊 Исходные данные'!F110,'📊 Исходные данные'!G110,'📊 Исходные данные'!H110,'📊 Исходные данные'!I110,'📊 Исходные данные'!J110,'📊 Исходные данные'!K110)),"")</f>
        <v/>
      </c>
      <c r="N111" s="39">
        <f>IF(M111="","-",IF(M111=1,"Дороже всех",IF(M111=2,"2-й по цене",IF(M111&lt;=4,"Средний","Ниже конкурентов"))))</f>
        <v/>
      </c>
      <c r="O111" s="41">
        <f>IF(AND(C111&gt;0,D111&gt;0),(D111-C111)/C111,"")</f>
        <v/>
      </c>
      <c r="P111" s="41">
        <f>IF(AND(C111&gt;0,D111&gt;0),(D111-C111)/D111,"")</f>
        <v/>
      </c>
      <c r="Q111" s="40">
        <f>IF(AND(C111&gt;0,D111&gt;0),D111-C111,"")</f>
        <v/>
      </c>
      <c r="R111" s="39">
        <f>IF(P111="","-",IF(P111&lt;0.1,"Низкая(&lt;10%)",IF(P111&lt;0.2,"Средняя(10-20%)","Хорошая(&gt;20%)")))</f>
        <v/>
      </c>
      <c r="S111" s="39">
        <f>IF(OR(H111="",C111=""),"-",IF((H111-C111)/H111&lt;0.05,"КРИТИЧНО",IF((H111-C111)/H111&lt;0.15,"УМЕРЕННЫЙ","НИЗКИЙ")))</f>
        <v/>
      </c>
      <c r="T111" s="43" t="n"/>
      <c r="U111" s="40">
        <f>IF(T111&gt;0,T111*D111,"")</f>
        <v/>
      </c>
      <c r="V111" s="40">
        <f>IF(T111&gt;0,T111*Q111,"")</f>
        <v/>
      </c>
      <c r="W111" s="41">
        <f>IF(U111&gt;0,V111/U111,"")</f>
        <v/>
      </c>
      <c r="X111" s="40">
        <f>IF(F111&lt;&gt;"",F111,"")</f>
        <v/>
      </c>
      <c r="Y111" s="41">
        <f>IF(AND(X111&lt;&gt;"",C111&gt;0),(X111-C111)/C111,"")</f>
        <v/>
      </c>
      <c r="Z111" s="41">
        <f>IF(AND(X111&lt;&gt;"",X111&gt;0),(X111-C111)/X111,"")</f>
        <v/>
      </c>
      <c r="AA111" s="40">
        <f>IF(AND(X111&lt;&gt;"",C111&gt;0),X111-C111,"")</f>
        <v/>
      </c>
      <c r="AB111" s="41">
        <f>IF(AND(X111&lt;&gt;"",D111&gt;0),(X111-D111)/D111,"")</f>
        <v/>
      </c>
      <c r="AC111" s="41">
        <f>IF(AND(Z111&lt;&gt;"",P111&lt;&gt;""),(Z111-P111)/ABS(IF(P111=0,1,P111)),"")</f>
        <v/>
      </c>
      <c r="AD111" s="40">
        <f>IF(AND(AA111&lt;&gt;"",Q111&lt;&gt;""),AA111-Q111,"")</f>
        <v/>
      </c>
      <c r="AE111" s="40">
        <f>IF(G111&lt;&gt;"",G111,"")</f>
        <v/>
      </c>
      <c r="AF111" s="41">
        <f>IF(AND(AE111&lt;&gt;"",C111&gt;0),(AE111-C111)/C111,"")</f>
        <v/>
      </c>
      <c r="AG111" s="41">
        <f>IF(AND(AE111&lt;&gt;"",AE111&gt;0),(AE111-C111)/AE111,"")</f>
        <v/>
      </c>
      <c r="AH111" s="40">
        <f>IF(AND(AE111&lt;&gt;"",C111&gt;0),AE111-C111,"")</f>
        <v/>
      </c>
      <c r="AI111" s="41">
        <f>IF(AND(AE111&lt;&gt;"",D111&gt;0),(AE111-D111)/D111,"")</f>
        <v/>
      </c>
      <c r="AJ111" s="41">
        <f>IF(AND(AG111&lt;&gt;"",P111&lt;&gt;""),(AG111-P111)/ABS(IF(P111=0,1,P111)),"")</f>
        <v/>
      </c>
      <c r="AK111" s="40">
        <f>IF(AND(AH111&lt;&gt;"",Q111&lt;&gt;""),AH111-Q111,"")</f>
        <v/>
      </c>
      <c r="AL111" s="40">
        <f>IF(H111&lt;&gt;"",H111,"")</f>
        <v/>
      </c>
      <c r="AM111" s="41">
        <f>IF(AND(AL111&lt;&gt;"",C111&gt;0),(AL111-C111)/C111,"")</f>
        <v/>
      </c>
      <c r="AN111" s="41">
        <f>IF(AND(AL111&lt;&gt;"",AL111&gt;0),(AL111-C111)/AL111,"")</f>
        <v/>
      </c>
      <c r="AO111" s="40">
        <f>IF(AND(AL111&lt;&gt;"",C111&gt;0),AL111-C111,"")</f>
        <v/>
      </c>
      <c r="AP111" s="41">
        <f>IF(AND(AL111&lt;&gt;"",D111&gt;0),(AL111-D111)/D111,"")</f>
        <v/>
      </c>
      <c r="AQ111" s="41">
        <f>IF(AND(AN111&lt;&gt;"",P111&lt;&gt;""),(AN111-P111)/ABS(IF(P111=0,1,P111)),"")</f>
        <v/>
      </c>
      <c r="AR111" s="40">
        <f>IF(AND(AO111&lt;&gt;"",Q111&lt;&gt;""),AO111-Q111,"")</f>
        <v/>
      </c>
      <c r="AS111" s="44" t="n"/>
      <c r="AT111" s="41">
        <f>IF(AND(AS111&gt;0,C111&gt;0),(AS111-C111)/C111,"")</f>
        <v/>
      </c>
      <c r="AU111" s="41">
        <f>IF(AND(AS111&gt;0,AS111&gt;0),(AS111-C111)/AS111,"")</f>
        <v/>
      </c>
      <c r="AV111" s="40">
        <f>IF(AND(AS111&gt;0,C111&gt;0),AS111-C111,"")</f>
        <v/>
      </c>
      <c r="AW111" s="41">
        <f>IF(AND(AS111&gt;0,D111&gt;0),(AS111-D111)/D111,"")</f>
        <v/>
      </c>
      <c r="AX111" s="41">
        <f>IF(AND(AU111&lt;&gt;"",P111&lt;&gt;""),(AU111-P111)/ABS(IF(P111=0,1,P111)),"")</f>
        <v/>
      </c>
      <c r="AY111" s="40">
        <f>IF(AND(AV111&lt;&gt;"",Q111&lt;&gt;""),AV111-Q111,"")</f>
        <v/>
      </c>
      <c r="AZ111" s="45" t="n"/>
      <c r="BA111" s="40">
        <f>IF(AND(AZ111&gt;0,C111&gt;0),C111/(1-AZ111),"")</f>
        <v/>
      </c>
      <c r="BB111" s="41">
        <f>IF(AND(BA111&lt;&gt;"",C111&gt;0),(BA111-C111)/C111,"")</f>
        <v/>
      </c>
      <c r="BC111" s="41">
        <f>IF(BA111&lt;&gt;"",AZ111,"")</f>
        <v/>
      </c>
      <c r="BD111" s="40">
        <f>IF(AND(BA111&lt;&gt;"",C111&gt;0),BA111-C111,"")</f>
        <v/>
      </c>
      <c r="BE111" s="41">
        <f>IF(AND(BA111&lt;&gt;"",D111&gt;0),(BA111-D111)/D111,"")</f>
        <v/>
      </c>
      <c r="BF111" s="41">
        <f>IF(AND(BC111&lt;&gt;"",P111&lt;&gt;""),(BC111-P111)/ABS(IF(P111=0,1,P111)),"")</f>
        <v/>
      </c>
      <c r="BG111" s="40">
        <f>IF(AND(BD111&lt;&gt;"",Q111&lt;&gt;""),BD111-Q111,"")</f>
        <v/>
      </c>
      <c r="BH111" s="40">
        <f>IF(AND(T111&gt;0,X111&lt;&gt;""),T111*X111,"")</f>
        <v/>
      </c>
      <c r="BI111" s="40">
        <f>IF(AND(T111&gt;0,AA111&lt;&gt;""),T111*AA111,"")</f>
        <v/>
      </c>
      <c r="BJ111" s="40">
        <f>IF(AND(T111&gt;0,AE111&lt;&gt;""),T111*AE111,"")</f>
        <v/>
      </c>
      <c r="BK111" s="40">
        <f>IF(AND(T111&gt;0,AH111&lt;&gt;""),T111*AH111,"")</f>
        <v/>
      </c>
      <c r="BL111" s="40">
        <f>IF(AND(T111&gt;0,AL111&lt;&gt;""),T111*AL111,"")</f>
        <v/>
      </c>
      <c r="BM111" s="40">
        <f>IF(AND(T111&gt;0,AO111&lt;&gt;""),T111*AO111,"")</f>
        <v/>
      </c>
      <c r="BN111" s="40">
        <f>IF(AND(T111&gt;0,AS111&gt;0),T111*AS111,"")</f>
        <v/>
      </c>
      <c r="BO111" s="40">
        <f>IF(AND(T111&gt;0,AV111&lt;&gt;""),T111*AV111,"")</f>
        <v/>
      </c>
      <c r="BP111" s="40">
        <f>IF(AND(T111&gt;0,BA111&lt;&gt;""),T111*BA111,"")</f>
        <v/>
      </c>
      <c r="BQ111" s="40">
        <f>IF(AND(T111&gt;0,BD111&lt;&gt;""),T111*BD111,"")</f>
        <v/>
      </c>
      <c r="BR111" s="46">
        <f>IF(AND(T111&gt;0,V111&gt;0,AA111&lt;&gt;0),V111/AA111-T111,"")</f>
        <v/>
      </c>
      <c r="BS111" s="41">
        <f>IF(AND(BR111&lt;&gt;"",T111&gt;0),BR111/T111,"")</f>
        <v/>
      </c>
      <c r="BT111" s="46">
        <f>IF(AND(T111&gt;0,V111&gt;0,AO111&lt;&gt;0),V111/AO111-T111,"")</f>
        <v/>
      </c>
      <c r="BU111" s="41">
        <f>IF(AND(BT111&lt;&gt;"",T111&gt;0),BT111/T111,"")</f>
        <v/>
      </c>
    </row>
    <row r="112">
      <c r="A112" s="36">
        <f>'📊 Исходные данные'!A111</f>
        <v/>
      </c>
      <c r="B112" s="37">
        <f>'📊 Исходные данные'!B111</f>
        <v/>
      </c>
      <c r="C112" s="38">
        <f>'📊 Исходные данные'!C111</f>
        <v/>
      </c>
      <c r="D112" s="38">
        <f>'📊 Исходные данные'!D111</f>
        <v/>
      </c>
      <c r="E112" s="39">
        <f>IF(OR(D112="",F112=""),"-",IF(D112&gt;F112*1.05,"Выше рынка",IF(D112&lt;F112*0.95,"Ниже рынка","На уровне")))</f>
        <v/>
      </c>
      <c r="F112" s="40">
        <f>IFERROR(AVERAGE('📊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G112" s="40">
        <f>IFERROR(MEDIAN('📊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H112" s="40">
        <f>IFERROR(MIN('📊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I112" s="40">
        <f>IFERROR(MAX('📊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данные'!K111),"")</f>
        <v/>
      </c>
      <c r="J112" s="41">
        <f>IF(AND(D112&lt;&gt;"",F112&lt;&gt;""),(D112-F112)/F112,"")</f>
        <v/>
      </c>
      <c r="K112" s="41">
        <f>IF(AND(D112&lt;&gt;"",G112&lt;&gt;""),(D112-G112)/G112,"")</f>
        <v/>
      </c>
      <c r="L112" s="41">
        <f>IF(AND(D112&lt;&gt;"",H112&lt;&gt;""),(D112-H112)/H112,"")</f>
        <v/>
      </c>
      <c r="M112" s="42">
        <f>IFERROR(RANK(D112,('📊 Исходные данные'!E111,'📊 Исходные данные'!F111,'📊 Исходные данные'!G111,'📊 Исходные данные'!H111,'📊 Исходные данные'!I111,'📊 Исходные данные'!J111,'📊 Исходные данные'!K111)),"")</f>
        <v/>
      </c>
      <c r="N112" s="39">
        <f>IF(M112="","-",IF(M112=1,"Дороже всех",IF(M112=2,"2-й по цене",IF(M112&lt;=4,"Средний","Ниже конкурентов"))))</f>
        <v/>
      </c>
      <c r="O112" s="41">
        <f>IF(AND(C112&gt;0,D112&gt;0),(D112-C112)/C112,"")</f>
        <v/>
      </c>
      <c r="P112" s="41">
        <f>IF(AND(C112&gt;0,D112&gt;0),(D112-C112)/D112,"")</f>
        <v/>
      </c>
      <c r="Q112" s="40">
        <f>IF(AND(C112&gt;0,D112&gt;0),D112-C112,"")</f>
        <v/>
      </c>
      <c r="R112" s="39">
        <f>IF(P112="","-",IF(P112&lt;0.1,"Низкая(&lt;10%)",IF(P112&lt;0.2,"Средняя(10-20%)","Хорошая(&gt;20%)")))</f>
        <v/>
      </c>
      <c r="S112" s="39">
        <f>IF(OR(H112="",C112=""),"-",IF((H112-C112)/H112&lt;0.05,"КРИТИЧНО",IF((H112-C112)/H112&lt;0.15,"УМЕРЕННЫЙ","НИЗКИЙ")))</f>
        <v/>
      </c>
      <c r="T112" s="43" t="n"/>
      <c r="U112" s="40">
        <f>IF(T112&gt;0,T112*D112,"")</f>
        <v/>
      </c>
      <c r="V112" s="40">
        <f>IF(T112&gt;0,T112*Q112,"")</f>
        <v/>
      </c>
      <c r="W112" s="41">
        <f>IF(U112&gt;0,V112/U112,"")</f>
        <v/>
      </c>
      <c r="X112" s="40">
        <f>IF(F112&lt;&gt;"",F112,"")</f>
        <v/>
      </c>
      <c r="Y112" s="41">
        <f>IF(AND(X112&lt;&gt;"",C112&gt;0),(X112-C112)/C112,"")</f>
        <v/>
      </c>
      <c r="Z112" s="41">
        <f>IF(AND(X112&lt;&gt;"",X112&gt;0),(X112-C112)/X112,"")</f>
        <v/>
      </c>
      <c r="AA112" s="40">
        <f>IF(AND(X112&lt;&gt;"",C112&gt;0),X112-C112,"")</f>
        <v/>
      </c>
      <c r="AB112" s="41">
        <f>IF(AND(X112&lt;&gt;"",D112&gt;0),(X112-D112)/D112,"")</f>
        <v/>
      </c>
      <c r="AC112" s="41">
        <f>IF(AND(Z112&lt;&gt;"",P112&lt;&gt;""),(Z112-P112)/ABS(IF(P112=0,1,P112)),"")</f>
        <v/>
      </c>
      <c r="AD112" s="40">
        <f>IF(AND(AA112&lt;&gt;"",Q112&lt;&gt;""),AA112-Q112,"")</f>
        <v/>
      </c>
      <c r="AE112" s="40">
        <f>IF(G112&lt;&gt;"",G112,"")</f>
        <v/>
      </c>
      <c r="AF112" s="41">
        <f>IF(AND(AE112&lt;&gt;"",C112&gt;0),(AE112-C112)/C112,"")</f>
        <v/>
      </c>
      <c r="AG112" s="41">
        <f>IF(AND(AE112&lt;&gt;"",AE112&gt;0),(AE112-C112)/AE112,"")</f>
        <v/>
      </c>
      <c r="AH112" s="40">
        <f>IF(AND(AE112&lt;&gt;"",C112&gt;0),AE112-C112,"")</f>
        <v/>
      </c>
      <c r="AI112" s="41">
        <f>IF(AND(AE112&lt;&gt;"",D112&gt;0),(AE112-D112)/D112,"")</f>
        <v/>
      </c>
      <c r="AJ112" s="41">
        <f>IF(AND(AG112&lt;&gt;"",P112&lt;&gt;""),(AG112-P112)/ABS(IF(P112=0,1,P112)),"")</f>
        <v/>
      </c>
      <c r="AK112" s="40">
        <f>IF(AND(AH112&lt;&gt;"",Q112&lt;&gt;""),AH112-Q112,"")</f>
        <v/>
      </c>
      <c r="AL112" s="40">
        <f>IF(H112&lt;&gt;"",H112,"")</f>
        <v/>
      </c>
      <c r="AM112" s="41">
        <f>IF(AND(AL112&lt;&gt;"",C112&gt;0),(AL112-C112)/C112,"")</f>
        <v/>
      </c>
      <c r="AN112" s="41">
        <f>IF(AND(AL112&lt;&gt;"",AL112&gt;0),(AL112-C112)/AL112,"")</f>
        <v/>
      </c>
      <c r="AO112" s="40">
        <f>IF(AND(AL112&lt;&gt;"",C112&gt;0),AL112-C112,"")</f>
        <v/>
      </c>
      <c r="AP112" s="41">
        <f>IF(AND(AL112&lt;&gt;"",D112&gt;0),(AL112-D112)/D112,"")</f>
        <v/>
      </c>
      <c r="AQ112" s="41">
        <f>IF(AND(AN112&lt;&gt;"",P112&lt;&gt;""),(AN112-P112)/ABS(IF(P112=0,1,P112)),"")</f>
        <v/>
      </c>
      <c r="AR112" s="40">
        <f>IF(AND(AO112&lt;&gt;"",Q112&lt;&gt;""),AO112-Q112,"")</f>
        <v/>
      </c>
      <c r="AS112" s="44" t="n"/>
      <c r="AT112" s="41">
        <f>IF(AND(AS112&gt;0,C112&gt;0),(AS112-C112)/C112,"")</f>
        <v/>
      </c>
      <c r="AU112" s="41">
        <f>IF(AND(AS112&gt;0,AS112&gt;0),(AS112-C112)/AS112,"")</f>
        <v/>
      </c>
      <c r="AV112" s="40">
        <f>IF(AND(AS112&gt;0,C112&gt;0),AS112-C112,"")</f>
        <v/>
      </c>
      <c r="AW112" s="41">
        <f>IF(AND(AS112&gt;0,D112&gt;0),(AS112-D112)/D112,"")</f>
        <v/>
      </c>
      <c r="AX112" s="41">
        <f>IF(AND(AU112&lt;&gt;"",P112&lt;&gt;""),(AU112-P112)/ABS(IF(P112=0,1,P112)),"")</f>
        <v/>
      </c>
      <c r="AY112" s="40">
        <f>IF(AND(AV112&lt;&gt;"",Q112&lt;&gt;""),AV112-Q112,"")</f>
        <v/>
      </c>
      <c r="AZ112" s="45" t="n"/>
      <c r="BA112" s="40">
        <f>IF(AND(AZ112&gt;0,C112&gt;0),C112/(1-AZ112),"")</f>
        <v/>
      </c>
      <c r="BB112" s="41">
        <f>IF(AND(BA112&lt;&gt;"",C112&gt;0),(BA112-C112)/C112,"")</f>
        <v/>
      </c>
      <c r="BC112" s="41">
        <f>IF(BA112&lt;&gt;"",AZ112,"")</f>
        <v/>
      </c>
      <c r="BD112" s="40">
        <f>IF(AND(BA112&lt;&gt;"",C112&gt;0),BA112-C112,"")</f>
        <v/>
      </c>
      <c r="BE112" s="41">
        <f>IF(AND(BA112&lt;&gt;"",D112&gt;0),(BA112-D112)/D112,"")</f>
        <v/>
      </c>
      <c r="BF112" s="41">
        <f>IF(AND(BC112&lt;&gt;"",P112&lt;&gt;""),(BC112-P112)/ABS(IF(P112=0,1,P112)),"")</f>
        <v/>
      </c>
      <c r="BG112" s="40">
        <f>IF(AND(BD112&lt;&gt;"",Q112&lt;&gt;""),BD112-Q112,"")</f>
        <v/>
      </c>
      <c r="BH112" s="40">
        <f>IF(AND(T112&gt;0,X112&lt;&gt;""),T112*X112,"")</f>
        <v/>
      </c>
      <c r="BI112" s="40">
        <f>IF(AND(T112&gt;0,AA112&lt;&gt;""),T112*AA112,"")</f>
        <v/>
      </c>
      <c r="BJ112" s="40">
        <f>IF(AND(T112&gt;0,AE112&lt;&gt;""),T112*AE112,"")</f>
        <v/>
      </c>
      <c r="BK112" s="40">
        <f>IF(AND(T112&gt;0,AH112&lt;&gt;""),T112*AH112,"")</f>
        <v/>
      </c>
      <c r="BL112" s="40">
        <f>IF(AND(T112&gt;0,AL112&lt;&gt;""),T112*AL112,"")</f>
        <v/>
      </c>
      <c r="BM112" s="40">
        <f>IF(AND(T112&gt;0,AO112&lt;&gt;""),T112*AO112,"")</f>
        <v/>
      </c>
      <c r="BN112" s="40">
        <f>IF(AND(T112&gt;0,AS112&gt;0),T112*AS112,"")</f>
        <v/>
      </c>
      <c r="BO112" s="40">
        <f>IF(AND(T112&gt;0,AV112&lt;&gt;""),T112*AV112,"")</f>
        <v/>
      </c>
      <c r="BP112" s="40">
        <f>IF(AND(T112&gt;0,BA112&lt;&gt;""),T112*BA112,"")</f>
        <v/>
      </c>
      <c r="BQ112" s="40">
        <f>IF(AND(T112&gt;0,BD112&lt;&gt;""),T112*BD112,"")</f>
        <v/>
      </c>
      <c r="BR112" s="46">
        <f>IF(AND(T112&gt;0,V112&gt;0,AA112&lt;&gt;0),V112/AA112-T112,"")</f>
        <v/>
      </c>
      <c r="BS112" s="41">
        <f>IF(AND(BR112&lt;&gt;"",T112&gt;0),BR112/T112,"")</f>
        <v/>
      </c>
      <c r="BT112" s="46">
        <f>IF(AND(T112&gt;0,V112&gt;0,AO112&lt;&gt;0),V112/AO112-T112,"")</f>
        <v/>
      </c>
      <c r="BU112" s="41">
        <f>IF(AND(BT112&lt;&gt;"",T112&gt;0),BT112/T112,"")</f>
        <v/>
      </c>
    </row>
    <row r="113">
      <c r="A113" s="36">
        <f>'📊 Исходные данные'!A112</f>
        <v/>
      </c>
      <c r="B113" s="37">
        <f>'📊 Исходные данные'!B112</f>
        <v/>
      </c>
      <c r="C113" s="38">
        <f>'📊 Исходные данные'!C112</f>
        <v/>
      </c>
      <c r="D113" s="38">
        <f>'📊 Исходные данные'!D112</f>
        <v/>
      </c>
      <c r="E113" s="39">
        <f>IF(OR(D113="",F113=""),"-",IF(D113&gt;F113*1.05,"Выше рынка",IF(D113&lt;F113*0.95,"Ниже рынка","На уровне")))</f>
        <v/>
      </c>
      <c r="F113" s="40">
        <f>IFERROR(AVERAGE('📊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G113" s="40">
        <f>IFERROR(MEDIAN('📊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H113" s="40">
        <f>IFERROR(MIN('📊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I113" s="40">
        <f>IFERROR(MAX('📊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данные'!K112),"")</f>
        <v/>
      </c>
      <c r="J113" s="41">
        <f>IF(AND(D113&lt;&gt;"",F113&lt;&gt;""),(D113-F113)/F113,"")</f>
        <v/>
      </c>
      <c r="K113" s="41">
        <f>IF(AND(D113&lt;&gt;"",G113&lt;&gt;""),(D113-G113)/G113,"")</f>
        <v/>
      </c>
      <c r="L113" s="41">
        <f>IF(AND(D113&lt;&gt;"",H113&lt;&gt;""),(D113-H113)/H113,"")</f>
        <v/>
      </c>
      <c r="M113" s="42">
        <f>IFERROR(RANK(D113,('📊 Исходные данные'!E112,'📊 Исходные данные'!F112,'📊 Исходные данные'!G112,'📊 Исходные данные'!H112,'📊 Исходные данные'!I112,'📊 Исходные данные'!J112,'📊 Исходные данные'!K112)),"")</f>
        <v/>
      </c>
      <c r="N113" s="39">
        <f>IF(M113="","-",IF(M113=1,"Дороже всех",IF(M113=2,"2-й по цене",IF(M113&lt;=4,"Средний","Ниже конкурентов"))))</f>
        <v/>
      </c>
      <c r="O113" s="41">
        <f>IF(AND(C113&gt;0,D113&gt;0),(D113-C113)/C113,"")</f>
        <v/>
      </c>
      <c r="P113" s="41">
        <f>IF(AND(C113&gt;0,D113&gt;0),(D113-C113)/D113,"")</f>
        <v/>
      </c>
      <c r="Q113" s="40">
        <f>IF(AND(C113&gt;0,D113&gt;0),D113-C113,"")</f>
        <v/>
      </c>
      <c r="R113" s="39">
        <f>IF(P113="","-",IF(P113&lt;0.1,"Низкая(&lt;10%)",IF(P113&lt;0.2,"Средняя(10-20%)","Хорошая(&gt;20%)")))</f>
        <v/>
      </c>
      <c r="S113" s="39">
        <f>IF(OR(H113="",C113=""),"-",IF((H113-C113)/H113&lt;0.05,"КРИТИЧНО",IF((H113-C113)/H113&lt;0.15,"УМЕРЕННЫЙ","НИЗКИЙ")))</f>
        <v/>
      </c>
      <c r="T113" s="43" t="n"/>
      <c r="U113" s="40">
        <f>IF(T113&gt;0,T113*D113,"")</f>
        <v/>
      </c>
      <c r="V113" s="40">
        <f>IF(T113&gt;0,T113*Q113,"")</f>
        <v/>
      </c>
      <c r="W113" s="41">
        <f>IF(U113&gt;0,V113/U113,"")</f>
        <v/>
      </c>
      <c r="X113" s="40">
        <f>IF(F113&lt;&gt;"",F113,"")</f>
        <v/>
      </c>
      <c r="Y113" s="41">
        <f>IF(AND(X113&lt;&gt;"",C113&gt;0),(X113-C113)/C113,"")</f>
        <v/>
      </c>
      <c r="Z113" s="41">
        <f>IF(AND(X113&lt;&gt;"",X113&gt;0),(X113-C113)/X113,"")</f>
        <v/>
      </c>
      <c r="AA113" s="40">
        <f>IF(AND(X113&lt;&gt;"",C113&gt;0),X113-C113,"")</f>
        <v/>
      </c>
      <c r="AB113" s="41">
        <f>IF(AND(X113&lt;&gt;"",D113&gt;0),(X113-D113)/D113,"")</f>
        <v/>
      </c>
      <c r="AC113" s="41">
        <f>IF(AND(Z113&lt;&gt;"",P113&lt;&gt;""),(Z113-P113)/ABS(IF(P113=0,1,P113)),"")</f>
        <v/>
      </c>
      <c r="AD113" s="40">
        <f>IF(AND(AA113&lt;&gt;"",Q113&lt;&gt;""),AA113-Q113,"")</f>
        <v/>
      </c>
      <c r="AE113" s="40">
        <f>IF(G113&lt;&gt;"",G113,"")</f>
        <v/>
      </c>
      <c r="AF113" s="41">
        <f>IF(AND(AE113&lt;&gt;"",C113&gt;0),(AE113-C113)/C113,"")</f>
        <v/>
      </c>
      <c r="AG113" s="41">
        <f>IF(AND(AE113&lt;&gt;"",AE113&gt;0),(AE113-C113)/AE113,"")</f>
        <v/>
      </c>
      <c r="AH113" s="40">
        <f>IF(AND(AE113&lt;&gt;"",C113&gt;0),AE113-C113,"")</f>
        <v/>
      </c>
      <c r="AI113" s="41">
        <f>IF(AND(AE113&lt;&gt;"",D113&gt;0),(AE113-D113)/D113,"")</f>
        <v/>
      </c>
      <c r="AJ113" s="41">
        <f>IF(AND(AG113&lt;&gt;"",P113&lt;&gt;""),(AG113-P113)/ABS(IF(P113=0,1,P113)),"")</f>
        <v/>
      </c>
      <c r="AK113" s="40">
        <f>IF(AND(AH113&lt;&gt;"",Q113&lt;&gt;""),AH113-Q113,"")</f>
        <v/>
      </c>
      <c r="AL113" s="40">
        <f>IF(H113&lt;&gt;"",H113,"")</f>
        <v/>
      </c>
      <c r="AM113" s="41">
        <f>IF(AND(AL113&lt;&gt;"",C113&gt;0),(AL113-C113)/C113,"")</f>
        <v/>
      </c>
      <c r="AN113" s="41">
        <f>IF(AND(AL113&lt;&gt;"",AL113&gt;0),(AL113-C113)/AL113,"")</f>
        <v/>
      </c>
      <c r="AO113" s="40">
        <f>IF(AND(AL113&lt;&gt;"",C113&gt;0),AL113-C113,"")</f>
        <v/>
      </c>
      <c r="AP113" s="41">
        <f>IF(AND(AL113&lt;&gt;"",D113&gt;0),(AL113-D113)/D113,"")</f>
        <v/>
      </c>
      <c r="AQ113" s="41">
        <f>IF(AND(AN113&lt;&gt;"",P113&lt;&gt;""),(AN113-P113)/ABS(IF(P113=0,1,P113)),"")</f>
        <v/>
      </c>
      <c r="AR113" s="40">
        <f>IF(AND(AO113&lt;&gt;"",Q113&lt;&gt;""),AO113-Q113,"")</f>
        <v/>
      </c>
      <c r="AS113" s="44" t="n"/>
      <c r="AT113" s="41">
        <f>IF(AND(AS113&gt;0,C113&gt;0),(AS113-C113)/C113,"")</f>
        <v/>
      </c>
      <c r="AU113" s="41">
        <f>IF(AND(AS113&gt;0,AS113&gt;0),(AS113-C113)/AS113,"")</f>
        <v/>
      </c>
      <c r="AV113" s="40">
        <f>IF(AND(AS113&gt;0,C113&gt;0),AS113-C113,"")</f>
        <v/>
      </c>
      <c r="AW113" s="41">
        <f>IF(AND(AS113&gt;0,D113&gt;0),(AS113-D113)/D113,"")</f>
        <v/>
      </c>
      <c r="AX113" s="41">
        <f>IF(AND(AU113&lt;&gt;"",P113&lt;&gt;""),(AU113-P113)/ABS(IF(P113=0,1,P113)),"")</f>
        <v/>
      </c>
      <c r="AY113" s="40">
        <f>IF(AND(AV113&lt;&gt;"",Q113&lt;&gt;""),AV113-Q113,"")</f>
        <v/>
      </c>
      <c r="AZ113" s="45" t="n"/>
      <c r="BA113" s="40">
        <f>IF(AND(AZ113&gt;0,C113&gt;0),C113/(1-AZ113),"")</f>
        <v/>
      </c>
      <c r="BB113" s="41">
        <f>IF(AND(BA113&lt;&gt;"",C113&gt;0),(BA113-C113)/C113,"")</f>
        <v/>
      </c>
      <c r="BC113" s="41">
        <f>IF(BA113&lt;&gt;"",AZ113,"")</f>
        <v/>
      </c>
      <c r="BD113" s="40">
        <f>IF(AND(BA113&lt;&gt;"",C113&gt;0),BA113-C113,"")</f>
        <v/>
      </c>
      <c r="BE113" s="41">
        <f>IF(AND(BA113&lt;&gt;"",D113&gt;0),(BA113-D113)/D113,"")</f>
        <v/>
      </c>
      <c r="BF113" s="41">
        <f>IF(AND(BC113&lt;&gt;"",P113&lt;&gt;""),(BC113-P113)/ABS(IF(P113=0,1,P113)),"")</f>
        <v/>
      </c>
      <c r="BG113" s="40">
        <f>IF(AND(BD113&lt;&gt;"",Q113&lt;&gt;""),BD113-Q113,"")</f>
        <v/>
      </c>
      <c r="BH113" s="40">
        <f>IF(AND(T113&gt;0,X113&lt;&gt;""),T113*X113,"")</f>
        <v/>
      </c>
      <c r="BI113" s="40">
        <f>IF(AND(T113&gt;0,AA113&lt;&gt;""),T113*AA113,"")</f>
        <v/>
      </c>
      <c r="BJ113" s="40">
        <f>IF(AND(T113&gt;0,AE113&lt;&gt;""),T113*AE113,"")</f>
        <v/>
      </c>
      <c r="BK113" s="40">
        <f>IF(AND(T113&gt;0,AH113&lt;&gt;""),T113*AH113,"")</f>
        <v/>
      </c>
      <c r="BL113" s="40">
        <f>IF(AND(T113&gt;0,AL113&lt;&gt;""),T113*AL113,"")</f>
        <v/>
      </c>
      <c r="BM113" s="40">
        <f>IF(AND(T113&gt;0,AO113&lt;&gt;""),T113*AO113,"")</f>
        <v/>
      </c>
      <c r="BN113" s="40">
        <f>IF(AND(T113&gt;0,AS113&gt;0),T113*AS113,"")</f>
        <v/>
      </c>
      <c r="BO113" s="40">
        <f>IF(AND(T113&gt;0,AV113&lt;&gt;""),T113*AV113,"")</f>
        <v/>
      </c>
      <c r="BP113" s="40">
        <f>IF(AND(T113&gt;0,BA113&lt;&gt;""),T113*BA113,"")</f>
        <v/>
      </c>
      <c r="BQ113" s="40">
        <f>IF(AND(T113&gt;0,BD113&lt;&gt;""),T113*BD113,"")</f>
        <v/>
      </c>
      <c r="BR113" s="46">
        <f>IF(AND(T113&gt;0,V113&gt;0,AA113&lt;&gt;0),V113/AA113-T113,"")</f>
        <v/>
      </c>
      <c r="BS113" s="41">
        <f>IF(AND(BR113&lt;&gt;"",T113&gt;0),BR113/T113,"")</f>
        <v/>
      </c>
      <c r="BT113" s="46">
        <f>IF(AND(T113&gt;0,V113&gt;0,AO113&lt;&gt;0),V113/AO113-T113,"")</f>
        <v/>
      </c>
      <c r="BU113" s="41">
        <f>IF(AND(BT113&lt;&gt;"",T113&gt;0),BT113/T113,"")</f>
        <v/>
      </c>
    </row>
    <row r="114">
      <c r="A114" s="36">
        <f>'📊 Исходные данные'!A113</f>
        <v/>
      </c>
      <c r="B114" s="37">
        <f>'📊 Исходные данные'!B113</f>
        <v/>
      </c>
      <c r="C114" s="38">
        <f>'📊 Исходные данные'!C113</f>
        <v/>
      </c>
      <c r="D114" s="38">
        <f>'📊 Исходные данные'!D113</f>
        <v/>
      </c>
      <c r="E114" s="39">
        <f>IF(OR(D114="",F114=""),"-",IF(D114&gt;F114*1.05,"Выше рынка",IF(D114&lt;F114*0.95,"Ниже рынка","На уровне")))</f>
        <v/>
      </c>
      <c r="F114" s="40">
        <f>IFERROR(AVERAGE('📊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G114" s="40">
        <f>IFERROR(MEDIAN('📊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H114" s="40">
        <f>IFERROR(MIN('📊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I114" s="40">
        <f>IFERROR(MAX('📊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данные'!K113),"")</f>
        <v/>
      </c>
      <c r="J114" s="41">
        <f>IF(AND(D114&lt;&gt;"",F114&lt;&gt;""),(D114-F114)/F114,"")</f>
        <v/>
      </c>
      <c r="K114" s="41">
        <f>IF(AND(D114&lt;&gt;"",G114&lt;&gt;""),(D114-G114)/G114,"")</f>
        <v/>
      </c>
      <c r="L114" s="41">
        <f>IF(AND(D114&lt;&gt;"",H114&lt;&gt;""),(D114-H114)/H114,"")</f>
        <v/>
      </c>
      <c r="M114" s="42">
        <f>IFERROR(RANK(D114,('📊 Исходные данные'!E113,'📊 Исходные данные'!F113,'📊 Исходные данные'!G113,'📊 Исходные данные'!H113,'📊 Исходные данные'!I113,'📊 Исходные данные'!J113,'📊 Исходные данные'!K113)),"")</f>
        <v/>
      </c>
      <c r="N114" s="39">
        <f>IF(M114="","-",IF(M114=1,"Дороже всех",IF(M114=2,"2-й по цене",IF(M114&lt;=4,"Средний","Ниже конкурентов"))))</f>
        <v/>
      </c>
      <c r="O114" s="41">
        <f>IF(AND(C114&gt;0,D114&gt;0),(D114-C114)/C114,"")</f>
        <v/>
      </c>
      <c r="P114" s="41">
        <f>IF(AND(C114&gt;0,D114&gt;0),(D114-C114)/D114,"")</f>
        <v/>
      </c>
      <c r="Q114" s="40">
        <f>IF(AND(C114&gt;0,D114&gt;0),D114-C114,"")</f>
        <v/>
      </c>
      <c r="R114" s="39">
        <f>IF(P114="","-",IF(P114&lt;0.1,"Низкая(&lt;10%)",IF(P114&lt;0.2,"Средняя(10-20%)","Хорошая(&gt;20%)")))</f>
        <v/>
      </c>
      <c r="S114" s="39">
        <f>IF(OR(H114="",C114=""),"-",IF((H114-C114)/H114&lt;0.05,"КРИТИЧНО",IF((H114-C114)/H114&lt;0.15,"УМЕРЕННЫЙ","НИЗКИЙ")))</f>
        <v/>
      </c>
      <c r="T114" s="43" t="n"/>
      <c r="U114" s="40">
        <f>IF(T114&gt;0,T114*D114,"")</f>
        <v/>
      </c>
      <c r="V114" s="40">
        <f>IF(T114&gt;0,T114*Q114,"")</f>
        <v/>
      </c>
      <c r="W114" s="41">
        <f>IF(U114&gt;0,V114/U114,"")</f>
        <v/>
      </c>
      <c r="X114" s="40">
        <f>IF(F114&lt;&gt;"",F114,"")</f>
        <v/>
      </c>
      <c r="Y114" s="41">
        <f>IF(AND(X114&lt;&gt;"",C114&gt;0),(X114-C114)/C114,"")</f>
        <v/>
      </c>
      <c r="Z114" s="41">
        <f>IF(AND(X114&lt;&gt;"",X114&gt;0),(X114-C114)/X114,"")</f>
        <v/>
      </c>
      <c r="AA114" s="40">
        <f>IF(AND(X114&lt;&gt;"",C114&gt;0),X114-C114,"")</f>
        <v/>
      </c>
      <c r="AB114" s="41">
        <f>IF(AND(X114&lt;&gt;"",D114&gt;0),(X114-D114)/D114,"")</f>
        <v/>
      </c>
      <c r="AC114" s="41">
        <f>IF(AND(Z114&lt;&gt;"",P114&lt;&gt;""),(Z114-P114)/ABS(IF(P114=0,1,P114)),"")</f>
        <v/>
      </c>
      <c r="AD114" s="40">
        <f>IF(AND(AA114&lt;&gt;"",Q114&lt;&gt;""),AA114-Q114,"")</f>
        <v/>
      </c>
      <c r="AE114" s="40">
        <f>IF(G114&lt;&gt;"",G114,"")</f>
        <v/>
      </c>
      <c r="AF114" s="41">
        <f>IF(AND(AE114&lt;&gt;"",C114&gt;0),(AE114-C114)/C114,"")</f>
        <v/>
      </c>
      <c r="AG114" s="41">
        <f>IF(AND(AE114&lt;&gt;"",AE114&gt;0),(AE114-C114)/AE114,"")</f>
        <v/>
      </c>
      <c r="AH114" s="40">
        <f>IF(AND(AE114&lt;&gt;"",C114&gt;0),AE114-C114,"")</f>
        <v/>
      </c>
      <c r="AI114" s="41">
        <f>IF(AND(AE114&lt;&gt;"",D114&gt;0),(AE114-D114)/D114,"")</f>
        <v/>
      </c>
      <c r="AJ114" s="41">
        <f>IF(AND(AG114&lt;&gt;"",P114&lt;&gt;""),(AG114-P114)/ABS(IF(P114=0,1,P114)),"")</f>
        <v/>
      </c>
      <c r="AK114" s="40">
        <f>IF(AND(AH114&lt;&gt;"",Q114&lt;&gt;""),AH114-Q114,"")</f>
        <v/>
      </c>
      <c r="AL114" s="40">
        <f>IF(H114&lt;&gt;"",H114,"")</f>
        <v/>
      </c>
      <c r="AM114" s="41">
        <f>IF(AND(AL114&lt;&gt;"",C114&gt;0),(AL114-C114)/C114,"")</f>
        <v/>
      </c>
      <c r="AN114" s="41">
        <f>IF(AND(AL114&lt;&gt;"",AL114&gt;0),(AL114-C114)/AL114,"")</f>
        <v/>
      </c>
      <c r="AO114" s="40">
        <f>IF(AND(AL114&lt;&gt;"",C114&gt;0),AL114-C114,"")</f>
        <v/>
      </c>
      <c r="AP114" s="41">
        <f>IF(AND(AL114&lt;&gt;"",D114&gt;0),(AL114-D114)/D114,"")</f>
        <v/>
      </c>
      <c r="AQ114" s="41">
        <f>IF(AND(AN114&lt;&gt;"",P114&lt;&gt;""),(AN114-P114)/ABS(IF(P114=0,1,P114)),"")</f>
        <v/>
      </c>
      <c r="AR114" s="40">
        <f>IF(AND(AO114&lt;&gt;"",Q114&lt;&gt;""),AO114-Q114,"")</f>
        <v/>
      </c>
      <c r="AS114" s="44" t="n"/>
      <c r="AT114" s="41">
        <f>IF(AND(AS114&gt;0,C114&gt;0),(AS114-C114)/C114,"")</f>
        <v/>
      </c>
      <c r="AU114" s="41">
        <f>IF(AND(AS114&gt;0,AS114&gt;0),(AS114-C114)/AS114,"")</f>
        <v/>
      </c>
      <c r="AV114" s="40">
        <f>IF(AND(AS114&gt;0,C114&gt;0),AS114-C114,"")</f>
        <v/>
      </c>
      <c r="AW114" s="41">
        <f>IF(AND(AS114&gt;0,D114&gt;0),(AS114-D114)/D114,"")</f>
        <v/>
      </c>
      <c r="AX114" s="41">
        <f>IF(AND(AU114&lt;&gt;"",P114&lt;&gt;""),(AU114-P114)/ABS(IF(P114=0,1,P114)),"")</f>
        <v/>
      </c>
      <c r="AY114" s="40">
        <f>IF(AND(AV114&lt;&gt;"",Q114&lt;&gt;""),AV114-Q114,"")</f>
        <v/>
      </c>
      <c r="AZ114" s="45" t="n"/>
      <c r="BA114" s="40">
        <f>IF(AND(AZ114&gt;0,C114&gt;0),C114/(1-AZ114),"")</f>
        <v/>
      </c>
      <c r="BB114" s="41">
        <f>IF(AND(BA114&lt;&gt;"",C114&gt;0),(BA114-C114)/C114,"")</f>
        <v/>
      </c>
      <c r="BC114" s="41">
        <f>IF(BA114&lt;&gt;"",AZ114,"")</f>
        <v/>
      </c>
      <c r="BD114" s="40">
        <f>IF(AND(BA114&lt;&gt;"",C114&gt;0),BA114-C114,"")</f>
        <v/>
      </c>
      <c r="BE114" s="41">
        <f>IF(AND(BA114&lt;&gt;"",D114&gt;0),(BA114-D114)/D114,"")</f>
        <v/>
      </c>
      <c r="BF114" s="41">
        <f>IF(AND(BC114&lt;&gt;"",P114&lt;&gt;""),(BC114-P114)/ABS(IF(P114=0,1,P114)),"")</f>
        <v/>
      </c>
      <c r="BG114" s="40">
        <f>IF(AND(BD114&lt;&gt;"",Q114&lt;&gt;""),BD114-Q114,"")</f>
        <v/>
      </c>
      <c r="BH114" s="40">
        <f>IF(AND(T114&gt;0,X114&lt;&gt;""),T114*X114,"")</f>
        <v/>
      </c>
      <c r="BI114" s="40">
        <f>IF(AND(T114&gt;0,AA114&lt;&gt;""),T114*AA114,"")</f>
        <v/>
      </c>
      <c r="BJ114" s="40">
        <f>IF(AND(T114&gt;0,AE114&lt;&gt;""),T114*AE114,"")</f>
        <v/>
      </c>
      <c r="BK114" s="40">
        <f>IF(AND(T114&gt;0,AH114&lt;&gt;""),T114*AH114,"")</f>
        <v/>
      </c>
      <c r="BL114" s="40">
        <f>IF(AND(T114&gt;0,AL114&lt;&gt;""),T114*AL114,"")</f>
        <v/>
      </c>
      <c r="BM114" s="40">
        <f>IF(AND(T114&gt;0,AO114&lt;&gt;""),T114*AO114,"")</f>
        <v/>
      </c>
      <c r="BN114" s="40">
        <f>IF(AND(T114&gt;0,AS114&gt;0),T114*AS114,"")</f>
        <v/>
      </c>
      <c r="BO114" s="40">
        <f>IF(AND(T114&gt;0,AV114&lt;&gt;""),T114*AV114,"")</f>
        <v/>
      </c>
      <c r="BP114" s="40">
        <f>IF(AND(T114&gt;0,BA114&lt;&gt;""),T114*BA114,"")</f>
        <v/>
      </c>
      <c r="BQ114" s="40">
        <f>IF(AND(T114&gt;0,BD114&lt;&gt;""),T114*BD114,"")</f>
        <v/>
      </c>
      <c r="BR114" s="46">
        <f>IF(AND(T114&gt;0,V114&gt;0,AA114&lt;&gt;0),V114/AA114-T114,"")</f>
        <v/>
      </c>
      <c r="BS114" s="41">
        <f>IF(AND(BR114&lt;&gt;"",T114&gt;0),BR114/T114,"")</f>
        <v/>
      </c>
      <c r="BT114" s="46">
        <f>IF(AND(T114&gt;0,V114&gt;0,AO114&lt;&gt;0),V114/AO114-T114,"")</f>
        <v/>
      </c>
      <c r="BU114" s="41">
        <f>IF(AND(BT114&lt;&gt;"",T114&gt;0),BT114/T114,"")</f>
        <v/>
      </c>
    </row>
    <row r="115">
      <c r="A115" s="36">
        <f>'📊 Исходные данные'!A114</f>
        <v/>
      </c>
      <c r="B115" s="37">
        <f>'📊 Исходные данные'!B114</f>
        <v/>
      </c>
      <c r="C115" s="38">
        <f>'📊 Исходные данные'!C114</f>
        <v/>
      </c>
      <c r="D115" s="38">
        <f>'📊 Исходные данные'!D114</f>
        <v/>
      </c>
      <c r="E115" s="39">
        <f>IF(OR(D115="",F115=""),"-",IF(D115&gt;F115*1.05,"Выше рынка",IF(D115&lt;F115*0.95,"Ниже рынка","На уровне")))</f>
        <v/>
      </c>
      <c r="F115" s="40">
        <f>IFERROR(AVERAGE('📊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G115" s="40">
        <f>IFERROR(MEDIAN('📊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H115" s="40">
        <f>IFERROR(MIN('📊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I115" s="40">
        <f>IFERROR(MAX('📊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данные'!K114),"")</f>
        <v/>
      </c>
      <c r="J115" s="41">
        <f>IF(AND(D115&lt;&gt;"",F115&lt;&gt;""),(D115-F115)/F115,"")</f>
        <v/>
      </c>
      <c r="K115" s="41">
        <f>IF(AND(D115&lt;&gt;"",G115&lt;&gt;""),(D115-G115)/G115,"")</f>
        <v/>
      </c>
      <c r="L115" s="41">
        <f>IF(AND(D115&lt;&gt;"",H115&lt;&gt;""),(D115-H115)/H115,"")</f>
        <v/>
      </c>
      <c r="M115" s="42">
        <f>IFERROR(RANK(D115,('📊 Исходные данные'!E114,'📊 Исходные данные'!F114,'📊 Исходные данные'!G114,'📊 Исходные данные'!H114,'📊 Исходные данные'!I114,'📊 Исходные данные'!J114,'📊 Исходные данные'!K114)),"")</f>
        <v/>
      </c>
      <c r="N115" s="39">
        <f>IF(M115="","-",IF(M115=1,"Дороже всех",IF(M115=2,"2-й по цене",IF(M115&lt;=4,"Средний","Ниже конкурентов"))))</f>
        <v/>
      </c>
      <c r="O115" s="41">
        <f>IF(AND(C115&gt;0,D115&gt;0),(D115-C115)/C115,"")</f>
        <v/>
      </c>
      <c r="P115" s="41">
        <f>IF(AND(C115&gt;0,D115&gt;0),(D115-C115)/D115,"")</f>
        <v/>
      </c>
      <c r="Q115" s="40">
        <f>IF(AND(C115&gt;0,D115&gt;0),D115-C115,"")</f>
        <v/>
      </c>
      <c r="R115" s="39">
        <f>IF(P115="","-",IF(P115&lt;0.1,"Низкая(&lt;10%)",IF(P115&lt;0.2,"Средняя(10-20%)","Хорошая(&gt;20%)")))</f>
        <v/>
      </c>
      <c r="S115" s="39">
        <f>IF(OR(H115="",C115=""),"-",IF((H115-C115)/H115&lt;0.05,"КРИТИЧНО",IF((H115-C115)/H115&lt;0.15,"УМЕРЕННЫЙ","НИЗКИЙ")))</f>
        <v/>
      </c>
      <c r="T115" s="43" t="n"/>
      <c r="U115" s="40">
        <f>IF(T115&gt;0,T115*D115,"")</f>
        <v/>
      </c>
      <c r="V115" s="40">
        <f>IF(T115&gt;0,T115*Q115,"")</f>
        <v/>
      </c>
      <c r="W115" s="41">
        <f>IF(U115&gt;0,V115/U115,"")</f>
        <v/>
      </c>
      <c r="X115" s="40">
        <f>IF(F115&lt;&gt;"",F115,"")</f>
        <v/>
      </c>
      <c r="Y115" s="41">
        <f>IF(AND(X115&lt;&gt;"",C115&gt;0),(X115-C115)/C115,"")</f>
        <v/>
      </c>
      <c r="Z115" s="41">
        <f>IF(AND(X115&lt;&gt;"",X115&gt;0),(X115-C115)/X115,"")</f>
        <v/>
      </c>
      <c r="AA115" s="40">
        <f>IF(AND(X115&lt;&gt;"",C115&gt;0),X115-C115,"")</f>
        <v/>
      </c>
      <c r="AB115" s="41">
        <f>IF(AND(X115&lt;&gt;"",D115&gt;0),(X115-D115)/D115,"")</f>
        <v/>
      </c>
      <c r="AC115" s="41">
        <f>IF(AND(Z115&lt;&gt;"",P115&lt;&gt;""),(Z115-P115)/ABS(IF(P115=0,1,P115)),"")</f>
        <v/>
      </c>
      <c r="AD115" s="40">
        <f>IF(AND(AA115&lt;&gt;"",Q115&lt;&gt;""),AA115-Q115,"")</f>
        <v/>
      </c>
      <c r="AE115" s="40">
        <f>IF(G115&lt;&gt;"",G115,"")</f>
        <v/>
      </c>
      <c r="AF115" s="41">
        <f>IF(AND(AE115&lt;&gt;"",C115&gt;0),(AE115-C115)/C115,"")</f>
        <v/>
      </c>
      <c r="AG115" s="41">
        <f>IF(AND(AE115&lt;&gt;"",AE115&gt;0),(AE115-C115)/AE115,"")</f>
        <v/>
      </c>
      <c r="AH115" s="40">
        <f>IF(AND(AE115&lt;&gt;"",C115&gt;0),AE115-C115,"")</f>
        <v/>
      </c>
      <c r="AI115" s="41">
        <f>IF(AND(AE115&lt;&gt;"",D115&gt;0),(AE115-D115)/D115,"")</f>
        <v/>
      </c>
      <c r="AJ115" s="41">
        <f>IF(AND(AG115&lt;&gt;"",P115&lt;&gt;""),(AG115-P115)/ABS(IF(P115=0,1,P115)),"")</f>
        <v/>
      </c>
      <c r="AK115" s="40">
        <f>IF(AND(AH115&lt;&gt;"",Q115&lt;&gt;""),AH115-Q115,"")</f>
        <v/>
      </c>
      <c r="AL115" s="40">
        <f>IF(H115&lt;&gt;"",H115,"")</f>
        <v/>
      </c>
      <c r="AM115" s="41">
        <f>IF(AND(AL115&lt;&gt;"",C115&gt;0),(AL115-C115)/C115,"")</f>
        <v/>
      </c>
      <c r="AN115" s="41">
        <f>IF(AND(AL115&lt;&gt;"",AL115&gt;0),(AL115-C115)/AL115,"")</f>
        <v/>
      </c>
      <c r="AO115" s="40">
        <f>IF(AND(AL115&lt;&gt;"",C115&gt;0),AL115-C115,"")</f>
        <v/>
      </c>
      <c r="AP115" s="41">
        <f>IF(AND(AL115&lt;&gt;"",D115&gt;0),(AL115-D115)/D115,"")</f>
        <v/>
      </c>
      <c r="AQ115" s="41">
        <f>IF(AND(AN115&lt;&gt;"",P115&lt;&gt;""),(AN115-P115)/ABS(IF(P115=0,1,P115)),"")</f>
        <v/>
      </c>
      <c r="AR115" s="40">
        <f>IF(AND(AO115&lt;&gt;"",Q115&lt;&gt;""),AO115-Q115,"")</f>
        <v/>
      </c>
      <c r="AS115" s="44" t="n"/>
      <c r="AT115" s="41">
        <f>IF(AND(AS115&gt;0,C115&gt;0),(AS115-C115)/C115,"")</f>
        <v/>
      </c>
      <c r="AU115" s="41">
        <f>IF(AND(AS115&gt;0,AS115&gt;0),(AS115-C115)/AS115,"")</f>
        <v/>
      </c>
      <c r="AV115" s="40">
        <f>IF(AND(AS115&gt;0,C115&gt;0),AS115-C115,"")</f>
        <v/>
      </c>
      <c r="AW115" s="41">
        <f>IF(AND(AS115&gt;0,D115&gt;0),(AS115-D115)/D115,"")</f>
        <v/>
      </c>
      <c r="AX115" s="41">
        <f>IF(AND(AU115&lt;&gt;"",P115&lt;&gt;""),(AU115-P115)/ABS(IF(P115=0,1,P115)),"")</f>
        <v/>
      </c>
      <c r="AY115" s="40">
        <f>IF(AND(AV115&lt;&gt;"",Q115&lt;&gt;""),AV115-Q115,"")</f>
        <v/>
      </c>
      <c r="AZ115" s="45" t="n"/>
      <c r="BA115" s="40">
        <f>IF(AND(AZ115&gt;0,C115&gt;0),C115/(1-AZ115),"")</f>
        <v/>
      </c>
      <c r="BB115" s="41">
        <f>IF(AND(BA115&lt;&gt;"",C115&gt;0),(BA115-C115)/C115,"")</f>
        <v/>
      </c>
      <c r="BC115" s="41">
        <f>IF(BA115&lt;&gt;"",AZ115,"")</f>
        <v/>
      </c>
      <c r="BD115" s="40">
        <f>IF(AND(BA115&lt;&gt;"",C115&gt;0),BA115-C115,"")</f>
        <v/>
      </c>
      <c r="BE115" s="41">
        <f>IF(AND(BA115&lt;&gt;"",D115&gt;0),(BA115-D115)/D115,"")</f>
        <v/>
      </c>
      <c r="BF115" s="41">
        <f>IF(AND(BC115&lt;&gt;"",P115&lt;&gt;""),(BC115-P115)/ABS(IF(P115=0,1,P115)),"")</f>
        <v/>
      </c>
      <c r="BG115" s="40">
        <f>IF(AND(BD115&lt;&gt;"",Q115&lt;&gt;""),BD115-Q115,"")</f>
        <v/>
      </c>
      <c r="BH115" s="40">
        <f>IF(AND(T115&gt;0,X115&lt;&gt;""),T115*X115,"")</f>
        <v/>
      </c>
      <c r="BI115" s="40">
        <f>IF(AND(T115&gt;0,AA115&lt;&gt;""),T115*AA115,"")</f>
        <v/>
      </c>
      <c r="BJ115" s="40">
        <f>IF(AND(T115&gt;0,AE115&lt;&gt;""),T115*AE115,"")</f>
        <v/>
      </c>
      <c r="BK115" s="40">
        <f>IF(AND(T115&gt;0,AH115&lt;&gt;""),T115*AH115,"")</f>
        <v/>
      </c>
      <c r="BL115" s="40">
        <f>IF(AND(T115&gt;0,AL115&lt;&gt;""),T115*AL115,"")</f>
        <v/>
      </c>
      <c r="BM115" s="40">
        <f>IF(AND(T115&gt;0,AO115&lt;&gt;""),T115*AO115,"")</f>
        <v/>
      </c>
      <c r="BN115" s="40">
        <f>IF(AND(T115&gt;0,AS115&gt;0),T115*AS115,"")</f>
        <v/>
      </c>
      <c r="BO115" s="40">
        <f>IF(AND(T115&gt;0,AV115&lt;&gt;""),T115*AV115,"")</f>
        <v/>
      </c>
      <c r="BP115" s="40">
        <f>IF(AND(T115&gt;0,BA115&lt;&gt;""),T115*BA115,"")</f>
        <v/>
      </c>
      <c r="BQ115" s="40">
        <f>IF(AND(T115&gt;0,BD115&lt;&gt;""),T115*BD115,"")</f>
        <v/>
      </c>
      <c r="BR115" s="46">
        <f>IF(AND(T115&gt;0,V115&gt;0,AA115&lt;&gt;0),V115/AA115-T115,"")</f>
        <v/>
      </c>
      <c r="BS115" s="41">
        <f>IF(AND(BR115&lt;&gt;"",T115&gt;0),BR115/T115,"")</f>
        <v/>
      </c>
      <c r="BT115" s="46">
        <f>IF(AND(T115&gt;0,V115&gt;0,AO115&lt;&gt;0),V115/AO115-T115,"")</f>
        <v/>
      </c>
      <c r="BU115" s="41">
        <f>IF(AND(BT115&lt;&gt;"",T115&gt;0),BT115/T115,"")</f>
        <v/>
      </c>
    </row>
    <row r="116">
      <c r="A116" s="36">
        <f>'📊 Исходные данные'!A115</f>
        <v/>
      </c>
      <c r="B116" s="37">
        <f>'📊 Исходные данные'!B115</f>
        <v/>
      </c>
      <c r="C116" s="38">
        <f>'📊 Исходные данные'!C115</f>
        <v/>
      </c>
      <c r="D116" s="38">
        <f>'📊 Исходные данные'!D115</f>
        <v/>
      </c>
      <c r="E116" s="39">
        <f>IF(OR(D116="",F116=""),"-",IF(D116&gt;F116*1.05,"Выше рынка",IF(D116&lt;F116*0.95,"Ниже рынка","На уровне")))</f>
        <v/>
      </c>
      <c r="F116" s="40">
        <f>IFERROR(AVERAGE('📊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G116" s="40">
        <f>IFERROR(MEDIAN('📊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H116" s="40">
        <f>IFERROR(MIN('📊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I116" s="40">
        <f>IFERROR(MAX('📊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данные'!K115),"")</f>
        <v/>
      </c>
      <c r="J116" s="41">
        <f>IF(AND(D116&lt;&gt;"",F116&lt;&gt;""),(D116-F116)/F116,"")</f>
        <v/>
      </c>
      <c r="K116" s="41">
        <f>IF(AND(D116&lt;&gt;"",G116&lt;&gt;""),(D116-G116)/G116,"")</f>
        <v/>
      </c>
      <c r="L116" s="41">
        <f>IF(AND(D116&lt;&gt;"",H116&lt;&gt;""),(D116-H116)/H116,"")</f>
        <v/>
      </c>
      <c r="M116" s="42">
        <f>IFERROR(RANK(D116,('📊 Исходные данные'!E115,'📊 Исходные данные'!F115,'📊 Исходные данные'!G115,'📊 Исходные данные'!H115,'📊 Исходные данные'!I115,'📊 Исходные данные'!J115,'📊 Исходные данные'!K115)),"")</f>
        <v/>
      </c>
      <c r="N116" s="39">
        <f>IF(M116="","-",IF(M116=1,"Дороже всех",IF(M116=2,"2-й по цене",IF(M116&lt;=4,"Средний","Ниже конкурентов"))))</f>
        <v/>
      </c>
      <c r="O116" s="41">
        <f>IF(AND(C116&gt;0,D116&gt;0),(D116-C116)/C116,"")</f>
        <v/>
      </c>
      <c r="P116" s="41">
        <f>IF(AND(C116&gt;0,D116&gt;0),(D116-C116)/D116,"")</f>
        <v/>
      </c>
      <c r="Q116" s="40">
        <f>IF(AND(C116&gt;0,D116&gt;0),D116-C116,"")</f>
        <v/>
      </c>
      <c r="R116" s="39">
        <f>IF(P116="","-",IF(P116&lt;0.1,"Низкая(&lt;10%)",IF(P116&lt;0.2,"Средняя(10-20%)","Хорошая(&gt;20%)")))</f>
        <v/>
      </c>
      <c r="S116" s="39">
        <f>IF(OR(H116="",C116=""),"-",IF((H116-C116)/H116&lt;0.05,"КРИТИЧНО",IF((H116-C116)/H116&lt;0.15,"УМЕРЕННЫЙ","НИЗКИЙ")))</f>
        <v/>
      </c>
      <c r="T116" s="43" t="n"/>
      <c r="U116" s="40">
        <f>IF(T116&gt;0,T116*D116,"")</f>
        <v/>
      </c>
      <c r="V116" s="40">
        <f>IF(T116&gt;0,T116*Q116,"")</f>
        <v/>
      </c>
      <c r="W116" s="41">
        <f>IF(U116&gt;0,V116/U116,"")</f>
        <v/>
      </c>
      <c r="X116" s="40">
        <f>IF(F116&lt;&gt;"",F116,"")</f>
        <v/>
      </c>
      <c r="Y116" s="41">
        <f>IF(AND(X116&lt;&gt;"",C116&gt;0),(X116-C116)/C116,"")</f>
        <v/>
      </c>
      <c r="Z116" s="41">
        <f>IF(AND(X116&lt;&gt;"",X116&gt;0),(X116-C116)/X116,"")</f>
        <v/>
      </c>
      <c r="AA116" s="40">
        <f>IF(AND(X116&lt;&gt;"",C116&gt;0),X116-C116,"")</f>
        <v/>
      </c>
      <c r="AB116" s="41">
        <f>IF(AND(X116&lt;&gt;"",D116&gt;0),(X116-D116)/D116,"")</f>
        <v/>
      </c>
      <c r="AC116" s="41">
        <f>IF(AND(Z116&lt;&gt;"",P116&lt;&gt;""),(Z116-P116)/ABS(IF(P116=0,1,P116)),"")</f>
        <v/>
      </c>
      <c r="AD116" s="40">
        <f>IF(AND(AA116&lt;&gt;"",Q116&lt;&gt;""),AA116-Q116,"")</f>
        <v/>
      </c>
      <c r="AE116" s="40">
        <f>IF(G116&lt;&gt;"",G116,"")</f>
        <v/>
      </c>
      <c r="AF116" s="41">
        <f>IF(AND(AE116&lt;&gt;"",C116&gt;0),(AE116-C116)/C116,"")</f>
        <v/>
      </c>
      <c r="AG116" s="41">
        <f>IF(AND(AE116&lt;&gt;"",AE116&gt;0),(AE116-C116)/AE116,"")</f>
        <v/>
      </c>
      <c r="AH116" s="40">
        <f>IF(AND(AE116&lt;&gt;"",C116&gt;0),AE116-C116,"")</f>
        <v/>
      </c>
      <c r="AI116" s="41">
        <f>IF(AND(AE116&lt;&gt;"",D116&gt;0),(AE116-D116)/D116,"")</f>
        <v/>
      </c>
      <c r="AJ116" s="41">
        <f>IF(AND(AG116&lt;&gt;"",P116&lt;&gt;""),(AG116-P116)/ABS(IF(P116=0,1,P116)),"")</f>
        <v/>
      </c>
      <c r="AK116" s="40">
        <f>IF(AND(AH116&lt;&gt;"",Q116&lt;&gt;""),AH116-Q116,"")</f>
        <v/>
      </c>
      <c r="AL116" s="40">
        <f>IF(H116&lt;&gt;"",H116,"")</f>
        <v/>
      </c>
      <c r="AM116" s="41">
        <f>IF(AND(AL116&lt;&gt;"",C116&gt;0),(AL116-C116)/C116,"")</f>
        <v/>
      </c>
      <c r="AN116" s="41">
        <f>IF(AND(AL116&lt;&gt;"",AL116&gt;0),(AL116-C116)/AL116,"")</f>
        <v/>
      </c>
      <c r="AO116" s="40">
        <f>IF(AND(AL116&lt;&gt;"",C116&gt;0),AL116-C116,"")</f>
        <v/>
      </c>
      <c r="AP116" s="41">
        <f>IF(AND(AL116&lt;&gt;"",D116&gt;0),(AL116-D116)/D116,"")</f>
        <v/>
      </c>
      <c r="AQ116" s="41">
        <f>IF(AND(AN116&lt;&gt;"",P116&lt;&gt;""),(AN116-P116)/ABS(IF(P116=0,1,P116)),"")</f>
        <v/>
      </c>
      <c r="AR116" s="40">
        <f>IF(AND(AO116&lt;&gt;"",Q116&lt;&gt;""),AO116-Q116,"")</f>
        <v/>
      </c>
      <c r="AS116" s="44" t="n"/>
      <c r="AT116" s="41">
        <f>IF(AND(AS116&gt;0,C116&gt;0),(AS116-C116)/C116,"")</f>
        <v/>
      </c>
      <c r="AU116" s="41">
        <f>IF(AND(AS116&gt;0,AS116&gt;0),(AS116-C116)/AS116,"")</f>
        <v/>
      </c>
      <c r="AV116" s="40">
        <f>IF(AND(AS116&gt;0,C116&gt;0),AS116-C116,"")</f>
        <v/>
      </c>
      <c r="AW116" s="41">
        <f>IF(AND(AS116&gt;0,D116&gt;0),(AS116-D116)/D116,"")</f>
        <v/>
      </c>
      <c r="AX116" s="41">
        <f>IF(AND(AU116&lt;&gt;"",P116&lt;&gt;""),(AU116-P116)/ABS(IF(P116=0,1,P116)),"")</f>
        <v/>
      </c>
      <c r="AY116" s="40">
        <f>IF(AND(AV116&lt;&gt;"",Q116&lt;&gt;""),AV116-Q116,"")</f>
        <v/>
      </c>
      <c r="AZ116" s="45" t="n"/>
      <c r="BA116" s="40">
        <f>IF(AND(AZ116&gt;0,C116&gt;0),C116/(1-AZ116),"")</f>
        <v/>
      </c>
      <c r="BB116" s="41">
        <f>IF(AND(BA116&lt;&gt;"",C116&gt;0),(BA116-C116)/C116,"")</f>
        <v/>
      </c>
      <c r="BC116" s="41">
        <f>IF(BA116&lt;&gt;"",AZ116,"")</f>
        <v/>
      </c>
      <c r="BD116" s="40">
        <f>IF(AND(BA116&lt;&gt;"",C116&gt;0),BA116-C116,"")</f>
        <v/>
      </c>
      <c r="BE116" s="41">
        <f>IF(AND(BA116&lt;&gt;"",D116&gt;0),(BA116-D116)/D116,"")</f>
        <v/>
      </c>
      <c r="BF116" s="41">
        <f>IF(AND(BC116&lt;&gt;"",P116&lt;&gt;""),(BC116-P116)/ABS(IF(P116=0,1,P116)),"")</f>
        <v/>
      </c>
      <c r="BG116" s="40">
        <f>IF(AND(BD116&lt;&gt;"",Q116&lt;&gt;""),BD116-Q116,"")</f>
        <v/>
      </c>
      <c r="BH116" s="40">
        <f>IF(AND(T116&gt;0,X116&lt;&gt;""),T116*X116,"")</f>
        <v/>
      </c>
      <c r="BI116" s="40">
        <f>IF(AND(T116&gt;0,AA116&lt;&gt;""),T116*AA116,"")</f>
        <v/>
      </c>
      <c r="BJ116" s="40">
        <f>IF(AND(T116&gt;0,AE116&lt;&gt;""),T116*AE116,"")</f>
        <v/>
      </c>
      <c r="BK116" s="40">
        <f>IF(AND(T116&gt;0,AH116&lt;&gt;""),T116*AH116,"")</f>
        <v/>
      </c>
      <c r="BL116" s="40">
        <f>IF(AND(T116&gt;0,AL116&lt;&gt;""),T116*AL116,"")</f>
        <v/>
      </c>
      <c r="BM116" s="40">
        <f>IF(AND(T116&gt;0,AO116&lt;&gt;""),T116*AO116,"")</f>
        <v/>
      </c>
      <c r="BN116" s="40">
        <f>IF(AND(T116&gt;0,AS116&gt;0),T116*AS116,"")</f>
        <v/>
      </c>
      <c r="BO116" s="40">
        <f>IF(AND(T116&gt;0,AV116&lt;&gt;""),T116*AV116,"")</f>
        <v/>
      </c>
      <c r="BP116" s="40">
        <f>IF(AND(T116&gt;0,BA116&lt;&gt;""),T116*BA116,"")</f>
        <v/>
      </c>
      <c r="BQ116" s="40">
        <f>IF(AND(T116&gt;0,BD116&lt;&gt;""),T116*BD116,"")</f>
        <v/>
      </c>
      <c r="BR116" s="46">
        <f>IF(AND(T116&gt;0,V116&gt;0,AA116&lt;&gt;0),V116/AA116-T116,"")</f>
        <v/>
      </c>
      <c r="BS116" s="41">
        <f>IF(AND(BR116&lt;&gt;"",T116&gt;0),BR116/T116,"")</f>
        <v/>
      </c>
      <c r="BT116" s="46">
        <f>IF(AND(T116&gt;0,V116&gt;0,AO116&lt;&gt;0),V116/AO116-T116,"")</f>
        <v/>
      </c>
      <c r="BU116" s="41">
        <f>IF(AND(BT116&lt;&gt;"",T116&gt;0),BT116/T116,"")</f>
        <v/>
      </c>
    </row>
    <row r="117">
      <c r="A117" s="36">
        <f>'📊 Исходные данные'!A116</f>
        <v/>
      </c>
      <c r="B117" s="37">
        <f>'📊 Исходные данные'!B116</f>
        <v/>
      </c>
      <c r="C117" s="38">
        <f>'📊 Исходные данные'!C116</f>
        <v/>
      </c>
      <c r="D117" s="38">
        <f>'📊 Исходные данные'!D116</f>
        <v/>
      </c>
      <c r="E117" s="39">
        <f>IF(OR(D117="",F117=""),"-",IF(D117&gt;F117*1.05,"Выше рынка",IF(D117&lt;F117*0.95,"Ниже рынка","На уровне")))</f>
        <v/>
      </c>
      <c r="F117" s="40">
        <f>IFERROR(AVERAGE('📊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G117" s="40">
        <f>IFERROR(MEDIAN('📊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H117" s="40">
        <f>IFERROR(MIN('📊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I117" s="40">
        <f>IFERROR(MAX('📊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данные'!K116),"")</f>
        <v/>
      </c>
      <c r="J117" s="41">
        <f>IF(AND(D117&lt;&gt;"",F117&lt;&gt;""),(D117-F117)/F117,"")</f>
        <v/>
      </c>
      <c r="K117" s="41">
        <f>IF(AND(D117&lt;&gt;"",G117&lt;&gt;""),(D117-G117)/G117,"")</f>
        <v/>
      </c>
      <c r="L117" s="41">
        <f>IF(AND(D117&lt;&gt;"",H117&lt;&gt;""),(D117-H117)/H117,"")</f>
        <v/>
      </c>
      <c r="M117" s="42">
        <f>IFERROR(RANK(D117,('📊 Исходные данные'!E116,'📊 Исходные данные'!F116,'📊 Исходные данные'!G116,'📊 Исходные данные'!H116,'📊 Исходные данные'!I116,'📊 Исходные данные'!J116,'📊 Исходные данные'!K116)),"")</f>
        <v/>
      </c>
      <c r="N117" s="39">
        <f>IF(M117="","-",IF(M117=1,"Дороже всех",IF(M117=2,"2-й по цене",IF(M117&lt;=4,"Средний","Ниже конкурентов"))))</f>
        <v/>
      </c>
      <c r="O117" s="41">
        <f>IF(AND(C117&gt;0,D117&gt;0),(D117-C117)/C117,"")</f>
        <v/>
      </c>
      <c r="P117" s="41">
        <f>IF(AND(C117&gt;0,D117&gt;0),(D117-C117)/D117,"")</f>
        <v/>
      </c>
      <c r="Q117" s="40">
        <f>IF(AND(C117&gt;0,D117&gt;0),D117-C117,"")</f>
        <v/>
      </c>
      <c r="R117" s="39">
        <f>IF(P117="","-",IF(P117&lt;0.1,"Низкая(&lt;10%)",IF(P117&lt;0.2,"Средняя(10-20%)","Хорошая(&gt;20%)")))</f>
        <v/>
      </c>
      <c r="S117" s="39">
        <f>IF(OR(H117="",C117=""),"-",IF((H117-C117)/H117&lt;0.05,"КРИТИЧНО",IF((H117-C117)/H117&lt;0.15,"УМЕРЕННЫЙ","НИЗКИЙ")))</f>
        <v/>
      </c>
      <c r="T117" s="43" t="n"/>
      <c r="U117" s="40">
        <f>IF(T117&gt;0,T117*D117,"")</f>
        <v/>
      </c>
      <c r="V117" s="40">
        <f>IF(T117&gt;0,T117*Q117,"")</f>
        <v/>
      </c>
      <c r="W117" s="41">
        <f>IF(U117&gt;0,V117/U117,"")</f>
        <v/>
      </c>
      <c r="X117" s="40">
        <f>IF(F117&lt;&gt;"",F117,"")</f>
        <v/>
      </c>
      <c r="Y117" s="41">
        <f>IF(AND(X117&lt;&gt;"",C117&gt;0),(X117-C117)/C117,"")</f>
        <v/>
      </c>
      <c r="Z117" s="41">
        <f>IF(AND(X117&lt;&gt;"",X117&gt;0),(X117-C117)/X117,"")</f>
        <v/>
      </c>
      <c r="AA117" s="40">
        <f>IF(AND(X117&lt;&gt;"",C117&gt;0),X117-C117,"")</f>
        <v/>
      </c>
      <c r="AB117" s="41">
        <f>IF(AND(X117&lt;&gt;"",D117&gt;0),(X117-D117)/D117,"")</f>
        <v/>
      </c>
      <c r="AC117" s="41">
        <f>IF(AND(Z117&lt;&gt;"",P117&lt;&gt;""),(Z117-P117)/ABS(IF(P117=0,1,P117)),"")</f>
        <v/>
      </c>
      <c r="AD117" s="40">
        <f>IF(AND(AA117&lt;&gt;"",Q117&lt;&gt;""),AA117-Q117,"")</f>
        <v/>
      </c>
      <c r="AE117" s="40">
        <f>IF(G117&lt;&gt;"",G117,"")</f>
        <v/>
      </c>
      <c r="AF117" s="41">
        <f>IF(AND(AE117&lt;&gt;"",C117&gt;0),(AE117-C117)/C117,"")</f>
        <v/>
      </c>
      <c r="AG117" s="41">
        <f>IF(AND(AE117&lt;&gt;"",AE117&gt;0),(AE117-C117)/AE117,"")</f>
        <v/>
      </c>
      <c r="AH117" s="40">
        <f>IF(AND(AE117&lt;&gt;"",C117&gt;0),AE117-C117,"")</f>
        <v/>
      </c>
      <c r="AI117" s="41">
        <f>IF(AND(AE117&lt;&gt;"",D117&gt;0),(AE117-D117)/D117,"")</f>
        <v/>
      </c>
      <c r="AJ117" s="41">
        <f>IF(AND(AG117&lt;&gt;"",P117&lt;&gt;""),(AG117-P117)/ABS(IF(P117=0,1,P117)),"")</f>
        <v/>
      </c>
      <c r="AK117" s="40">
        <f>IF(AND(AH117&lt;&gt;"",Q117&lt;&gt;""),AH117-Q117,"")</f>
        <v/>
      </c>
      <c r="AL117" s="40">
        <f>IF(H117&lt;&gt;"",H117,"")</f>
        <v/>
      </c>
      <c r="AM117" s="41">
        <f>IF(AND(AL117&lt;&gt;"",C117&gt;0),(AL117-C117)/C117,"")</f>
        <v/>
      </c>
      <c r="AN117" s="41">
        <f>IF(AND(AL117&lt;&gt;"",AL117&gt;0),(AL117-C117)/AL117,"")</f>
        <v/>
      </c>
      <c r="AO117" s="40">
        <f>IF(AND(AL117&lt;&gt;"",C117&gt;0),AL117-C117,"")</f>
        <v/>
      </c>
      <c r="AP117" s="41">
        <f>IF(AND(AL117&lt;&gt;"",D117&gt;0),(AL117-D117)/D117,"")</f>
        <v/>
      </c>
      <c r="AQ117" s="41">
        <f>IF(AND(AN117&lt;&gt;"",P117&lt;&gt;""),(AN117-P117)/ABS(IF(P117=0,1,P117)),"")</f>
        <v/>
      </c>
      <c r="AR117" s="40">
        <f>IF(AND(AO117&lt;&gt;"",Q117&lt;&gt;""),AO117-Q117,"")</f>
        <v/>
      </c>
      <c r="AS117" s="44" t="n"/>
      <c r="AT117" s="41">
        <f>IF(AND(AS117&gt;0,C117&gt;0),(AS117-C117)/C117,"")</f>
        <v/>
      </c>
      <c r="AU117" s="41">
        <f>IF(AND(AS117&gt;0,AS117&gt;0),(AS117-C117)/AS117,"")</f>
        <v/>
      </c>
      <c r="AV117" s="40">
        <f>IF(AND(AS117&gt;0,C117&gt;0),AS117-C117,"")</f>
        <v/>
      </c>
      <c r="AW117" s="41">
        <f>IF(AND(AS117&gt;0,D117&gt;0),(AS117-D117)/D117,"")</f>
        <v/>
      </c>
      <c r="AX117" s="41">
        <f>IF(AND(AU117&lt;&gt;"",P117&lt;&gt;""),(AU117-P117)/ABS(IF(P117=0,1,P117)),"")</f>
        <v/>
      </c>
      <c r="AY117" s="40">
        <f>IF(AND(AV117&lt;&gt;"",Q117&lt;&gt;""),AV117-Q117,"")</f>
        <v/>
      </c>
      <c r="AZ117" s="45" t="n"/>
      <c r="BA117" s="40">
        <f>IF(AND(AZ117&gt;0,C117&gt;0),C117/(1-AZ117),"")</f>
        <v/>
      </c>
      <c r="BB117" s="41">
        <f>IF(AND(BA117&lt;&gt;"",C117&gt;0),(BA117-C117)/C117,"")</f>
        <v/>
      </c>
      <c r="BC117" s="41">
        <f>IF(BA117&lt;&gt;"",AZ117,"")</f>
        <v/>
      </c>
      <c r="BD117" s="40">
        <f>IF(AND(BA117&lt;&gt;"",C117&gt;0),BA117-C117,"")</f>
        <v/>
      </c>
      <c r="BE117" s="41">
        <f>IF(AND(BA117&lt;&gt;"",D117&gt;0),(BA117-D117)/D117,"")</f>
        <v/>
      </c>
      <c r="BF117" s="41">
        <f>IF(AND(BC117&lt;&gt;"",P117&lt;&gt;""),(BC117-P117)/ABS(IF(P117=0,1,P117)),"")</f>
        <v/>
      </c>
      <c r="BG117" s="40">
        <f>IF(AND(BD117&lt;&gt;"",Q117&lt;&gt;""),BD117-Q117,"")</f>
        <v/>
      </c>
      <c r="BH117" s="40">
        <f>IF(AND(T117&gt;0,X117&lt;&gt;""),T117*X117,"")</f>
        <v/>
      </c>
      <c r="BI117" s="40">
        <f>IF(AND(T117&gt;0,AA117&lt;&gt;""),T117*AA117,"")</f>
        <v/>
      </c>
      <c r="BJ117" s="40">
        <f>IF(AND(T117&gt;0,AE117&lt;&gt;""),T117*AE117,"")</f>
        <v/>
      </c>
      <c r="BK117" s="40">
        <f>IF(AND(T117&gt;0,AH117&lt;&gt;""),T117*AH117,"")</f>
        <v/>
      </c>
      <c r="BL117" s="40">
        <f>IF(AND(T117&gt;0,AL117&lt;&gt;""),T117*AL117,"")</f>
        <v/>
      </c>
      <c r="BM117" s="40">
        <f>IF(AND(T117&gt;0,AO117&lt;&gt;""),T117*AO117,"")</f>
        <v/>
      </c>
      <c r="BN117" s="40">
        <f>IF(AND(T117&gt;0,AS117&gt;0),T117*AS117,"")</f>
        <v/>
      </c>
      <c r="BO117" s="40">
        <f>IF(AND(T117&gt;0,AV117&lt;&gt;""),T117*AV117,"")</f>
        <v/>
      </c>
      <c r="BP117" s="40">
        <f>IF(AND(T117&gt;0,BA117&lt;&gt;""),T117*BA117,"")</f>
        <v/>
      </c>
      <c r="BQ117" s="40">
        <f>IF(AND(T117&gt;0,BD117&lt;&gt;""),T117*BD117,"")</f>
        <v/>
      </c>
      <c r="BR117" s="46">
        <f>IF(AND(T117&gt;0,V117&gt;0,AA117&lt;&gt;0),V117/AA117-T117,"")</f>
        <v/>
      </c>
      <c r="BS117" s="41">
        <f>IF(AND(BR117&lt;&gt;"",T117&gt;0),BR117/T117,"")</f>
        <v/>
      </c>
      <c r="BT117" s="46">
        <f>IF(AND(T117&gt;0,V117&gt;0,AO117&lt;&gt;0),V117/AO117-T117,"")</f>
        <v/>
      </c>
      <c r="BU117" s="41">
        <f>IF(AND(BT117&lt;&gt;"",T117&gt;0),BT117/T117,"")</f>
        <v/>
      </c>
    </row>
    <row r="118">
      <c r="A118" s="36">
        <f>'📊 Исходные данные'!A117</f>
        <v/>
      </c>
      <c r="B118" s="37">
        <f>'📊 Исходные данные'!B117</f>
        <v/>
      </c>
      <c r="C118" s="38">
        <f>'📊 Исходные данные'!C117</f>
        <v/>
      </c>
      <c r="D118" s="38">
        <f>'📊 Исходные данные'!D117</f>
        <v/>
      </c>
      <c r="E118" s="39">
        <f>IF(OR(D118="",F118=""),"-",IF(D118&gt;F118*1.05,"Выше рынка",IF(D118&lt;F118*0.95,"Ниже рынка","На уровне")))</f>
        <v/>
      </c>
      <c r="F118" s="40">
        <f>IFERROR(AVERAGE('📊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G118" s="40">
        <f>IFERROR(MEDIAN('📊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H118" s="40">
        <f>IFERROR(MIN('📊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I118" s="40">
        <f>IFERROR(MAX('📊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данные'!K117),"")</f>
        <v/>
      </c>
      <c r="J118" s="41">
        <f>IF(AND(D118&lt;&gt;"",F118&lt;&gt;""),(D118-F118)/F118,"")</f>
        <v/>
      </c>
      <c r="K118" s="41">
        <f>IF(AND(D118&lt;&gt;"",G118&lt;&gt;""),(D118-G118)/G118,"")</f>
        <v/>
      </c>
      <c r="L118" s="41">
        <f>IF(AND(D118&lt;&gt;"",H118&lt;&gt;""),(D118-H118)/H118,"")</f>
        <v/>
      </c>
      <c r="M118" s="42">
        <f>IFERROR(RANK(D118,('📊 Исходные данные'!E117,'📊 Исходные данные'!F117,'📊 Исходные данные'!G117,'📊 Исходные данные'!H117,'📊 Исходные данные'!I117,'📊 Исходные данные'!J117,'📊 Исходные данные'!K117)),"")</f>
        <v/>
      </c>
      <c r="N118" s="39">
        <f>IF(M118="","-",IF(M118=1,"Дороже всех",IF(M118=2,"2-й по цене",IF(M118&lt;=4,"Средний","Ниже конкурентов"))))</f>
        <v/>
      </c>
      <c r="O118" s="41">
        <f>IF(AND(C118&gt;0,D118&gt;0),(D118-C118)/C118,"")</f>
        <v/>
      </c>
      <c r="P118" s="41">
        <f>IF(AND(C118&gt;0,D118&gt;0),(D118-C118)/D118,"")</f>
        <v/>
      </c>
      <c r="Q118" s="40">
        <f>IF(AND(C118&gt;0,D118&gt;0),D118-C118,"")</f>
        <v/>
      </c>
      <c r="R118" s="39">
        <f>IF(P118="","-",IF(P118&lt;0.1,"Низкая(&lt;10%)",IF(P118&lt;0.2,"Средняя(10-20%)","Хорошая(&gt;20%)")))</f>
        <v/>
      </c>
      <c r="S118" s="39">
        <f>IF(OR(H118="",C118=""),"-",IF((H118-C118)/H118&lt;0.05,"КРИТИЧНО",IF((H118-C118)/H118&lt;0.15,"УМЕРЕННЫЙ","НИЗКИЙ")))</f>
        <v/>
      </c>
      <c r="T118" s="43" t="n"/>
      <c r="U118" s="40">
        <f>IF(T118&gt;0,T118*D118,"")</f>
        <v/>
      </c>
      <c r="V118" s="40">
        <f>IF(T118&gt;0,T118*Q118,"")</f>
        <v/>
      </c>
      <c r="W118" s="41">
        <f>IF(U118&gt;0,V118/U118,"")</f>
        <v/>
      </c>
      <c r="X118" s="40">
        <f>IF(F118&lt;&gt;"",F118,"")</f>
        <v/>
      </c>
      <c r="Y118" s="41">
        <f>IF(AND(X118&lt;&gt;"",C118&gt;0),(X118-C118)/C118,"")</f>
        <v/>
      </c>
      <c r="Z118" s="41">
        <f>IF(AND(X118&lt;&gt;"",X118&gt;0),(X118-C118)/X118,"")</f>
        <v/>
      </c>
      <c r="AA118" s="40">
        <f>IF(AND(X118&lt;&gt;"",C118&gt;0),X118-C118,"")</f>
        <v/>
      </c>
      <c r="AB118" s="41">
        <f>IF(AND(X118&lt;&gt;"",D118&gt;0),(X118-D118)/D118,"")</f>
        <v/>
      </c>
      <c r="AC118" s="41">
        <f>IF(AND(Z118&lt;&gt;"",P118&lt;&gt;""),(Z118-P118)/ABS(IF(P118=0,1,P118)),"")</f>
        <v/>
      </c>
      <c r="AD118" s="40">
        <f>IF(AND(AA118&lt;&gt;"",Q118&lt;&gt;""),AA118-Q118,"")</f>
        <v/>
      </c>
      <c r="AE118" s="40">
        <f>IF(G118&lt;&gt;"",G118,"")</f>
        <v/>
      </c>
      <c r="AF118" s="41">
        <f>IF(AND(AE118&lt;&gt;"",C118&gt;0),(AE118-C118)/C118,"")</f>
        <v/>
      </c>
      <c r="AG118" s="41">
        <f>IF(AND(AE118&lt;&gt;"",AE118&gt;0),(AE118-C118)/AE118,"")</f>
        <v/>
      </c>
      <c r="AH118" s="40">
        <f>IF(AND(AE118&lt;&gt;"",C118&gt;0),AE118-C118,"")</f>
        <v/>
      </c>
      <c r="AI118" s="41">
        <f>IF(AND(AE118&lt;&gt;"",D118&gt;0),(AE118-D118)/D118,"")</f>
        <v/>
      </c>
      <c r="AJ118" s="41">
        <f>IF(AND(AG118&lt;&gt;"",P118&lt;&gt;""),(AG118-P118)/ABS(IF(P118=0,1,P118)),"")</f>
        <v/>
      </c>
      <c r="AK118" s="40">
        <f>IF(AND(AH118&lt;&gt;"",Q118&lt;&gt;""),AH118-Q118,"")</f>
        <v/>
      </c>
      <c r="AL118" s="40">
        <f>IF(H118&lt;&gt;"",H118,"")</f>
        <v/>
      </c>
      <c r="AM118" s="41">
        <f>IF(AND(AL118&lt;&gt;"",C118&gt;0),(AL118-C118)/C118,"")</f>
        <v/>
      </c>
      <c r="AN118" s="41">
        <f>IF(AND(AL118&lt;&gt;"",AL118&gt;0),(AL118-C118)/AL118,"")</f>
        <v/>
      </c>
      <c r="AO118" s="40">
        <f>IF(AND(AL118&lt;&gt;"",C118&gt;0),AL118-C118,"")</f>
        <v/>
      </c>
      <c r="AP118" s="41">
        <f>IF(AND(AL118&lt;&gt;"",D118&gt;0),(AL118-D118)/D118,"")</f>
        <v/>
      </c>
      <c r="AQ118" s="41">
        <f>IF(AND(AN118&lt;&gt;"",P118&lt;&gt;""),(AN118-P118)/ABS(IF(P118=0,1,P118)),"")</f>
        <v/>
      </c>
      <c r="AR118" s="40">
        <f>IF(AND(AO118&lt;&gt;"",Q118&lt;&gt;""),AO118-Q118,"")</f>
        <v/>
      </c>
      <c r="AS118" s="44" t="n"/>
      <c r="AT118" s="41">
        <f>IF(AND(AS118&gt;0,C118&gt;0),(AS118-C118)/C118,"")</f>
        <v/>
      </c>
      <c r="AU118" s="41">
        <f>IF(AND(AS118&gt;0,AS118&gt;0),(AS118-C118)/AS118,"")</f>
        <v/>
      </c>
      <c r="AV118" s="40">
        <f>IF(AND(AS118&gt;0,C118&gt;0),AS118-C118,"")</f>
        <v/>
      </c>
      <c r="AW118" s="41">
        <f>IF(AND(AS118&gt;0,D118&gt;0),(AS118-D118)/D118,"")</f>
        <v/>
      </c>
      <c r="AX118" s="41">
        <f>IF(AND(AU118&lt;&gt;"",P118&lt;&gt;""),(AU118-P118)/ABS(IF(P118=0,1,P118)),"")</f>
        <v/>
      </c>
      <c r="AY118" s="40">
        <f>IF(AND(AV118&lt;&gt;"",Q118&lt;&gt;""),AV118-Q118,"")</f>
        <v/>
      </c>
      <c r="AZ118" s="45" t="n"/>
      <c r="BA118" s="40">
        <f>IF(AND(AZ118&gt;0,C118&gt;0),C118/(1-AZ118),"")</f>
        <v/>
      </c>
      <c r="BB118" s="41">
        <f>IF(AND(BA118&lt;&gt;"",C118&gt;0),(BA118-C118)/C118,"")</f>
        <v/>
      </c>
      <c r="BC118" s="41">
        <f>IF(BA118&lt;&gt;"",AZ118,"")</f>
        <v/>
      </c>
      <c r="BD118" s="40">
        <f>IF(AND(BA118&lt;&gt;"",C118&gt;0),BA118-C118,"")</f>
        <v/>
      </c>
      <c r="BE118" s="41">
        <f>IF(AND(BA118&lt;&gt;"",D118&gt;0),(BA118-D118)/D118,"")</f>
        <v/>
      </c>
      <c r="BF118" s="41">
        <f>IF(AND(BC118&lt;&gt;"",P118&lt;&gt;""),(BC118-P118)/ABS(IF(P118=0,1,P118)),"")</f>
        <v/>
      </c>
      <c r="BG118" s="40">
        <f>IF(AND(BD118&lt;&gt;"",Q118&lt;&gt;""),BD118-Q118,"")</f>
        <v/>
      </c>
      <c r="BH118" s="40">
        <f>IF(AND(T118&gt;0,X118&lt;&gt;""),T118*X118,"")</f>
        <v/>
      </c>
      <c r="BI118" s="40">
        <f>IF(AND(T118&gt;0,AA118&lt;&gt;""),T118*AA118,"")</f>
        <v/>
      </c>
      <c r="BJ118" s="40">
        <f>IF(AND(T118&gt;0,AE118&lt;&gt;""),T118*AE118,"")</f>
        <v/>
      </c>
      <c r="BK118" s="40">
        <f>IF(AND(T118&gt;0,AH118&lt;&gt;""),T118*AH118,"")</f>
        <v/>
      </c>
      <c r="BL118" s="40">
        <f>IF(AND(T118&gt;0,AL118&lt;&gt;""),T118*AL118,"")</f>
        <v/>
      </c>
      <c r="BM118" s="40">
        <f>IF(AND(T118&gt;0,AO118&lt;&gt;""),T118*AO118,"")</f>
        <v/>
      </c>
      <c r="BN118" s="40">
        <f>IF(AND(T118&gt;0,AS118&gt;0),T118*AS118,"")</f>
        <v/>
      </c>
      <c r="BO118" s="40">
        <f>IF(AND(T118&gt;0,AV118&lt;&gt;""),T118*AV118,"")</f>
        <v/>
      </c>
      <c r="BP118" s="40">
        <f>IF(AND(T118&gt;0,BA118&lt;&gt;""),T118*BA118,"")</f>
        <v/>
      </c>
      <c r="BQ118" s="40">
        <f>IF(AND(T118&gt;0,BD118&lt;&gt;""),T118*BD118,"")</f>
        <v/>
      </c>
      <c r="BR118" s="46">
        <f>IF(AND(T118&gt;0,V118&gt;0,AA118&lt;&gt;0),V118/AA118-T118,"")</f>
        <v/>
      </c>
      <c r="BS118" s="41">
        <f>IF(AND(BR118&lt;&gt;"",T118&gt;0),BR118/T118,"")</f>
        <v/>
      </c>
      <c r="BT118" s="46">
        <f>IF(AND(T118&gt;0,V118&gt;0,AO118&lt;&gt;0),V118/AO118-T118,"")</f>
        <v/>
      </c>
      <c r="BU118" s="41">
        <f>IF(AND(BT118&lt;&gt;"",T118&gt;0),BT118/T118,"")</f>
        <v/>
      </c>
    </row>
    <row r="119">
      <c r="A119" s="36">
        <f>'📊 Исходные данные'!A118</f>
        <v/>
      </c>
      <c r="B119" s="37">
        <f>'📊 Исходные данные'!B118</f>
        <v/>
      </c>
      <c r="C119" s="38">
        <f>'📊 Исходные данные'!C118</f>
        <v/>
      </c>
      <c r="D119" s="38">
        <f>'📊 Исходные данные'!D118</f>
        <v/>
      </c>
      <c r="E119" s="39">
        <f>IF(OR(D119="",F119=""),"-",IF(D119&gt;F119*1.05,"Выше рынка",IF(D119&lt;F119*0.95,"Ниже рынка","На уровне")))</f>
        <v/>
      </c>
      <c r="F119" s="40">
        <f>IFERROR(AVERAGE('📊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G119" s="40">
        <f>IFERROR(MEDIAN('📊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H119" s="40">
        <f>IFERROR(MIN('📊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I119" s="40">
        <f>IFERROR(MAX('📊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данные'!K118),"")</f>
        <v/>
      </c>
      <c r="J119" s="41">
        <f>IF(AND(D119&lt;&gt;"",F119&lt;&gt;""),(D119-F119)/F119,"")</f>
        <v/>
      </c>
      <c r="K119" s="41">
        <f>IF(AND(D119&lt;&gt;"",G119&lt;&gt;""),(D119-G119)/G119,"")</f>
        <v/>
      </c>
      <c r="L119" s="41">
        <f>IF(AND(D119&lt;&gt;"",H119&lt;&gt;""),(D119-H119)/H119,"")</f>
        <v/>
      </c>
      <c r="M119" s="42">
        <f>IFERROR(RANK(D119,('📊 Исходные данные'!E118,'📊 Исходные данные'!F118,'📊 Исходные данные'!G118,'📊 Исходные данные'!H118,'📊 Исходные данные'!I118,'📊 Исходные данные'!J118,'📊 Исходные данные'!K118)),"")</f>
        <v/>
      </c>
      <c r="N119" s="39">
        <f>IF(M119="","-",IF(M119=1,"Дороже всех",IF(M119=2,"2-й по цене",IF(M119&lt;=4,"Средний","Ниже конкурентов"))))</f>
        <v/>
      </c>
      <c r="O119" s="41">
        <f>IF(AND(C119&gt;0,D119&gt;0),(D119-C119)/C119,"")</f>
        <v/>
      </c>
      <c r="P119" s="41">
        <f>IF(AND(C119&gt;0,D119&gt;0),(D119-C119)/D119,"")</f>
        <v/>
      </c>
      <c r="Q119" s="40">
        <f>IF(AND(C119&gt;0,D119&gt;0),D119-C119,"")</f>
        <v/>
      </c>
      <c r="R119" s="39">
        <f>IF(P119="","-",IF(P119&lt;0.1,"Низкая(&lt;10%)",IF(P119&lt;0.2,"Средняя(10-20%)","Хорошая(&gt;20%)")))</f>
        <v/>
      </c>
      <c r="S119" s="39">
        <f>IF(OR(H119="",C119=""),"-",IF((H119-C119)/H119&lt;0.05,"КРИТИЧНО",IF((H119-C119)/H119&lt;0.15,"УМЕРЕННЫЙ","НИЗКИЙ")))</f>
        <v/>
      </c>
      <c r="T119" s="43" t="n"/>
      <c r="U119" s="40">
        <f>IF(T119&gt;0,T119*D119,"")</f>
        <v/>
      </c>
      <c r="V119" s="40">
        <f>IF(T119&gt;0,T119*Q119,"")</f>
        <v/>
      </c>
      <c r="W119" s="41">
        <f>IF(U119&gt;0,V119/U119,"")</f>
        <v/>
      </c>
      <c r="X119" s="40">
        <f>IF(F119&lt;&gt;"",F119,"")</f>
        <v/>
      </c>
      <c r="Y119" s="41">
        <f>IF(AND(X119&lt;&gt;"",C119&gt;0),(X119-C119)/C119,"")</f>
        <v/>
      </c>
      <c r="Z119" s="41">
        <f>IF(AND(X119&lt;&gt;"",X119&gt;0),(X119-C119)/X119,"")</f>
        <v/>
      </c>
      <c r="AA119" s="40">
        <f>IF(AND(X119&lt;&gt;"",C119&gt;0),X119-C119,"")</f>
        <v/>
      </c>
      <c r="AB119" s="41">
        <f>IF(AND(X119&lt;&gt;"",D119&gt;0),(X119-D119)/D119,"")</f>
        <v/>
      </c>
      <c r="AC119" s="41">
        <f>IF(AND(Z119&lt;&gt;"",P119&lt;&gt;""),(Z119-P119)/ABS(IF(P119=0,1,P119)),"")</f>
        <v/>
      </c>
      <c r="AD119" s="40">
        <f>IF(AND(AA119&lt;&gt;"",Q119&lt;&gt;""),AA119-Q119,"")</f>
        <v/>
      </c>
      <c r="AE119" s="40">
        <f>IF(G119&lt;&gt;"",G119,"")</f>
        <v/>
      </c>
      <c r="AF119" s="41">
        <f>IF(AND(AE119&lt;&gt;"",C119&gt;0),(AE119-C119)/C119,"")</f>
        <v/>
      </c>
      <c r="AG119" s="41">
        <f>IF(AND(AE119&lt;&gt;"",AE119&gt;0),(AE119-C119)/AE119,"")</f>
        <v/>
      </c>
      <c r="AH119" s="40">
        <f>IF(AND(AE119&lt;&gt;"",C119&gt;0),AE119-C119,"")</f>
        <v/>
      </c>
      <c r="AI119" s="41">
        <f>IF(AND(AE119&lt;&gt;"",D119&gt;0),(AE119-D119)/D119,"")</f>
        <v/>
      </c>
      <c r="AJ119" s="41">
        <f>IF(AND(AG119&lt;&gt;"",P119&lt;&gt;""),(AG119-P119)/ABS(IF(P119=0,1,P119)),"")</f>
        <v/>
      </c>
      <c r="AK119" s="40">
        <f>IF(AND(AH119&lt;&gt;"",Q119&lt;&gt;""),AH119-Q119,"")</f>
        <v/>
      </c>
      <c r="AL119" s="40">
        <f>IF(H119&lt;&gt;"",H119,"")</f>
        <v/>
      </c>
      <c r="AM119" s="41">
        <f>IF(AND(AL119&lt;&gt;"",C119&gt;0),(AL119-C119)/C119,"")</f>
        <v/>
      </c>
      <c r="AN119" s="41">
        <f>IF(AND(AL119&lt;&gt;"",AL119&gt;0),(AL119-C119)/AL119,"")</f>
        <v/>
      </c>
      <c r="AO119" s="40">
        <f>IF(AND(AL119&lt;&gt;"",C119&gt;0),AL119-C119,"")</f>
        <v/>
      </c>
      <c r="AP119" s="41">
        <f>IF(AND(AL119&lt;&gt;"",D119&gt;0),(AL119-D119)/D119,"")</f>
        <v/>
      </c>
      <c r="AQ119" s="41">
        <f>IF(AND(AN119&lt;&gt;"",P119&lt;&gt;""),(AN119-P119)/ABS(IF(P119=0,1,P119)),"")</f>
        <v/>
      </c>
      <c r="AR119" s="40">
        <f>IF(AND(AO119&lt;&gt;"",Q119&lt;&gt;""),AO119-Q119,"")</f>
        <v/>
      </c>
      <c r="AS119" s="44" t="n"/>
      <c r="AT119" s="41">
        <f>IF(AND(AS119&gt;0,C119&gt;0),(AS119-C119)/C119,"")</f>
        <v/>
      </c>
      <c r="AU119" s="41">
        <f>IF(AND(AS119&gt;0,AS119&gt;0),(AS119-C119)/AS119,"")</f>
        <v/>
      </c>
      <c r="AV119" s="40">
        <f>IF(AND(AS119&gt;0,C119&gt;0),AS119-C119,"")</f>
        <v/>
      </c>
      <c r="AW119" s="41">
        <f>IF(AND(AS119&gt;0,D119&gt;0),(AS119-D119)/D119,"")</f>
        <v/>
      </c>
      <c r="AX119" s="41">
        <f>IF(AND(AU119&lt;&gt;"",P119&lt;&gt;""),(AU119-P119)/ABS(IF(P119=0,1,P119)),"")</f>
        <v/>
      </c>
      <c r="AY119" s="40">
        <f>IF(AND(AV119&lt;&gt;"",Q119&lt;&gt;""),AV119-Q119,"")</f>
        <v/>
      </c>
      <c r="AZ119" s="45" t="n"/>
      <c r="BA119" s="40">
        <f>IF(AND(AZ119&gt;0,C119&gt;0),C119/(1-AZ119),"")</f>
        <v/>
      </c>
      <c r="BB119" s="41">
        <f>IF(AND(BA119&lt;&gt;"",C119&gt;0),(BA119-C119)/C119,"")</f>
        <v/>
      </c>
      <c r="BC119" s="41">
        <f>IF(BA119&lt;&gt;"",AZ119,"")</f>
        <v/>
      </c>
      <c r="BD119" s="40">
        <f>IF(AND(BA119&lt;&gt;"",C119&gt;0),BA119-C119,"")</f>
        <v/>
      </c>
      <c r="BE119" s="41">
        <f>IF(AND(BA119&lt;&gt;"",D119&gt;0),(BA119-D119)/D119,"")</f>
        <v/>
      </c>
      <c r="BF119" s="41">
        <f>IF(AND(BC119&lt;&gt;"",P119&lt;&gt;""),(BC119-P119)/ABS(IF(P119=0,1,P119)),"")</f>
        <v/>
      </c>
      <c r="BG119" s="40">
        <f>IF(AND(BD119&lt;&gt;"",Q119&lt;&gt;""),BD119-Q119,"")</f>
        <v/>
      </c>
      <c r="BH119" s="40">
        <f>IF(AND(T119&gt;0,X119&lt;&gt;""),T119*X119,"")</f>
        <v/>
      </c>
      <c r="BI119" s="40">
        <f>IF(AND(T119&gt;0,AA119&lt;&gt;""),T119*AA119,"")</f>
        <v/>
      </c>
      <c r="BJ119" s="40">
        <f>IF(AND(T119&gt;0,AE119&lt;&gt;""),T119*AE119,"")</f>
        <v/>
      </c>
      <c r="BK119" s="40">
        <f>IF(AND(T119&gt;0,AH119&lt;&gt;""),T119*AH119,"")</f>
        <v/>
      </c>
      <c r="BL119" s="40">
        <f>IF(AND(T119&gt;0,AL119&lt;&gt;""),T119*AL119,"")</f>
        <v/>
      </c>
      <c r="BM119" s="40">
        <f>IF(AND(T119&gt;0,AO119&lt;&gt;""),T119*AO119,"")</f>
        <v/>
      </c>
      <c r="BN119" s="40">
        <f>IF(AND(T119&gt;0,AS119&gt;0),T119*AS119,"")</f>
        <v/>
      </c>
      <c r="BO119" s="40">
        <f>IF(AND(T119&gt;0,AV119&lt;&gt;""),T119*AV119,"")</f>
        <v/>
      </c>
      <c r="BP119" s="40">
        <f>IF(AND(T119&gt;0,BA119&lt;&gt;""),T119*BA119,"")</f>
        <v/>
      </c>
      <c r="BQ119" s="40">
        <f>IF(AND(T119&gt;0,BD119&lt;&gt;""),T119*BD119,"")</f>
        <v/>
      </c>
      <c r="BR119" s="46">
        <f>IF(AND(T119&gt;0,V119&gt;0,AA119&lt;&gt;0),V119/AA119-T119,"")</f>
        <v/>
      </c>
      <c r="BS119" s="41">
        <f>IF(AND(BR119&lt;&gt;"",T119&gt;0),BR119/T119,"")</f>
        <v/>
      </c>
      <c r="BT119" s="46">
        <f>IF(AND(T119&gt;0,V119&gt;0,AO119&lt;&gt;0),V119/AO119-T119,"")</f>
        <v/>
      </c>
      <c r="BU119" s="41">
        <f>IF(AND(BT119&lt;&gt;"",T119&gt;0),BT119/T119,"")</f>
        <v/>
      </c>
    </row>
    <row r="120">
      <c r="A120" s="36">
        <f>'📊 Исходные данные'!A119</f>
        <v/>
      </c>
      <c r="B120" s="37">
        <f>'📊 Исходные данные'!B119</f>
        <v/>
      </c>
      <c r="C120" s="38">
        <f>'📊 Исходные данные'!C119</f>
        <v/>
      </c>
      <c r="D120" s="38">
        <f>'📊 Исходные данные'!D119</f>
        <v/>
      </c>
      <c r="E120" s="39">
        <f>IF(OR(D120="",F120=""),"-",IF(D120&gt;F120*1.05,"Выше рынка",IF(D120&lt;F120*0.95,"Ниже рынка","На уровне")))</f>
        <v/>
      </c>
      <c r="F120" s="40">
        <f>IFERROR(AVERAGE('📊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G120" s="40">
        <f>IFERROR(MEDIAN('📊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H120" s="40">
        <f>IFERROR(MIN('📊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I120" s="40">
        <f>IFERROR(MAX('📊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данные'!K119),"")</f>
        <v/>
      </c>
      <c r="J120" s="41">
        <f>IF(AND(D120&lt;&gt;"",F120&lt;&gt;""),(D120-F120)/F120,"")</f>
        <v/>
      </c>
      <c r="K120" s="41">
        <f>IF(AND(D120&lt;&gt;"",G120&lt;&gt;""),(D120-G120)/G120,"")</f>
        <v/>
      </c>
      <c r="L120" s="41">
        <f>IF(AND(D120&lt;&gt;"",H120&lt;&gt;""),(D120-H120)/H120,"")</f>
        <v/>
      </c>
      <c r="M120" s="42">
        <f>IFERROR(RANK(D120,('📊 Исходные данные'!E119,'📊 Исходные данные'!F119,'📊 Исходные данные'!G119,'📊 Исходные данные'!H119,'📊 Исходные данные'!I119,'📊 Исходные данные'!J119,'📊 Исходные данные'!K119)),"")</f>
        <v/>
      </c>
      <c r="N120" s="39">
        <f>IF(M120="","-",IF(M120=1,"Дороже всех",IF(M120=2,"2-й по цене",IF(M120&lt;=4,"Средний","Ниже конкурентов"))))</f>
        <v/>
      </c>
      <c r="O120" s="41">
        <f>IF(AND(C120&gt;0,D120&gt;0),(D120-C120)/C120,"")</f>
        <v/>
      </c>
      <c r="P120" s="41">
        <f>IF(AND(C120&gt;0,D120&gt;0),(D120-C120)/D120,"")</f>
        <v/>
      </c>
      <c r="Q120" s="40">
        <f>IF(AND(C120&gt;0,D120&gt;0),D120-C120,"")</f>
        <v/>
      </c>
      <c r="R120" s="39">
        <f>IF(P120="","-",IF(P120&lt;0.1,"Низкая(&lt;10%)",IF(P120&lt;0.2,"Средняя(10-20%)","Хорошая(&gt;20%)")))</f>
        <v/>
      </c>
      <c r="S120" s="39">
        <f>IF(OR(H120="",C120=""),"-",IF((H120-C120)/H120&lt;0.05,"КРИТИЧНО",IF((H120-C120)/H120&lt;0.15,"УМЕРЕННЫЙ","НИЗКИЙ")))</f>
        <v/>
      </c>
      <c r="T120" s="43" t="n"/>
      <c r="U120" s="40">
        <f>IF(T120&gt;0,T120*D120,"")</f>
        <v/>
      </c>
      <c r="V120" s="40">
        <f>IF(T120&gt;0,T120*Q120,"")</f>
        <v/>
      </c>
      <c r="W120" s="41">
        <f>IF(U120&gt;0,V120/U120,"")</f>
        <v/>
      </c>
      <c r="X120" s="40">
        <f>IF(F120&lt;&gt;"",F120,"")</f>
        <v/>
      </c>
      <c r="Y120" s="41">
        <f>IF(AND(X120&lt;&gt;"",C120&gt;0),(X120-C120)/C120,"")</f>
        <v/>
      </c>
      <c r="Z120" s="41">
        <f>IF(AND(X120&lt;&gt;"",X120&gt;0),(X120-C120)/X120,"")</f>
        <v/>
      </c>
      <c r="AA120" s="40">
        <f>IF(AND(X120&lt;&gt;"",C120&gt;0),X120-C120,"")</f>
        <v/>
      </c>
      <c r="AB120" s="41">
        <f>IF(AND(X120&lt;&gt;"",D120&gt;0),(X120-D120)/D120,"")</f>
        <v/>
      </c>
      <c r="AC120" s="41">
        <f>IF(AND(Z120&lt;&gt;"",P120&lt;&gt;""),(Z120-P120)/ABS(IF(P120=0,1,P120)),"")</f>
        <v/>
      </c>
      <c r="AD120" s="40">
        <f>IF(AND(AA120&lt;&gt;"",Q120&lt;&gt;""),AA120-Q120,"")</f>
        <v/>
      </c>
      <c r="AE120" s="40">
        <f>IF(G120&lt;&gt;"",G120,"")</f>
        <v/>
      </c>
      <c r="AF120" s="41">
        <f>IF(AND(AE120&lt;&gt;"",C120&gt;0),(AE120-C120)/C120,"")</f>
        <v/>
      </c>
      <c r="AG120" s="41">
        <f>IF(AND(AE120&lt;&gt;"",AE120&gt;0),(AE120-C120)/AE120,"")</f>
        <v/>
      </c>
      <c r="AH120" s="40">
        <f>IF(AND(AE120&lt;&gt;"",C120&gt;0),AE120-C120,"")</f>
        <v/>
      </c>
      <c r="AI120" s="41">
        <f>IF(AND(AE120&lt;&gt;"",D120&gt;0),(AE120-D120)/D120,"")</f>
        <v/>
      </c>
      <c r="AJ120" s="41">
        <f>IF(AND(AG120&lt;&gt;"",P120&lt;&gt;""),(AG120-P120)/ABS(IF(P120=0,1,P120)),"")</f>
        <v/>
      </c>
      <c r="AK120" s="40">
        <f>IF(AND(AH120&lt;&gt;"",Q120&lt;&gt;""),AH120-Q120,"")</f>
        <v/>
      </c>
      <c r="AL120" s="40">
        <f>IF(H120&lt;&gt;"",H120,"")</f>
        <v/>
      </c>
      <c r="AM120" s="41">
        <f>IF(AND(AL120&lt;&gt;"",C120&gt;0),(AL120-C120)/C120,"")</f>
        <v/>
      </c>
      <c r="AN120" s="41">
        <f>IF(AND(AL120&lt;&gt;"",AL120&gt;0),(AL120-C120)/AL120,"")</f>
        <v/>
      </c>
      <c r="AO120" s="40">
        <f>IF(AND(AL120&lt;&gt;"",C120&gt;0),AL120-C120,"")</f>
        <v/>
      </c>
      <c r="AP120" s="41">
        <f>IF(AND(AL120&lt;&gt;"",D120&gt;0),(AL120-D120)/D120,"")</f>
        <v/>
      </c>
      <c r="AQ120" s="41">
        <f>IF(AND(AN120&lt;&gt;"",P120&lt;&gt;""),(AN120-P120)/ABS(IF(P120=0,1,P120)),"")</f>
        <v/>
      </c>
      <c r="AR120" s="40">
        <f>IF(AND(AO120&lt;&gt;"",Q120&lt;&gt;""),AO120-Q120,"")</f>
        <v/>
      </c>
      <c r="AS120" s="44" t="n"/>
      <c r="AT120" s="41">
        <f>IF(AND(AS120&gt;0,C120&gt;0),(AS120-C120)/C120,"")</f>
        <v/>
      </c>
      <c r="AU120" s="41">
        <f>IF(AND(AS120&gt;0,AS120&gt;0),(AS120-C120)/AS120,"")</f>
        <v/>
      </c>
      <c r="AV120" s="40">
        <f>IF(AND(AS120&gt;0,C120&gt;0),AS120-C120,"")</f>
        <v/>
      </c>
      <c r="AW120" s="41">
        <f>IF(AND(AS120&gt;0,D120&gt;0),(AS120-D120)/D120,"")</f>
        <v/>
      </c>
      <c r="AX120" s="41">
        <f>IF(AND(AU120&lt;&gt;"",P120&lt;&gt;""),(AU120-P120)/ABS(IF(P120=0,1,P120)),"")</f>
        <v/>
      </c>
      <c r="AY120" s="40">
        <f>IF(AND(AV120&lt;&gt;"",Q120&lt;&gt;""),AV120-Q120,"")</f>
        <v/>
      </c>
      <c r="AZ120" s="45" t="n"/>
      <c r="BA120" s="40">
        <f>IF(AND(AZ120&gt;0,C120&gt;0),C120/(1-AZ120),"")</f>
        <v/>
      </c>
      <c r="BB120" s="41">
        <f>IF(AND(BA120&lt;&gt;"",C120&gt;0),(BA120-C120)/C120,"")</f>
        <v/>
      </c>
      <c r="BC120" s="41">
        <f>IF(BA120&lt;&gt;"",AZ120,"")</f>
        <v/>
      </c>
      <c r="BD120" s="40">
        <f>IF(AND(BA120&lt;&gt;"",C120&gt;0),BA120-C120,"")</f>
        <v/>
      </c>
      <c r="BE120" s="41">
        <f>IF(AND(BA120&lt;&gt;"",D120&gt;0),(BA120-D120)/D120,"")</f>
        <v/>
      </c>
      <c r="BF120" s="41">
        <f>IF(AND(BC120&lt;&gt;"",P120&lt;&gt;""),(BC120-P120)/ABS(IF(P120=0,1,P120)),"")</f>
        <v/>
      </c>
      <c r="BG120" s="40">
        <f>IF(AND(BD120&lt;&gt;"",Q120&lt;&gt;""),BD120-Q120,"")</f>
        <v/>
      </c>
      <c r="BH120" s="40">
        <f>IF(AND(T120&gt;0,X120&lt;&gt;""),T120*X120,"")</f>
        <v/>
      </c>
      <c r="BI120" s="40">
        <f>IF(AND(T120&gt;0,AA120&lt;&gt;""),T120*AA120,"")</f>
        <v/>
      </c>
      <c r="BJ120" s="40">
        <f>IF(AND(T120&gt;0,AE120&lt;&gt;""),T120*AE120,"")</f>
        <v/>
      </c>
      <c r="BK120" s="40">
        <f>IF(AND(T120&gt;0,AH120&lt;&gt;""),T120*AH120,"")</f>
        <v/>
      </c>
      <c r="BL120" s="40">
        <f>IF(AND(T120&gt;0,AL120&lt;&gt;""),T120*AL120,"")</f>
        <v/>
      </c>
      <c r="BM120" s="40">
        <f>IF(AND(T120&gt;0,AO120&lt;&gt;""),T120*AO120,"")</f>
        <v/>
      </c>
      <c r="BN120" s="40">
        <f>IF(AND(T120&gt;0,AS120&gt;0),T120*AS120,"")</f>
        <v/>
      </c>
      <c r="BO120" s="40">
        <f>IF(AND(T120&gt;0,AV120&lt;&gt;""),T120*AV120,"")</f>
        <v/>
      </c>
      <c r="BP120" s="40">
        <f>IF(AND(T120&gt;0,BA120&lt;&gt;""),T120*BA120,"")</f>
        <v/>
      </c>
      <c r="BQ120" s="40">
        <f>IF(AND(T120&gt;0,BD120&lt;&gt;""),T120*BD120,"")</f>
        <v/>
      </c>
      <c r="BR120" s="46">
        <f>IF(AND(T120&gt;0,V120&gt;0,AA120&lt;&gt;0),V120/AA120-T120,"")</f>
        <v/>
      </c>
      <c r="BS120" s="41">
        <f>IF(AND(BR120&lt;&gt;"",T120&gt;0),BR120/T120,"")</f>
        <v/>
      </c>
      <c r="BT120" s="46">
        <f>IF(AND(T120&gt;0,V120&gt;0,AO120&lt;&gt;0),V120/AO120-T120,"")</f>
        <v/>
      </c>
      <c r="BU120" s="41">
        <f>IF(AND(BT120&lt;&gt;"",T120&gt;0),BT120/T120,"")</f>
        <v/>
      </c>
    </row>
    <row r="121">
      <c r="A121" s="36">
        <f>'📊 Исходные данные'!A120</f>
        <v/>
      </c>
      <c r="B121" s="37">
        <f>'📊 Исходные данные'!B120</f>
        <v/>
      </c>
      <c r="C121" s="38">
        <f>'📊 Исходные данные'!C120</f>
        <v/>
      </c>
      <c r="D121" s="38">
        <f>'📊 Исходные данные'!D120</f>
        <v/>
      </c>
      <c r="E121" s="39">
        <f>IF(OR(D121="",F121=""),"-",IF(D121&gt;F121*1.05,"Выше рынка",IF(D121&lt;F121*0.95,"Ниже рынка","На уровне")))</f>
        <v/>
      </c>
      <c r="F121" s="40">
        <f>IFERROR(AVERAGE('📊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G121" s="40">
        <f>IFERROR(MEDIAN('📊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H121" s="40">
        <f>IFERROR(MIN('📊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I121" s="40">
        <f>IFERROR(MAX('📊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данные'!K120),"")</f>
        <v/>
      </c>
      <c r="J121" s="41">
        <f>IF(AND(D121&lt;&gt;"",F121&lt;&gt;""),(D121-F121)/F121,"")</f>
        <v/>
      </c>
      <c r="K121" s="41">
        <f>IF(AND(D121&lt;&gt;"",G121&lt;&gt;""),(D121-G121)/G121,"")</f>
        <v/>
      </c>
      <c r="L121" s="41">
        <f>IF(AND(D121&lt;&gt;"",H121&lt;&gt;""),(D121-H121)/H121,"")</f>
        <v/>
      </c>
      <c r="M121" s="42">
        <f>IFERROR(RANK(D121,('📊 Исходные данные'!E120,'📊 Исходные данные'!F120,'📊 Исходные данные'!G120,'📊 Исходные данные'!H120,'📊 Исходные данные'!I120,'📊 Исходные данные'!J120,'📊 Исходные данные'!K120)),"")</f>
        <v/>
      </c>
      <c r="N121" s="39">
        <f>IF(M121="","-",IF(M121=1,"Дороже всех",IF(M121=2,"2-й по цене",IF(M121&lt;=4,"Средний","Ниже конкурентов"))))</f>
        <v/>
      </c>
      <c r="O121" s="41">
        <f>IF(AND(C121&gt;0,D121&gt;0),(D121-C121)/C121,"")</f>
        <v/>
      </c>
      <c r="P121" s="41">
        <f>IF(AND(C121&gt;0,D121&gt;0),(D121-C121)/D121,"")</f>
        <v/>
      </c>
      <c r="Q121" s="40">
        <f>IF(AND(C121&gt;0,D121&gt;0),D121-C121,"")</f>
        <v/>
      </c>
      <c r="R121" s="39">
        <f>IF(P121="","-",IF(P121&lt;0.1,"Низкая(&lt;10%)",IF(P121&lt;0.2,"Средняя(10-20%)","Хорошая(&gt;20%)")))</f>
        <v/>
      </c>
      <c r="S121" s="39">
        <f>IF(OR(H121="",C121=""),"-",IF((H121-C121)/H121&lt;0.05,"КРИТИЧНО",IF((H121-C121)/H121&lt;0.15,"УМЕРЕННЫЙ","НИЗКИЙ")))</f>
        <v/>
      </c>
      <c r="T121" s="43" t="n"/>
      <c r="U121" s="40">
        <f>IF(T121&gt;0,T121*D121,"")</f>
        <v/>
      </c>
      <c r="V121" s="40">
        <f>IF(T121&gt;0,T121*Q121,"")</f>
        <v/>
      </c>
      <c r="W121" s="41">
        <f>IF(U121&gt;0,V121/U121,"")</f>
        <v/>
      </c>
      <c r="X121" s="40">
        <f>IF(F121&lt;&gt;"",F121,"")</f>
        <v/>
      </c>
      <c r="Y121" s="41">
        <f>IF(AND(X121&lt;&gt;"",C121&gt;0),(X121-C121)/C121,"")</f>
        <v/>
      </c>
      <c r="Z121" s="41">
        <f>IF(AND(X121&lt;&gt;"",X121&gt;0),(X121-C121)/X121,"")</f>
        <v/>
      </c>
      <c r="AA121" s="40">
        <f>IF(AND(X121&lt;&gt;"",C121&gt;0),X121-C121,"")</f>
        <v/>
      </c>
      <c r="AB121" s="41">
        <f>IF(AND(X121&lt;&gt;"",D121&gt;0),(X121-D121)/D121,"")</f>
        <v/>
      </c>
      <c r="AC121" s="41">
        <f>IF(AND(Z121&lt;&gt;"",P121&lt;&gt;""),(Z121-P121)/ABS(IF(P121=0,1,P121)),"")</f>
        <v/>
      </c>
      <c r="AD121" s="40">
        <f>IF(AND(AA121&lt;&gt;"",Q121&lt;&gt;""),AA121-Q121,"")</f>
        <v/>
      </c>
      <c r="AE121" s="40">
        <f>IF(G121&lt;&gt;"",G121,"")</f>
        <v/>
      </c>
      <c r="AF121" s="41">
        <f>IF(AND(AE121&lt;&gt;"",C121&gt;0),(AE121-C121)/C121,"")</f>
        <v/>
      </c>
      <c r="AG121" s="41">
        <f>IF(AND(AE121&lt;&gt;"",AE121&gt;0),(AE121-C121)/AE121,"")</f>
        <v/>
      </c>
      <c r="AH121" s="40">
        <f>IF(AND(AE121&lt;&gt;"",C121&gt;0),AE121-C121,"")</f>
        <v/>
      </c>
      <c r="AI121" s="41">
        <f>IF(AND(AE121&lt;&gt;"",D121&gt;0),(AE121-D121)/D121,"")</f>
        <v/>
      </c>
      <c r="AJ121" s="41">
        <f>IF(AND(AG121&lt;&gt;"",P121&lt;&gt;""),(AG121-P121)/ABS(IF(P121=0,1,P121)),"")</f>
        <v/>
      </c>
      <c r="AK121" s="40">
        <f>IF(AND(AH121&lt;&gt;"",Q121&lt;&gt;""),AH121-Q121,"")</f>
        <v/>
      </c>
      <c r="AL121" s="40">
        <f>IF(H121&lt;&gt;"",H121,"")</f>
        <v/>
      </c>
      <c r="AM121" s="41">
        <f>IF(AND(AL121&lt;&gt;"",C121&gt;0),(AL121-C121)/C121,"")</f>
        <v/>
      </c>
      <c r="AN121" s="41">
        <f>IF(AND(AL121&lt;&gt;"",AL121&gt;0),(AL121-C121)/AL121,"")</f>
        <v/>
      </c>
      <c r="AO121" s="40">
        <f>IF(AND(AL121&lt;&gt;"",C121&gt;0),AL121-C121,"")</f>
        <v/>
      </c>
      <c r="AP121" s="41">
        <f>IF(AND(AL121&lt;&gt;"",D121&gt;0),(AL121-D121)/D121,"")</f>
        <v/>
      </c>
      <c r="AQ121" s="41">
        <f>IF(AND(AN121&lt;&gt;"",P121&lt;&gt;""),(AN121-P121)/ABS(IF(P121=0,1,P121)),"")</f>
        <v/>
      </c>
      <c r="AR121" s="40">
        <f>IF(AND(AO121&lt;&gt;"",Q121&lt;&gt;""),AO121-Q121,"")</f>
        <v/>
      </c>
      <c r="AS121" s="44" t="n"/>
      <c r="AT121" s="41">
        <f>IF(AND(AS121&gt;0,C121&gt;0),(AS121-C121)/C121,"")</f>
        <v/>
      </c>
      <c r="AU121" s="41">
        <f>IF(AND(AS121&gt;0,AS121&gt;0),(AS121-C121)/AS121,"")</f>
        <v/>
      </c>
      <c r="AV121" s="40">
        <f>IF(AND(AS121&gt;0,C121&gt;0),AS121-C121,"")</f>
        <v/>
      </c>
      <c r="AW121" s="41">
        <f>IF(AND(AS121&gt;0,D121&gt;0),(AS121-D121)/D121,"")</f>
        <v/>
      </c>
      <c r="AX121" s="41">
        <f>IF(AND(AU121&lt;&gt;"",P121&lt;&gt;""),(AU121-P121)/ABS(IF(P121=0,1,P121)),"")</f>
        <v/>
      </c>
      <c r="AY121" s="40">
        <f>IF(AND(AV121&lt;&gt;"",Q121&lt;&gt;""),AV121-Q121,"")</f>
        <v/>
      </c>
      <c r="AZ121" s="45" t="n"/>
      <c r="BA121" s="40">
        <f>IF(AND(AZ121&gt;0,C121&gt;0),C121/(1-AZ121),"")</f>
        <v/>
      </c>
      <c r="BB121" s="41">
        <f>IF(AND(BA121&lt;&gt;"",C121&gt;0),(BA121-C121)/C121,"")</f>
        <v/>
      </c>
      <c r="BC121" s="41">
        <f>IF(BA121&lt;&gt;"",AZ121,"")</f>
        <v/>
      </c>
      <c r="BD121" s="40">
        <f>IF(AND(BA121&lt;&gt;"",C121&gt;0),BA121-C121,"")</f>
        <v/>
      </c>
      <c r="BE121" s="41">
        <f>IF(AND(BA121&lt;&gt;"",D121&gt;0),(BA121-D121)/D121,"")</f>
        <v/>
      </c>
      <c r="BF121" s="41">
        <f>IF(AND(BC121&lt;&gt;"",P121&lt;&gt;""),(BC121-P121)/ABS(IF(P121=0,1,P121)),"")</f>
        <v/>
      </c>
      <c r="BG121" s="40">
        <f>IF(AND(BD121&lt;&gt;"",Q121&lt;&gt;""),BD121-Q121,"")</f>
        <v/>
      </c>
      <c r="BH121" s="40">
        <f>IF(AND(T121&gt;0,X121&lt;&gt;""),T121*X121,"")</f>
        <v/>
      </c>
      <c r="BI121" s="40">
        <f>IF(AND(T121&gt;0,AA121&lt;&gt;""),T121*AA121,"")</f>
        <v/>
      </c>
      <c r="BJ121" s="40">
        <f>IF(AND(T121&gt;0,AE121&lt;&gt;""),T121*AE121,"")</f>
        <v/>
      </c>
      <c r="BK121" s="40">
        <f>IF(AND(T121&gt;0,AH121&lt;&gt;""),T121*AH121,"")</f>
        <v/>
      </c>
      <c r="BL121" s="40">
        <f>IF(AND(T121&gt;0,AL121&lt;&gt;""),T121*AL121,"")</f>
        <v/>
      </c>
      <c r="BM121" s="40">
        <f>IF(AND(T121&gt;0,AO121&lt;&gt;""),T121*AO121,"")</f>
        <v/>
      </c>
      <c r="BN121" s="40">
        <f>IF(AND(T121&gt;0,AS121&gt;0),T121*AS121,"")</f>
        <v/>
      </c>
      <c r="BO121" s="40">
        <f>IF(AND(T121&gt;0,AV121&lt;&gt;""),T121*AV121,"")</f>
        <v/>
      </c>
      <c r="BP121" s="40">
        <f>IF(AND(T121&gt;0,BA121&lt;&gt;""),T121*BA121,"")</f>
        <v/>
      </c>
      <c r="BQ121" s="40">
        <f>IF(AND(T121&gt;0,BD121&lt;&gt;""),T121*BD121,"")</f>
        <v/>
      </c>
      <c r="BR121" s="46">
        <f>IF(AND(T121&gt;0,V121&gt;0,AA121&lt;&gt;0),V121/AA121-T121,"")</f>
        <v/>
      </c>
      <c r="BS121" s="41">
        <f>IF(AND(BR121&lt;&gt;"",T121&gt;0),BR121/T121,"")</f>
        <v/>
      </c>
      <c r="BT121" s="46">
        <f>IF(AND(T121&gt;0,V121&gt;0,AO121&lt;&gt;0),V121/AO121-T121,"")</f>
        <v/>
      </c>
      <c r="BU121" s="41">
        <f>IF(AND(BT121&lt;&gt;"",T121&gt;0),BT121/T121,"")</f>
        <v/>
      </c>
    </row>
    <row r="122">
      <c r="A122" s="36">
        <f>'📊 Исходные данные'!A121</f>
        <v/>
      </c>
      <c r="B122" s="37">
        <f>'📊 Исходные данные'!B121</f>
        <v/>
      </c>
      <c r="C122" s="38">
        <f>'📊 Исходные данные'!C121</f>
        <v/>
      </c>
      <c r="D122" s="38">
        <f>'📊 Исходные данные'!D121</f>
        <v/>
      </c>
      <c r="E122" s="39">
        <f>IF(OR(D122="",F122=""),"-",IF(D122&gt;F122*1.05,"Выше рынка",IF(D122&lt;F122*0.95,"Ниже рынка","На уровне")))</f>
        <v/>
      </c>
      <c r="F122" s="40">
        <f>IFERROR(AVERAGE('📊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G122" s="40">
        <f>IFERROR(MEDIAN('📊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H122" s="40">
        <f>IFERROR(MIN('📊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I122" s="40">
        <f>IFERROR(MAX('📊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данные'!K121),"")</f>
        <v/>
      </c>
      <c r="J122" s="41">
        <f>IF(AND(D122&lt;&gt;"",F122&lt;&gt;""),(D122-F122)/F122,"")</f>
        <v/>
      </c>
      <c r="K122" s="41">
        <f>IF(AND(D122&lt;&gt;"",G122&lt;&gt;""),(D122-G122)/G122,"")</f>
        <v/>
      </c>
      <c r="L122" s="41">
        <f>IF(AND(D122&lt;&gt;"",H122&lt;&gt;""),(D122-H122)/H122,"")</f>
        <v/>
      </c>
      <c r="M122" s="42">
        <f>IFERROR(RANK(D122,('📊 Исходные данные'!E121,'📊 Исходные данные'!F121,'📊 Исходные данные'!G121,'📊 Исходные данные'!H121,'📊 Исходные данные'!I121,'📊 Исходные данные'!J121,'📊 Исходные данные'!K121)),"")</f>
        <v/>
      </c>
      <c r="N122" s="39">
        <f>IF(M122="","-",IF(M122=1,"Дороже всех",IF(M122=2,"2-й по цене",IF(M122&lt;=4,"Средний","Ниже конкурентов"))))</f>
        <v/>
      </c>
      <c r="O122" s="41">
        <f>IF(AND(C122&gt;0,D122&gt;0),(D122-C122)/C122,"")</f>
        <v/>
      </c>
      <c r="P122" s="41">
        <f>IF(AND(C122&gt;0,D122&gt;0),(D122-C122)/D122,"")</f>
        <v/>
      </c>
      <c r="Q122" s="40">
        <f>IF(AND(C122&gt;0,D122&gt;0),D122-C122,"")</f>
        <v/>
      </c>
      <c r="R122" s="39">
        <f>IF(P122="","-",IF(P122&lt;0.1,"Низкая(&lt;10%)",IF(P122&lt;0.2,"Средняя(10-20%)","Хорошая(&gt;20%)")))</f>
        <v/>
      </c>
      <c r="S122" s="39">
        <f>IF(OR(H122="",C122=""),"-",IF((H122-C122)/H122&lt;0.05,"КРИТИЧНО",IF((H122-C122)/H122&lt;0.15,"УМЕРЕННЫЙ","НИЗКИЙ")))</f>
        <v/>
      </c>
      <c r="T122" s="43" t="n"/>
      <c r="U122" s="40">
        <f>IF(T122&gt;0,T122*D122,"")</f>
        <v/>
      </c>
      <c r="V122" s="40">
        <f>IF(T122&gt;0,T122*Q122,"")</f>
        <v/>
      </c>
      <c r="W122" s="41">
        <f>IF(U122&gt;0,V122/U122,"")</f>
        <v/>
      </c>
      <c r="X122" s="40">
        <f>IF(F122&lt;&gt;"",F122,"")</f>
        <v/>
      </c>
      <c r="Y122" s="41">
        <f>IF(AND(X122&lt;&gt;"",C122&gt;0),(X122-C122)/C122,"")</f>
        <v/>
      </c>
      <c r="Z122" s="41">
        <f>IF(AND(X122&lt;&gt;"",X122&gt;0),(X122-C122)/X122,"")</f>
        <v/>
      </c>
      <c r="AA122" s="40">
        <f>IF(AND(X122&lt;&gt;"",C122&gt;0),X122-C122,"")</f>
        <v/>
      </c>
      <c r="AB122" s="41">
        <f>IF(AND(X122&lt;&gt;"",D122&gt;0),(X122-D122)/D122,"")</f>
        <v/>
      </c>
      <c r="AC122" s="41">
        <f>IF(AND(Z122&lt;&gt;"",P122&lt;&gt;""),(Z122-P122)/ABS(IF(P122=0,1,P122)),"")</f>
        <v/>
      </c>
      <c r="AD122" s="40">
        <f>IF(AND(AA122&lt;&gt;"",Q122&lt;&gt;""),AA122-Q122,"")</f>
        <v/>
      </c>
      <c r="AE122" s="40">
        <f>IF(G122&lt;&gt;"",G122,"")</f>
        <v/>
      </c>
      <c r="AF122" s="41">
        <f>IF(AND(AE122&lt;&gt;"",C122&gt;0),(AE122-C122)/C122,"")</f>
        <v/>
      </c>
      <c r="AG122" s="41">
        <f>IF(AND(AE122&lt;&gt;"",AE122&gt;0),(AE122-C122)/AE122,"")</f>
        <v/>
      </c>
      <c r="AH122" s="40">
        <f>IF(AND(AE122&lt;&gt;"",C122&gt;0),AE122-C122,"")</f>
        <v/>
      </c>
      <c r="AI122" s="41">
        <f>IF(AND(AE122&lt;&gt;"",D122&gt;0),(AE122-D122)/D122,"")</f>
        <v/>
      </c>
      <c r="AJ122" s="41">
        <f>IF(AND(AG122&lt;&gt;"",P122&lt;&gt;""),(AG122-P122)/ABS(IF(P122=0,1,P122)),"")</f>
        <v/>
      </c>
      <c r="AK122" s="40">
        <f>IF(AND(AH122&lt;&gt;"",Q122&lt;&gt;""),AH122-Q122,"")</f>
        <v/>
      </c>
      <c r="AL122" s="40">
        <f>IF(H122&lt;&gt;"",H122,"")</f>
        <v/>
      </c>
      <c r="AM122" s="41">
        <f>IF(AND(AL122&lt;&gt;"",C122&gt;0),(AL122-C122)/C122,"")</f>
        <v/>
      </c>
      <c r="AN122" s="41">
        <f>IF(AND(AL122&lt;&gt;"",AL122&gt;0),(AL122-C122)/AL122,"")</f>
        <v/>
      </c>
      <c r="AO122" s="40">
        <f>IF(AND(AL122&lt;&gt;"",C122&gt;0),AL122-C122,"")</f>
        <v/>
      </c>
      <c r="AP122" s="41">
        <f>IF(AND(AL122&lt;&gt;"",D122&gt;0),(AL122-D122)/D122,"")</f>
        <v/>
      </c>
      <c r="AQ122" s="41">
        <f>IF(AND(AN122&lt;&gt;"",P122&lt;&gt;""),(AN122-P122)/ABS(IF(P122=0,1,P122)),"")</f>
        <v/>
      </c>
      <c r="AR122" s="40">
        <f>IF(AND(AO122&lt;&gt;"",Q122&lt;&gt;""),AO122-Q122,"")</f>
        <v/>
      </c>
      <c r="AS122" s="44" t="n"/>
      <c r="AT122" s="41">
        <f>IF(AND(AS122&gt;0,C122&gt;0),(AS122-C122)/C122,"")</f>
        <v/>
      </c>
      <c r="AU122" s="41">
        <f>IF(AND(AS122&gt;0,AS122&gt;0),(AS122-C122)/AS122,"")</f>
        <v/>
      </c>
      <c r="AV122" s="40">
        <f>IF(AND(AS122&gt;0,C122&gt;0),AS122-C122,"")</f>
        <v/>
      </c>
      <c r="AW122" s="41">
        <f>IF(AND(AS122&gt;0,D122&gt;0),(AS122-D122)/D122,"")</f>
        <v/>
      </c>
      <c r="AX122" s="41">
        <f>IF(AND(AU122&lt;&gt;"",P122&lt;&gt;""),(AU122-P122)/ABS(IF(P122=0,1,P122)),"")</f>
        <v/>
      </c>
      <c r="AY122" s="40">
        <f>IF(AND(AV122&lt;&gt;"",Q122&lt;&gt;""),AV122-Q122,"")</f>
        <v/>
      </c>
      <c r="AZ122" s="45" t="n"/>
      <c r="BA122" s="40">
        <f>IF(AND(AZ122&gt;0,C122&gt;0),C122/(1-AZ122),"")</f>
        <v/>
      </c>
      <c r="BB122" s="41">
        <f>IF(AND(BA122&lt;&gt;"",C122&gt;0),(BA122-C122)/C122,"")</f>
        <v/>
      </c>
      <c r="BC122" s="41">
        <f>IF(BA122&lt;&gt;"",AZ122,"")</f>
        <v/>
      </c>
      <c r="BD122" s="40">
        <f>IF(AND(BA122&lt;&gt;"",C122&gt;0),BA122-C122,"")</f>
        <v/>
      </c>
      <c r="BE122" s="41">
        <f>IF(AND(BA122&lt;&gt;"",D122&gt;0),(BA122-D122)/D122,"")</f>
        <v/>
      </c>
      <c r="BF122" s="41">
        <f>IF(AND(BC122&lt;&gt;"",P122&lt;&gt;""),(BC122-P122)/ABS(IF(P122=0,1,P122)),"")</f>
        <v/>
      </c>
      <c r="BG122" s="40">
        <f>IF(AND(BD122&lt;&gt;"",Q122&lt;&gt;""),BD122-Q122,"")</f>
        <v/>
      </c>
      <c r="BH122" s="40">
        <f>IF(AND(T122&gt;0,X122&lt;&gt;""),T122*X122,"")</f>
        <v/>
      </c>
      <c r="BI122" s="40">
        <f>IF(AND(T122&gt;0,AA122&lt;&gt;""),T122*AA122,"")</f>
        <v/>
      </c>
      <c r="BJ122" s="40">
        <f>IF(AND(T122&gt;0,AE122&lt;&gt;""),T122*AE122,"")</f>
        <v/>
      </c>
      <c r="BK122" s="40">
        <f>IF(AND(T122&gt;0,AH122&lt;&gt;""),T122*AH122,"")</f>
        <v/>
      </c>
      <c r="BL122" s="40">
        <f>IF(AND(T122&gt;0,AL122&lt;&gt;""),T122*AL122,"")</f>
        <v/>
      </c>
      <c r="BM122" s="40">
        <f>IF(AND(T122&gt;0,AO122&lt;&gt;""),T122*AO122,"")</f>
        <v/>
      </c>
      <c r="BN122" s="40">
        <f>IF(AND(T122&gt;0,AS122&gt;0),T122*AS122,"")</f>
        <v/>
      </c>
      <c r="BO122" s="40">
        <f>IF(AND(T122&gt;0,AV122&lt;&gt;""),T122*AV122,"")</f>
        <v/>
      </c>
      <c r="BP122" s="40">
        <f>IF(AND(T122&gt;0,BA122&lt;&gt;""),T122*BA122,"")</f>
        <v/>
      </c>
      <c r="BQ122" s="40">
        <f>IF(AND(T122&gt;0,BD122&lt;&gt;""),T122*BD122,"")</f>
        <v/>
      </c>
      <c r="BR122" s="46">
        <f>IF(AND(T122&gt;0,V122&gt;0,AA122&lt;&gt;0),V122/AA122-T122,"")</f>
        <v/>
      </c>
      <c r="BS122" s="41">
        <f>IF(AND(BR122&lt;&gt;"",T122&gt;0),BR122/T122,"")</f>
        <v/>
      </c>
      <c r="BT122" s="46">
        <f>IF(AND(T122&gt;0,V122&gt;0,AO122&lt;&gt;0),V122/AO122-T122,"")</f>
        <v/>
      </c>
      <c r="BU122" s="41">
        <f>IF(AND(BT122&lt;&gt;"",T122&gt;0),BT122/T122,"")</f>
        <v/>
      </c>
    </row>
    <row r="123">
      <c r="A123" s="36">
        <f>'📊 Исходные данные'!A122</f>
        <v/>
      </c>
      <c r="B123" s="37">
        <f>'📊 Исходные данные'!B122</f>
        <v/>
      </c>
      <c r="C123" s="38">
        <f>'📊 Исходные данные'!C122</f>
        <v/>
      </c>
      <c r="D123" s="38">
        <f>'📊 Исходные данные'!D122</f>
        <v/>
      </c>
      <c r="E123" s="39">
        <f>IF(OR(D123="",F123=""),"-",IF(D123&gt;F123*1.05,"Выше рынка",IF(D123&lt;F123*0.95,"Ниже рынка","На уровне")))</f>
        <v/>
      </c>
      <c r="F123" s="40">
        <f>IFERROR(AVERAGE('📊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G123" s="40">
        <f>IFERROR(MEDIAN('📊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H123" s="40">
        <f>IFERROR(MIN('📊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I123" s="40">
        <f>IFERROR(MAX('📊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данные'!K122),"")</f>
        <v/>
      </c>
      <c r="J123" s="41">
        <f>IF(AND(D123&lt;&gt;"",F123&lt;&gt;""),(D123-F123)/F123,"")</f>
        <v/>
      </c>
      <c r="K123" s="41">
        <f>IF(AND(D123&lt;&gt;"",G123&lt;&gt;""),(D123-G123)/G123,"")</f>
        <v/>
      </c>
      <c r="L123" s="41">
        <f>IF(AND(D123&lt;&gt;"",H123&lt;&gt;""),(D123-H123)/H123,"")</f>
        <v/>
      </c>
      <c r="M123" s="42">
        <f>IFERROR(RANK(D123,('📊 Исходные данные'!E122,'📊 Исходные данные'!F122,'📊 Исходные данные'!G122,'📊 Исходные данные'!H122,'📊 Исходные данные'!I122,'📊 Исходные данные'!J122,'📊 Исходные данные'!K122)),"")</f>
        <v/>
      </c>
      <c r="N123" s="39">
        <f>IF(M123="","-",IF(M123=1,"Дороже всех",IF(M123=2,"2-й по цене",IF(M123&lt;=4,"Средний","Ниже конкурентов"))))</f>
        <v/>
      </c>
      <c r="O123" s="41">
        <f>IF(AND(C123&gt;0,D123&gt;0),(D123-C123)/C123,"")</f>
        <v/>
      </c>
      <c r="P123" s="41">
        <f>IF(AND(C123&gt;0,D123&gt;0),(D123-C123)/D123,"")</f>
        <v/>
      </c>
      <c r="Q123" s="40">
        <f>IF(AND(C123&gt;0,D123&gt;0),D123-C123,"")</f>
        <v/>
      </c>
      <c r="R123" s="39">
        <f>IF(P123="","-",IF(P123&lt;0.1,"Низкая(&lt;10%)",IF(P123&lt;0.2,"Средняя(10-20%)","Хорошая(&gt;20%)")))</f>
        <v/>
      </c>
      <c r="S123" s="39">
        <f>IF(OR(H123="",C123=""),"-",IF((H123-C123)/H123&lt;0.05,"КРИТИЧНО",IF((H123-C123)/H123&lt;0.15,"УМЕРЕННЫЙ","НИЗКИЙ")))</f>
        <v/>
      </c>
      <c r="T123" s="43" t="n"/>
      <c r="U123" s="40">
        <f>IF(T123&gt;0,T123*D123,"")</f>
        <v/>
      </c>
      <c r="V123" s="40">
        <f>IF(T123&gt;0,T123*Q123,"")</f>
        <v/>
      </c>
      <c r="W123" s="41">
        <f>IF(U123&gt;0,V123/U123,"")</f>
        <v/>
      </c>
      <c r="X123" s="40">
        <f>IF(F123&lt;&gt;"",F123,"")</f>
        <v/>
      </c>
      <c r="Y123" s="41">
        <f>IF(AND(X123&lt;&gt;"",C123&gt;0),(X123-C123)/C123,"")</f>
        <v/>
      </c>
      <c r="Z123" s="41">
        <f>IF(AND(X123&lt;&gt;"",X123&gt;0),(X123-C123)/X123,"")</f>
        <v/>
      </c>
      <c r="AA123" s="40">
        <f>IF(AND(X123&lt;&gt;"",C123&gt;0),X123-C123,"")</f>
        <v/>
      </c>
      <c r="AB123" s="41">
        <f>IF(AND(X123&lt;&gt;"",D123&gt;0),(X123-D123)/D123,"")</f>
        <v/>
      </c>
      <c r="AC123" s="41">
        <f>IF(AND(Z123&lt;&gt;"",P123&lt;&gt;""),(Z123-P123)/ABS(IF(P123=0,1,P123)),"")</f>
        <v/>
      </c>
      <c r="AD123" s="40">
        <f>IF(AND(AA123&lt;&gt;"",Q123&lt;&gt;""),AA123-Q123,"")</f>
        <v/>
      </c>
      <c r="AE123" s="40">
        <f>IF(G123&lt;&gt;"",G123,"")</f>
        <v/>
      </c>
      <c r="AF123" s="41">
        <f>IF(AND(AE123&lt;&gt;"",C123&gt;0),(AE123-C123)/C123,"")</f>
        <v/>
      </c>
      <c r="AG123" s="41">
        <f>IF(AND(AE123&lt;&gt;"",AE123&gt;0),(AE123-C123)/AE123,"")</f>
        <v/>
      </c>
      <c r="AH123" s="40">
        <f>IF(AND(AE123&lt;&gt;"",C123&gt;0),AE123-C123,"")</f>
        <v/>
      </c>
      <c r="AI123" s="41">
        <f>IF(AND(AE123&lt;&gt;"",D123&gt;0),(AE123-D123)/D123,"")</f>
        <v/>
      </c>
      <c r="AJ123" s="41">
        <f>IF(AND(AG123&lt;&gt;"",P123&lt;&gt;""),(AG123-P123)/ABS(IF(P123=0,1,P123)),"")</f>
        <v/>
      </c>
      <c r="AK123" s="40">
        <f>IF(AND(AH123&lt;&gt;"",Q123&lt;&gt;""),AH123-Q123,"")</f>
        <v/>
      </c>
      <c r="AL123" s="40">
        <f>IF(H123&lt;&gt;"",H123,"")</f>
        <v/>
      </c>
      <c r="AM123" s="41">
        <f>IF(AND(AL123&lt;&gt;"",C123&gt;0),(AL123-C123)/C123,"")</f>
        <v/>
      </c>
      <c r="AN123" s="41">
        <f>IF(AND(AL123&lt;&gt;"",AL123&gt;0),(AL123-C123)/AL123,"")</f>
        <v/>
      </c>
      <c r="AO123" s="40">
        <f>IF(AND(AL123&lt;&gt;"",C123&gt;0),AL123-C123,"")</f>
        <v/>
      </c>
      <c r="AP123" s="41">
        <f>IF(AND(AL123&lt;&gt;"",D123&gt;0),(AL123-D123)/D123,"")</f>
        <v/>
      </c>
      <c r="AQ123" s="41">
        <f>IF(AND(AN123&lt;&gt;"",P123&lt;&gt;""),(AN123-P123)/ABS(IF(P123=0,1,P123)),"")</f>
        <v/>
      </c>
      <c r="AR123" s="40">
        <f>IF(AND(AO123&lt;&gt;"",Q123&lt;&gt;""),AO123-Q123,"")</f>
        <v/>
      </c>
      <c r="AS123" s="44" t="n"/>
      <c r="AT123" s="41">
        <f>IF(AND(AS123&gt;0,C123&gt;0),(AS123-C123)/C123,"")</f>
        <v/>
      </c>
      <c r="AU123" s="41">
        <f>IF(AND(AS123&gt;0,AS123&gt;0),(AS123-C123)/AS123,"")</f>
        <v/>
      </c>
      <c r="AV123" s="40">
        <f>IF(AND(AS123&gt;0,C123&gt;0),AS123-C123,"")</f>
        <v/>
      </c>
      <c r="AW123" s="41">
        <f>IF(AND(AS123&gt;0,D123&gt;0),(AS123-D123)/D123,"")</f>
        <v/>
      </c>
      <c r="AX123" s="41">
        <f>IF(AND(AU123&lt;&gt;"",P123&lt;&gt;""),(AU123-P123)/ABS(IF(P123=0,1,P123)),"")</f>
        <v/>
      </c>
      <c r="AY123" s="40">
        <f>IF(AND(AV123&lt;&gt;"",Q123&lt;&gt;""),AV123-Q123,"")</f>
        <v/>
      </c>
      <c r="AZ123" s="45" t="n"/>
      <c r="BA123" s="40">
        <f>IF(AND(AZ123&gt;0,C123&gt;0),C123/(1-AZ123),"")</f>
        <v/>
      </c>
      <c r="BB123" s="41">
        <f>IF(AND(BA123&lt;&gt;"",C123&gt;0),(BA123-C123)/C123,"")</f>
        <v/>
      </c>
      <c r="BC123" s="41">
        <f>IF(BA123&lt;&gt;"",AZ123,"")</f>
        <v/>
      </c>
      <c r="BD123" s="40">
        <f>IF(AND(BA123&lt;&gt;"",C123&gt;0),BA123-C123,"")</f>
        <v/>
      </c>
      <c r="BE123" s="41">
        <f>IF(AND(BA123&lt;&gt;"",D123&gt;0),(BA123-D123)/D123,"")</f>
        <v/>
      </c>
      <c r="BF123" s="41">
        <f>IF(AND(BC123&lt;&gt;"",P123&lt;&gt;""),(BC123-P123)/ABS(IF(P123=0,1,P123)),"")</f>
        <v/>
      </c>
      <c r="BG123" s="40">
        <f>IF(AND(BD123&lt;&gt;"",Q123&lt;&gt;""),BD123-Q123,"")</f>
        <v/>
      </c>
      <c r="BH123" s="40">
        <f>IF(AND(T123&gt;0,X123&lt;&gt;""),T123*X123,"")</f>
        <v/>
      </c>
      <c r="BI123" s="40">
        <f>IF(AND(T123&gt;0,AA123&lt;&gt;""),T123*AA123,"")</f>
        <v/>
      </c>
      <c r="BJ123" s="40">
        <f>IF(AND(T123&gt;0,AE123&lt;&gt;""),T123*AE123,"")</f>
        <v/>
      </c>
      <c r="BK123" s="40">
        <f>IF(AND(T123&gt;0,AH123&lt;&gt;""),T123*AH123,"")</f>
        <v/>
      </c>
      <c r="BL123" s="40">
        <f>IF(AND(T123&gt;0,AL123&lt;&gt;""),T123*AL123,"")</f>
        <v/>
      </c>
      <c r="BM123" s="40">
        <f>IF(AND(T123&gt;0,AO123&lt;&gt;""),T123*AO123,"")</f>
        <v/>
      </c>
      <c r="BN123" s="40">
        <f>IF(AND(T123&gt;0,AS123&gt;0),T123*AS123,"")</f>
        <v/>
      </c>
      <c r="BO123" s="40">
        <f>IF(AND(T123&gt;0,AV123&lt;&gt;""),T123*AV123,"")</f>
        <v/>
      </c>
      <c r="BP123" s="40">
        <f>IF(AND(T123&gt;0,BA123&lt;&gt;""),T123*BA123,"")</f>
        <v/>
      </c>
      <c r="BQ123" s="40">
        <f>IF(AND(T123&gt;0,BD123&lt;&gt;""),T123*BD123,"")</f>
        <v/>
      </c>
      <c r="BR123" s="46">
        <f>IF(AND(T123&gt;0,V123&gt;0,AA123&lt;&gt;0),V123/AA123-T123,"")</f>
        <v/>
      </c>
      <c r="BS123" s="41">
        <f>IF(AND(BR123&lt;&gt;"",T123&gt;0),BR123/T123,"")</f>
        <v/>
      </c>
      <c r="BT123" s="46">
        <f>IF(AND(T123&gt;0,V123&gt;0,AO123&lt;&gt;0),V123/AO123-T123,"")</f>
        <v/>
      </c>
      <c r="BU123" s="41">
        <f>IF(AND(BT123&lt;&gt;"",T123&gt;0),BT123/T123,"")</f>
        <v/>
      </c>
    </row>
    <row r="124">
      <c r="A124" s="36">
        <f>'📊 Исходные данные'!A123</f>
        <v/>
      </c>
      <c r="B124" s="37">
        <f>'📊 Исходные данные'!B123</f>
        <v/>
      </c>
      <c r="C124" s="38">
        <f>'📊 Исходные данные'!C123</f>
        <v/>
      </c>
      <c r="D124" s="38">
        <f>'📊 Исходные данные'!D123</f>
        <v/>
      </c>
      <c r="E124" s="39">
        <f>IF(OR(D124="",F124=""),"-",IF(D124&gt;F124*1.05,"Выше рынка",IF(D124&lt;F124*0.95,"Ниже рынка","На уровне")))</f>
        <v/>
      </c>
      <c r="F124" s="40">
        <f>IFERROR(AVERAGE('📊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G124" s="40">
        <f>IFERROR(MEDIAN('📊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H124" s="40">
        <f>IFERROR(MIN('📊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I124" s="40">
        <f>IFERROR(MAX('📊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данные'!K123),"")</f>
        <v/>
      </c>
      <c r="J124" s="41">
        <f>IF(AND(D124&lt;&gt;"",F124&lt;&gt;""),(D124-F124)/F124,"")</f>
        <v/>
      </c>
      <c r="K124" s="41">
        <f>IF(AND(D124&lt;&gt;"",G124&lt;&gt;""),(D124-G124)/G124,"")</f>
        <v/>
      </c>
      <c r="L124" s="41">
        <f>IF(AND(D124&lt;&gt;"",H124&lt;&gt;""),(D124-H124)/H124,"")</f>
        <v/>
      </c>
      <c r="M124" s="42">
        <f>IFERROR(RANK(D124,('📊 Исходные данные'!E123,'📊 Исходные данные'!F123,'📊 Исходные данные'!G123,'📊 Исходные данные'!H123,'📊 Исходные данные'!I123,'📊 Исходные данные'!J123,'📊 Исходные данные'!K123)),"")</f>
        <v/>
      </c>
      <c r="N124" s="39">
        <f>IF(M124="","-",IF(M124=1,"Дороже всех",IF(M124=2,"2-й по цене",IF(M124&lt;=4,"Средний","Ниже конкурентов"))))</f>
        <v/>
      </c>
      <c r="O124" s="41">
        <f>IF(AND(C124&gt;0,D124&gt;0),(D124-C124)/C124,"")</f>
        <v/>
      </c>
      <c r="P124" s="41">
        <f>IF(AND(C124&gt;0,D124&gt;0),(D124-C124)/D124,"")</f>
        <v/>
      </c>
      <c r="Q124" s="40">
        <f>IF(AND(C124&gt;0,D124&gt;0),D124-C124,"")</f>
        <v/>
      </c>
      <c r="R124" s="39">
        <f>IF(P124="","-",IF(P124&lt;0.1,"Низкая(&lt;10%)",IF(P124&lt;0.2,"Средняя(10-20%)","Хорошая(&gt;20%)")))</f>
        <v/>
      </c>
      <c r="S124" s="39">
        <f>IF(OR(H124="",C124=""),"-",IF((H124-C124)/H124&lt;0.05,"КРИТИЧНО",IF((H124-C124)/H124&lt;0.15,"УМЕРЕННЫЙ","НИЗКИЙ")))</f>
        <v/>
      </c>
      <c r="T124" s="43" t="n"/>
      <c r="U124" s="40">
        <f>IF(T124&gt;0,T124*D124,"")</f>
        <v/>
      </c>
      <c r="V124" s="40">
        <f>IF(T124&gt;0,T124*Q124,"")</f>
        <v/>
      </c>
      <c r="W124" s="41">
        <f>IF(U124&gt;0,V124/U124,"")</f>
        <v/>
      </c>
      <c r="X124" s="40">
        <f>IF(F124&lt;&gt;"",F124,"")</f>
        <v/>
      </c>
      <c r="Y124" s="41">
        <f>IF(AND(X124&lt;&gt;"",C124&gt;0),(X124-C124)/C124,"")</f>
        <v/>
      </c>
      <c r="Z124" s="41">
        <f>IF(AND(X124&lt;&gt;"",X124&gt;0),(X124-C124)/X124,"")</f>
        <v/>
      </c>
      <c r="AA124" s="40">
        <f>IF(AND(X124&lt;&gt;"",C124&gt;0),X124-C124,"")</f>
        <v/>
      </c>
      <c r="AB124" s="41">
        <f>IF(AND(X124&lt;&gt;"",D124&gt;0),(X124-D124)/D124,"")</f>
        <v/>
      </c>
      <c r="AC124" s="41">
        <f>IF(AND(Z124&lt;&gt;"",P124&lt;&gt;""),(Z124-P124)/ABS(IF(P124=0,1,P124)),"")</f>
        <v/>
      </c>
      <c r="AD124" s="40">
        <f>IF(AND(AA124&lt;&gt;"",Q124&lt;&gt;""),AA124-Q124,"")</f>
        <v/>
      </c>
      <c r="AE124" s="40">
        <f>IF(G124&lt;&gt;"",G124,"")</f>
        <v/>
      </c>
      <c r="AF124" s="41">
        <f>IF(AND(AE124&lt;&gt;"",C124&gt;0),(AE124-C124)/C124,"")</f>
        <v/>
      </c>
      <c r="AG124" s="41">
        <f>IF(AND(AE124&lt;&gt;"",AE124&gt;0),(AE124-C124)/AE124,"")</f>
        <v/>
      </c>
      <c r="AH124" s="40">
        <f>IF(AND(AE124&lt;&gt;"",C124&gt;0),AE124-C124,"")</f>
        <v/>
      </c>
      <c r="AI124" s="41">
        <f>IF(AND(AE124&lt;&gt;"",D124&gt;0),(AE124-D124)/D124,"")</f>
        <v/>
      </c>
      <c r="AJ124" s="41">
        <f>IF(AND(AG124&lt;&gt;"",P124&lt;&gt;""),(AG124-P124)/ABS(IF(P124=0,1,P124)),"")</f>
        <v/>
      </c>
      <c r="AK124" s="40">
        <f>IF(AND(AH124&lt;&gt;"",Q124&lt;&gt;""),AH124-Q124,"")</f>
        <v/>
      </c>
      <c r="AL124" s="40">
        <f>IF(H124&lt;&gt;"",H124,"")</f>
        <v/>
      </c>
      <c r="AM124" s="41">
        <f>IF(AND(AL124&lt;&gt;"",C124&gt;0),(AL124-C124)/C124,"")</f>
        <v/>
      </c>
      <c r="AN124" s="41">
        <f>IF(AND(AL124&lt;&gt;"",AL124&gt;0),(AL124-C124)/AL124,"")</f>
        <v/>
      </c>
      <c r="AO124" s="40">
        <f>IF(AND(AL124&lt;&gt;"",C124&gt;0),AL124-C124,"")</f>
        <v/>
      </c>
      <c r="AP124" s="41">
        <f>IF(AND(AL124&lt;&gt;"",D124&gt;0),(AL124-D124)/D124,"")</f>
        <v/>
      </c>
      <c r="AQ124" s="41">
        <f>IF(AND(AN124&lt;&gt;"",P124&lt;&gt;""),(AN124-P124)/ABS(IF(P124=0,1,P124)),"")</f>
        <v/>
      </c>
      <c r="AR124" s="40">
        <f>IF(AND(AO124&lt;&gt;"",Q124&lt;&gt;""),AO124-Q124,"")</f>
        <v/>
      </c>
      <c r="AS124" s="44" t="n"/>
      <c r="AT124" s="41">
        <f>IF(AND(AS124&gt;0,C124&gt;0),(AS124-C124)/C124,"")</f>
        <v/>
      </c>
      <c r="AU124" s="41">
        <f>IF(AND(AS124&gt;0,AS124&gt;0),(AS124-C124)/AS124,"")</f>
        <v/>
      </c>
      <c r="AV124" s="40">
        <f>IF(AND(AS124&gt;0,C124&gt;0),AS124-C124,"")</f>
        <v/>
      </c>
      <c r="AW124" s="41">
        <f>IF(AND(AS124&gt;0,D124&gt;0),(AS124-D124)/D124,"")</f>
        <v/>
      </c>
      <c r="AX124" s="41">
        <f>IF(AND(AU124&lt;&gt;"",P124&lt;&gt;""),(AU124-P124)/ABS(IF(P124=0,1,P124)),"")</f>
        <v/>
      </c>
      <c r="AY124" s="40">
        <f>IF(AND(AV124&lt;&gt;"",Q124&lt;&gt;""),AV124-Q124,"")</f>
        <v/>
      </c>
      <c r="AZ124" s="45" t="n"/>
      <c r="BA124" s="40">
        <f>IF(AND(AZ124&gt;0,C124&gt;0),C124/(1-AZ124),"")</f>
        <v/>
      </c>
      <c r="BB124" s="41">
        <f>IF(AND(BA124&lt;&gt;"",C124&gt;0),(BA124-C124)/C124,"")</f>
        <v/>
      </c>
      <c r="BC124" s="41">
        <f>IF(BA124&lt;&gt;"",AZ124,"")</f>
        <v/>
      </c>
      <c r="BD124" s="40">
        <f>IF(AND(BA124&lt;&gt;"",C124&gt;0),BA124-C124,"")</f>
        <v/>
      </c>
      <c r="BE124" s="41">
        <f>IF(AND(BA124&lt;&gt;"",D124&gt;0),(BA124-D124)/D124,"")</f>
        <v/>
      </c>
      <c r="BF124" s="41">
        <f>IF(AND(BC124&lt;&gt;"",P124&lt;&gt;""),(BC124-P124)/ABS(IF(P124=0,1,P124)),"")</f>
        <v/>
      </c>
      <c r="BG124" s="40">
        <f>IF(AND(BD124&lt;&gt;"",Q124&lt;&gt;""),BD124-Q124,"")</f>
        <v/>
      </c>
      <c r="BH124" s="40">
        <f>IF(AND(T124&gt;0,X124&lt;&gt;""),T124*X124,"")</f>
        <v/>
      </c>
      <c r="BI124" s="40">
        <f>IF(AND(T124&gt;0,AA124&lt;&gt;""),T124*AA124,"")</f>
        <v/>
      </c>
      <c r="BJ124" s="40">
        <f>IF(AND(T124&gt;0,AE124&lt;&gt;""),T124*AE124,"")</f>
        <v/>
      </c>
      <c r="BK124" s="40">
        <f>IF(AND(T124&gt;0,AH124&lt;&gt;""),T124*AH124,"")</f>
        <v/>
      </c>
      <c r="BL124" s="40">
        <f>IF(AND(T124&gt;0,AL124&lt;&gt;""),T124*AL124,"")</f>
        <v/>
      </c>
      <c r="BM124" s="40">
        <f>IF(AND(T124&gt;0,AO124&lt;&gt;""),T124*AO124,"")</f>
        <v/>
      </c>
      <c r="BN124" s="40">
        <f>IF(AND(T124&gt;0,AS124&gt;0),T124*AS124,"")</f>
        <v/>
      </c>
      <c r="BO124" s="40">
        <f>IF(AND(T124&gt;0,AV124&lt;&gt;""),T124*AV124,"")</f>
        <v/>
      </c>
      <c r="BP124" s="40">
        <f>IF(AND(T124&gt;0,BA124&lt;&gt;""),T124*BA124,"")</f>
        <v/>
      </c>
      <c r="BQ124" s="40">
        <f>IF(AND(T124&gt;0,BD124&lt;&gt;""),T124*BD124,"")</f>
        <v/>
      </c>
      <c r="BR124" s="46">
        <f>IF(AND(T124&gt;0,V124&gt;0,AA124&lt;&gt;0),V124/AA124-T124,"")</f>
        <v/>
      </c>
      <c r="BS124" s="41">
        <f>IF(AND(BR124&lt;&gt;"",T124&gt;0),BR124/T124,"")</f>
        <v/>
      </c>
      <c r="BT124" s="46">
        <f>IF(AND(T124&gt;0,V124&gt;0,AO124&lt;&gt;0),V124/AO124-T124,"")</f>
        <v/>
      </c>
      <c r="BU124" s="41">
        <f>IF(AND(BT124&lt;&gt;"",T124&gt;0),BT124/T124,"")</f>
        <v/>
      </c>
    </row>
    <row r="125">
      <c r="A125" s="36">
        <f>'📊 Исходные данные'!A124</f>
        <v/>
      </c>
      <c r="B125" s="37">
        <f>'📊 Исходные данные'!B124</f>
        <v/>
      </c>
      <c r="C125" s="38">
        <f>'📊 Исходные данные'!C124</f>
        <v/>
      </c>
      <c r="D125" s="38">
        <f>'📊 Исходные данные'!D124</f>
        <v/>
      </c>
      <c r="E125" s="39">
        <f>IF(OR(D125="",F125=""),"-",IF(D125&gt;F125*1.05,"Выше рынка",IF(D125&lt;F125*0.95,"Ниже рынка","На уровне")))</f>
        <v/>
      </c>
      <c r="F125" s="40">
        <f>IFERROR(AVERAGE('📊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G125" s="40">
        <f>IFERROR(MEDIAN('📊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H125" s="40">
        <f>IFERROR(MIN('📊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I125" s="40">
        <f>IFERROR(MAX('📊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данные'!K124),"")</f>
        <v/>
      </c>
      <c r="J125" s="41">
        <f>IF(AND(D125&lt;&gt;"",F125&lt;&gt;""),(D125-F125)/F125,"")</f>
        <v/>
      </c>
      <c r="K125" s="41">
        <f>IF(AND(D125&lt;&gt;"",G125&lt;&gt;""),(D125-G125)/G125,"")</f>
        <v/>
      </c>
      <c r="L125" s="41">
        <f>IF(AND(D125&lt;&gt;"",H125&lt;&gt;""),(D125-H125)/H125,"")</f>
        <v/>
      </c>
      <c r="M125" s="42">
        <f>IFERROR(RANK(D125,('📊 Исходные данные'!E124,'📊 Исходные данные'!F124,'📊 Исходные данные'!G124,'📊 Исходные данные'!H124,'📊 Исходные данные'!I124,'📊 Исходные данные'!J124,'📊 Исходные данные'!K124)),"")</f>
        <v/>
      </c>
      <c r="N125" s="39">
        <f>IF(M125="","-",IF(M125=1,"Дороже всех",IF(M125=2,"2-й по цене",IF(M125&lt;=4,"Средний","Ниже конкурентов"))))</f>
        <v/>
      </c>
      <c r="O125" s="41">
        <f>IF(AND(C125&gt;0,D125&gt;0),(D125-C125)/C125,"")</f>
        <v/>
      </c>
      <c r="P125" s="41">
        <f>IF(AND(C125&gt;0,D125&gt;0),(D125-C125)/D125,"")</f>
        <v/>
      </c>
      <c r="Q125" s="40">
        <f>IF(AND(C125&gt;0,D125&gt;0),D125-C125,"")</f>
        <v/>
      </c>
      <c r="R125" s="39">
        <f>IF(P125="","-",IF(P125&lt;0.1,"Низкая(&lt;10%)",IF(P125&lt;0.2,"Средняя(10-20%)","Хорошая(&gt;20%)")))</f>
        <v/>
      </c>
      <c r="S125" s="39">
        <f>IF(OR(H125="",C125=""),"-",IF((H125-C125)/H125&lt;0.05,"КРИТИЧНО",IF((H125-C125)/H125&lt;0.15,"УМЕРЕННЫЙ","НИЗКИЙ")))</f>
        <v/>
      </c>
      <c r="T125" s="43" t="n"/>
      <c r="U125" s="40">
        <f>IF(T125&gt;0,T125*D125,"")</f>
        <v/>
      </c>
      <c r="V125" s="40">
        <f>IF(T125&gt;0,T125*Q125,"")</f>
        <v/>
      </c>
      <c r="W125" s="41">
        <f>IF(U125&gt;0,V125/U125,"")</f>
        <v/>
      </c>
      <c r="X125" s="40">
        <f>IF(F125&lt;&gt;"",F125,"")</f>
        <v/>
      </c>
      <c r="Y125" s="41">
        <f>IF(AND(X125&lt;&gt;"",C125&gt;0),(X125-C125)/C125,"")</f>
        <v/>
      </c>
      <c r="Z125" s="41">
        <f>IF(AND(X125&lt;&gt;"",X125&gt;0),(X125-C125)/X125,"")</f>
        <v/>
      </c>
      <c r="AA125" s="40">
        <f>IF(AND(X125&lt;&gt;"",C125&gt;0),X125-C125,"")</f>
        <v/>
      </c>
      <c r="AB125" s="41">
        <f>IF(AND(X125&lt;&gt;"",D125&gt;0),(X125-D125)/D125,"")</f>
        <v/>
      </c>
      <c r="AC125" s="41">
        <f>IF(AND(Z125&lt;&gt;"",P125&lt;&gt;""),(Z125-P125)/ABS(IF(P125=0,1,P125)),"")</f>
        <v/>
      </c>
      <c r="AD125" s="40">
        <f>IF(AND(AA125&lt;&gt;"",Q125&lt;&gt;""),AA125-Q125,"")</f>
        <v/>
      </c>
      <c r="AE125" s="40">
        <f>IF(G125&lt;&gt;"",G125,"")</f>
        <v/>
      </c>
      <c r="AF125" s="41">
        <f>IF(AND(AE125&lt;&gt;"",C125&gt;0),(AE125-C125)/C125,"")</f>
        <v/>
      </c>
      <c r="AG125" s="41">
        <f>IF(AND(AE125&lt;&gt;"",AE125&gt;0),(AE125-C125)/AE125,"")</f>
        <v/>
      </c>
      <c r="AH125" s="40">
        <f>IF(AND(AE125&lt;&gt;"",C125&gt;0),AE125-C125,"")</f>
        <v/>
      </c>
      <c r="AI125" s="41">
        <f>IF(AND(AE125&lt;&gt;"",D125&gt;0),(AE125-D125)/D125,"")</f>
        <v/>
      </c>
      <c r="AJ125" s="41">
        <f>IF(AND(AG125&lt;&gt;"",P125&lt;&gt;""),(AG125-P125)/ABS(IF(P125=0,1,P125)),"")</f>
        <v/>
      </c>
      <c r="AK125" s="40">
        <f>IF(AND(AH125&lt;&gt;"",Q125&lt;&gt;""),AH125-Q125,"")</f>
        <v/>
      </c>
      <c r="AL125" s="40">
        <f>IF(H125&lt;&gt;"",H125,"")</f>
        <v/>
      </c>
      <c r="AM125" s="41">
        <f>IF(AND(AL125&lt;&gt;"",C125&gt;0),(AL125-C125)/C125,"")</f>
        <v/>
      </c>
      <c r="AN125" s="41">
        <f>IF(AND(AL125&lt;&gt;"",AL125&gt;0),(AL125-C125)/AL125,"")</f>
        <v/>
      </c>
      <c r="AO125" s="40">
        <f>IF(AND(AL125&lt;&gt;"",C125&gt;0),AL125-C125,"")</f>
        <v/>
      </c>
      <c r="AP125" s="41">
        <f>IF(AND(AL125&lt;&gt;"",D125&gt;0),(AL125-D125)/D125,"")</f>
        <v/>
      </c>
      <c r="AQ125" s="41">
        <f>IF(AND(AN125&lt;&gt;"",P125&lt;&gt;""),(AN125-P125)/ABS(IF(P125=0,1,P125)),"")</f>
        <v/>
      </c>
      <c r="AR125" s="40">
        <f>IF(AND(AO125&lt;&gt;"",Q125&lt;&gt;""),AO125-Q125,"")</f>
        <v/>
      </c>
      <c r="AS125" s="44" t="n"/>
      <c r="AT125" s="41">
        <f>IF(AND(AS125&gt;0,C125&gt;0),(AS125-C125)/C125,"")</f>
        <v/>
      </c>
      <c r="AU125" s="41">
        <f>IF(AND(AS125&gt;0,AS125&gt;0),(AS125-C125)/AS125,"")</f>
        <v/>
      </c>
      <c r="AV125" s="40">
        <f>IF(AND(AS125&gt;0,C125&gt;0),AS125-C125,"")</f>
        <v/>
      </c>
      <c r="AW125" s="41">
        <f>IF(AND(AS125&gt;0,D125&gt;0),(AS125-D125)/D125,"")</f>
        <v/>
      </c>
      <c r="AX125" s="41">
        <f>IF(AND(AU125&lt;&gt;"",P125&lt;&gt;""),(AU125-P125)/ABS(IF(P125=0,1,P125)),"")</f>
        <v/>
      </c>
      <c r="AY125" s="40">
        <f>IF(AND(AV125&lt;&gt;"",Q125&lt;&gt;""),AV125-Q125,"")</f>
        <v/>
      </c>
      <c r="AZ125" s="45" t="n"/>
      <c r="BA125" s="40">
        <f>IF(AND(AZ125&gt;0,C125&gt;0),C125/(1-AZ125),"")</f>
        <v/>
      </c>
      <c r="BB125" s="41">
        <f>IF(AND(BA125&lt;&gt;"",C125&gt;0),(BA125-C125)/C125,"")</f>
        <v/>
      </c>
      <c r="BC125" s="41">
        <f>IF(BA125&lt;&gt;"",AZ125,"")</f>
        <v/>
      </c>
      <c r="BD125" s="40">
        <f>IF(AND(BA125&lt;&gt;"",C125&gt;0),BA125-C125,"")</f>
        <v/>
      </c>
      <c r="BE125" s="41">
        <f>IF(AND(BA125&lt;&gt;"",D125&gt;0),(BA125-D125)/D125,"")</f>
        <v/>
      </c>
      <c r="BF125" s="41">
        <f>IF(AND(BC125&lt;&gt;"",P125&lt;&gt;""),(BC125-P125)/ABS(IF(P125=0,1,P125)),"")</f>
        <v/>
      </c>
      <c r="BG125" s="40">
        <f>IF(AND(BD125&lt;&gt;"",Q125&lt;&gt;""),BD125-Q125,"")</f>
        <v/>
      </c>
      <c r="BH125" s="40">
        <f>IF(AND(T125&gt;0,X125&lt;&gt;""),T125*X125,"")</f>
        <v/>
      </c>
      <c r="BI125" s="40">
        <f>IF(AND(T125&gt;0,AA125&lt;&gt;""),T125*AA125,"")</f>
        <v/>
      </c>
      <c r="BJ125" s="40">
        <f>IF(AND(T125&gt;0,AE125&lt;&gt;""),T125*AE125,"")</f>
        <v/>
      </c>
      <c r="BK125" s="40">
        <f>IF(AND(T125&gt;0,AH125&lt;&gt;""),T125*AH125,"")</f>
        <v/>
      </c>
      <c r="BL125" s="40">
        <f>IF(AND(T125&gt;0,AL125&lt;&gt;""),T125*AL125,"")</f>
        <v/>
      </c>
      <c r="BM125" s="40">
        <f>IF(AND(T125&gt;0,AO125&lt;&gt;""),T125*AO125,"")</f>
        <v/>
      </c>
      <c r="BN125" s="40">
        <f>IF(AND(T125&gt;0,AS125&gt;0),T125*AS125,"")</f>
        <v/>
      </c>
      <c r="BO125" s="40">
        <f>IF(AND(T125&gt;0,AV125&lt;&gt;""),T125*AV125,"")</f>
        <v/>
      </c>
      <c r="BP125" s="40">
        <f>IF(AND(T125&gt;0,BA125&lt;&gt;""),T125*BA125,"")</f>
        <v/>
      </c>
      <c r="BQ125" s="40">
        <f>IF(AND(T125&gt;0,BD125&lt;&gt;""),T125*BD125,"")</f>
        <v/>
      </c>
      <c r="BR125" s="46">
        <f>IF(AND(T125&gt;0,V125&gt;0,AA125&lt;&gt;0),V125/AA125-T125,"")</f>
        <v/>
      </c>
      <c r="BS125" s="41">
        <f>IF(AND(BR125&lt;&gt;"",T125&gt;0),BR125/T125,"")</f>
        <v/>
      </c>
      <c r="BT125" s="46">
        <f>IF(AND(T125&gt;0,V125&gt;0,AO125&lt;&gt;0),V125/AO125-T125,"")</f>
        <v/>
      </c>
      <c r="BU125" s="41">
        <f>IF(AND(BT125&lt;&gt;"",T125&gt;0),BT125/T125,"")</f>
        <v/>
      </c>
    </row>
    <row r="126">
      <c r="A126" s="36">
        <f>'📊 Исходные данные'!A125</f>
        <v/>
      </c>
      <c r="B126" s="37">
        <f>'📊 Исходные данные'!B125</f>
        <v/>
      </c>
      <c r="C126" s="38">
        <f>'📊 Исходные данные'!C125</f>
        <v/>
      </c>
      <c r="D126" s="38">
        <f>'📊 Исходные данные'!D125</f>
        <v/>
      </c>
      <c r="E126" s="39">
        <f>IF(OR(D126="",F126=""),"-",IF(D126&gt;F126*1.05,"Выше рынка",IF(D126&lt;F126*0.95,"Ниже рынка","На уровне")))</f>
        <v/>
      </c>
      <c r="F126" s="40">
        <f>IFERROR(AVERAGE('📊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G126" s="40">
        <f>IFERROR(MEDIAN('📊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H126" s="40">
        <f>IFERROR(MIN('📊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I126" s="40">
        <f>IFERROR(MAX('📊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данные'!K125),"")</f>
        <v/>
      </c>
      <c r="J126" s="41">
        <f>IF(AND(D126&lt;&gt;"",F126&lt;&gt;""),(D126-F126)/F126,"")</f>
        <v/>
      </c>
      <c r="K126" s="41">
        <f>IF(AND(D126&lt;&gt;"",G126&lt;&gt;""),(D126-G126)/G126,"")</f>
        <v/>
      </c>
      <c r="L126" s="41">
        <f>IF(AND(D126&lt;&gt;"",H126&lt;&gt;""),(D126-H126)/H126,"")</f>
        <v/>
      </c>
      <c r="M126" s="42">
        <f>IFERROR(RANK(D126,('📊 Исходные данные'!E125,'📊 Исходные данные'!F125,'📊 Исходные данные'!G125,'📊 Исходные данные'!H125,'📊 Исходные данные'!I125,'📊 Исходные данные'!J125,'📊 Исходные данные'!K125)),"")</f>
        <v/>
      </c>
      <c r="N126" s="39">
        <f>IF(M126="","-",IF(M126=1,"Дороже всех",IF(M126=2,"2-й по цене",IF(M126&lt;=4,"Средний","Ниже конкурентов"))))</f>
        <v/>
      </c>
      <c r="O126" s="41">
        <f>IF(AND(C126&gt;0,D126&gt;0),(D126-C126)/C126,"")</f>
        <v/>
      </c>
      <c r="P126" s="41">
        <f>IF(AND(C126&gt;0,D126&gt;0),(D126-C126)/D126,"")</f>
        <v/>
      </c>
      <c r="Q126" s="40">
        <f>IF(AND(C126&gt;0,D126&gt;0),D126-C126,"")</f>
        <v/>
      </c>
      <c r="R126" s="39">
        <f>IF(P126="","-",IF(P126&lt;0.1,"Низкая(&lt;10%)",IF(P126&lt;0.2,"Средняя(10-20%)","Хорошая(&gt;20%)")))</f>
        <v/>
      </c>
      <c r="S126" s="39">
        <f>IF(OR(H126="",C126=""),"-",IF((H126-C126)/H126&lt;0.05,"КРИТИЧНО",IF((H126-C126)/H126&lt;0.15,"УМЕРЕННЫЙ","НИЗКИЙ")))</f>
        <v/>
      </c>
      <c r="T126" s="43" t="n"/>
      <c r="U126" s="40">
        <f>IF(T126&gt;0,T126*D126,"")</f>
        <v/>
      </c>
      <c r="V126" s="40">
        <f>IF(T126&gt;0,T126*Q126,"")</f>
        <v/>
      </c>
      <c r="W126" s="41">
        <f>IF(U126&gt;0,V126/U126,"")</f>
        <v/>
      </c>
      <c r="X126" s="40">
        <f>IF(F126&lt;&gt;"",F126,"")</f>
        <v/>
      </c>
      <c r="Y126" s="41">
        <f>IF(AND(X126&lt;&gt;"",C126&gt;0),(X126-C126)/C126,"")</f>
        <v/>
      </c>
      <c r="Z126" s="41">
        <f>IF(AND(X126&lt;&gt;"",X126&gt;0),(X126-C126)/X126,"")</f>
        <v/>
      </c>
      <c r="AA126" s="40">
        <f>IF(AND(X126&lt;&gt;"",C126&gt;0),X126-C126,"")</f>
        <v/>
      </c>
      <c r="AB126" s="41">
        <f>IF(AND(X126&lt;&gt;"",D126&gt;0),(X126-D126)/D126,"")</f>
        <v/>
      </c>
      <c r="AC126" s="41">
        <f>IF(AND(Z126&lt;&gt;"",P126&lt;&gt;""),(Z126-P126)/ABS(IF(P126=0,1,P126)),"")</f>
        <v/>
      </c>
      <c r="AD126" s="40">
        <f>IF(AND(AA126&lt;&gt;"",Q126&lt;&gt;""),AA126-Q126,"")</f>
        <v/>
      </c>
      <c r="AE126" s="40">
        <f>IF(G126&lt;&gt;"",G126,"")</f>
        <v/>
      </c>
      <c r="AF126" s="41">
        <f>IF(AND(AE126&lt;&gt;"",C126&gt;0),(AE126-C126)/C126,"")</f>
        <v/>
      </c>
      <c r="AG126" s="41">
        <f>IF(AND(AE126&lt;&gt;"",AE126&gt;0),(AE126-C126)/AE126,"")</f>
        <v/>
      </c>
      <c r="AH126" s="40">
        <f>IF(AND(AE126&lt;&gt;"",C126&gt;0),AE126-C126,"")</f>
        <v/>
      </c>
      <c r="AI126" s="41">
        <f>IF(AND(AE126&lt;&gt;"",D126&gt;0),(AE126-D126)/D126,"")</f>
        <v/>
      </c>
      <c r="AJ126" s="41">
        <f>IF(AND(AG126&lt;&gt;"",P126&lt;&gt;""),(AG126-P126)/ABS(IF(P126=0,1,P126)),"")</f>
        <v/>
      </c>
      <c r="AK126" s="40">
        <f>IF(AND(AH126&lt;&gt;"",Q126&lt;&gt;""),AH126-Q126,"")</f>
        <v/>
      </c>
      <c r="AL126" s="40">
        <f>IF(H126&lt;&gt;"",H126,"")</f>
        <v/>
      </c>
      <c r="AM126" s="41">
        <f>IF(AND(AL126&lt;&gt;"",C126&gt;0),(AL126-C126)/C126,"")</f>
        <v/>
      </c>
      <c r="AN126" s="41">
        <f>IF(AND(AL126&lt;&gt;"",AL126&gt;0),(AL126-C126)/AL126,"")</f>
        <v/>
      </c>
      <c r="AO126" s="40">
        <f>IF(AND(AL126&lt;&gt;"",C126&gt;0),AL126-C126,"")</f>
        <v/>
      </c>
      <c r="AP126" s="41">
        <f>IF(AND(AL126&lt;&gt;"",D126&gt;0),(AL126-D126)/D126,"")</f>
        <v/>
      </c>
      <c r="AQ126" s="41">
        <f>IF(AND(AN126&lt;&gt;"",P126&lt;&gt;""),(AN126-P126)/ABS(IF(P126=0,1,P126)),"")</f>
        <v/>
      </c>
      <c r="AR126" s="40">
        <f>IF(AND(AO126&lt;&gt;"",Q126&lt;&gt;""),AO126-Q126,"")</f>
        <v/>
      </c>
      <c r="AS126" s="44" t="n"/>
      <c r="AT126" s="41">
        <f>IF(AND(AS126&gt;0,C126&gt;0),(AS126-C126)/C126,"")</f>
        <v/>
      </c>
      <c r="AU126" s="41">
        <f>IF(AND(AS126&gt;0,AS126&gt;0),(AS126-C126)/AS126,"")</f>
        <v/>
      </c>
      <c r="AV126" s="40">
        <f>IF(AND(AS126&gt;0,C126&gt;0),AS126-C126,"")</f>
        <v/>
      </c>
      <c r="AW126" s="41">
        <f>IF(AND(AS126&gt;0,D126&gt;0),(AS126-D126)/D126,"")</f>
        <v/>
      </c>
      <c r="AX126" s="41">
        <f>IF(AND(AU126&lt;&gt;"",P126&lt;&gt;""),(AU126-P126)/ABS(IF(P126=0,1,P126)),"")</f>
        <v/>
      </c>
      <c r="AY126" s="40">
        <f>IF(AND(AV126&lt;&gt;"",Q126&lt;&gt;""),AV126-Q126,"")</f>
        <v/>
      </c>
      <c r="AZ126" s="45" t="n"/>
      <c r="BA126" s="40">
        <f>IF(AND(AZ126&gt;0,C126&gt;0),C126/(1-AZ126),"")</f>
        <v/>
      </c>
      <c r="BB126" s="41">
        <f>IF(AND(BA126&lt;&gt;"",C126&gt;0),(BA126-C126)/C126,"")</f>
        <v/>
      </c>
      <c r="BC126" s="41">
        <f>IF(BA126&lt;&gt;"",AZ126,"")</f>
        <v/>
      </c>
      <c r="BD126" s="40">
        <f>IF(AND(BA126&lt;&gt;"",C126&gt;0),BA126-C126,"")</f>
        <v/>
      </c>
      <c r="BE126" s="41">
        <f>IF(AND(BA126&lt;&gt;"",D126&gt;0),(BA126-D126)/D126,"")</f>
        <v/>
      </c>
      <c r="BF126" s="41">
        <f>IF(AND(BC126&lt;&gt;"",P126&lt;&gt;""),(BC126-P126)/ABS(IF(P126=0,1,P126)),"")</f>
        <v/>
      </c>
      <c r="BG126" s="40">
        <f>IF(AND(BD126&lt;&gt;"",Q126&lt;&gt;""),BD126-Q126,"")</f>
        <v/>
      </c>
      <c r="BH126" s="40">
        <f>IF(AND(T126&gt;0,X126&lt;&gt;""),T126*X126,"")</f>
        <v/>
      </c>
      <c r="BI126" s="40">
        <f>IF(AND(T126&gt;0,AA126&lt;&gt;""),T126*AA126,"")</f>
        <v/>
      </c>
      <c r="BJ126" s="40">
        <f>IF(AND(T126&gt;0,AE126&lt;&gt;""),T126*AE126,"")</f>
        <v/>
      </c>
      <c r="BK126" s="40">
        <f>IF(AND(T126&gt;0,AH126&lt;&gt;""),T126*AH126,"")</f>
        <v/>
      </c>
      <c r="BL126" s="40">
        <f>IF(AND(T126&gt;0,AL126&lt;&gt;""),T126*AL126,"")</f>
        <v/>
      </c>
      <c r="BM126" s="40">
        <f>IF(AND(T126&gt;0,AO126&lt;&gt;""),T126*AO126,"")</f>
        <v/>
      </c>
      <c r="BN126" s="40">
        <f>IF(AND(T126&gt;0,AS126&gt;0),T126*AS126,"")</f>
        <v/>
      </c>
      <c r="BO126" s="40">
        <f>IF(AND(T126&gt;0,AV126&lt;&gt;""),T126*AV126,"")</f>
        <v/>
      </c>
      <c r="BP126" s="40">
        <f>IF(AND(T126&gt;0,BA126&lt;&gt;""),T126*BA126,"")</f>
        <v/>
      </c>
      <c r="BQ126" s="40">
        <f>IF(AND(T126&gt;0,BD126&lt;&gt;""),T126*BD126,"")</f>
        <v/>
      </c>
      <c r="BR126" s="46">
        <f>IF(AND(T126&gt;0,V126&gt;0,AA126&lt;&gt;0),V126/AA126-T126,"")</f>
        <v/>
      </c>
      <c r="BS126" s="41">
        <f>IF(AND(BR126&lt;&gt;"",T126&gt;0),BR126/T126,"")</f>
        <v/>
      </c>
      <c r="BT126" s="46">
        <f>IF(AND(T126&gt;0,V126&gt;0,AO126&lt;&gt;0),V126/AO126-T126,"")</f>
        <v/>
      </c>
      <c r="BU126" s="41">
        <f>IF(AND(BT126&lt;&gt;"",T126&gt;0),BT126/T126,"")</f>
        <v/>
      </c>
    </row>
    <row r="127">
      <c r="A127" s="36">
        <f>'📊 Исходные данные'!A126</f>
        <v/>
      </c>
      <c r="B127" s="37">
        <f>'📊 Исходные данные'!B126</f>
        <v/>
      </c>
      <c r="C127" s="38">
        <f>'📊 Исходные данные'!C126</f>
        <v/>
      </c>
      <c r="D127" s="38">
        <f>'📊 Исходные данные'!D126</f>
        <v/>
      </c>
      <c r="E127" s="39">
        <f>IF(OR(D127="",F127=""),"-",IF(D127&gt;F127*1.05,"Выше рынка",IF(D127&lt;F127*0.95,"Ниже рынка","На уровне")))</f>
        <v/>
      </c>
      <c r="F127" s="40">
        <f>IFERROR(AVERAGE('📊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G127" s="40">
        <f>IFERROR(MEDIAN('📊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H127" s="40">
        <f>IFERROR(MIN('📊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I127" s="40">
        <f>IFERROR(MAX('📊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данные'!K126),"")</f>
        <v/>
      </c>
      <c r="J127" s="41">
        <f>IF(AND(D127&lt;&gt;"",F127&lt;&gt;""),(D127-F127)/F127,"")</f>
        <v/>
      </c>
      <c r="K127" s="41">
        <f>IF(AND(D127&lt;&gt;"",G127&lt;&gt;""),(D127-G127)/G127,"")</f>
        <v/>
      </c>
      <c r="L127" s="41">
        <f>IF(AND(D127&lt;&gt;"",H127&lt;&gt;""),(D127-H127)/H127,"")</f>
        <v/>
      </c>
      <c r="M127" s="42">
        <f>IFERROR(RANK(D127,('📊 Исходные данные'!E126,'📊 Исходные данные'!F126,'📊 Исходные данные'!G126,'📊 Исходные данные'!H126,'📊 Исходные данные'!I126,'📊 Исходные данные'!J126,'📊 Исходные данные'!K126)),"")</f>
        <v/>
      </c>
      <c r="N127" s="39">
        <f>IF(M127="","-",IF(M127=1,"Дороже всех",IF(M127=2,"2-й по цене",IF(M127&lt;=4,"Средний","Ниже конкурентов"))))</f>
        <v/>
      </c>
      <c r="O127" s="41">
        <f>IF(AND(C127&gt;0,D127&gt;0),(D127-C127)/C127,"")</f>
        <v/>
      </c>
      <c r="P127" s="41">
        <f>IF(AND(C127&gt;0,D127&gt;0),(D127-C127)/D127,"")</f>
        <v/>
      </c>
      <c r="Q127" s="40">
        <f>IF(AND(C127&gt;0,D127&gt;0),D127-C127,"")</f>
        <v/>
      </c>
      <c r="R127" s="39">
        <f>IF(P127="","-",IF(P127&lt;0.1,"Низкая(&lt;10%)",IF(P127&lt;0.2,"Средняя(10-20%)","Хорошая(&gt;20%)")))</f>
        <v/>
      </c>
      <c r="S127" s="39">
        <f>IF(OR(H127="",C127=""),"-",IF((H127-C127)/H127&lt;0.05,"КРИТИЧНО",IF((H127-C127)/H127&lt;0.15,"УМЕРЕННЫЙ","НИЗКИЙ")))</f>
        <v/>
      </c>
      <c r="T127" s="43" t="n"/>
      <c r="U127" s="40">
        <f>IF(T127&gt;0,T127*D127,"")</f>
        <v/>
      </c>
      <c r="V127" s="40">
        <f>IF(T127&gt;0,T127*Q127,"")</f>
        <v/>
      </c>
      <c r="W127" s="41">
        <f>IF(U127&gt;0,V127/U127,"")</f>
        <v/>
      </c>
      <c r="X127" s="40">
        <f>IF(F127&lt;&gt;"",F127,"")</f>
        <v/>
      </c>
      <c r="Y127" s="41">
        <f>IF(AND(X127&lt;&gt;"",C127&gt;0),(X127-C127)/C127,"")</f>
        <v/>
      </c>
      <c r="Z127" s="41">
        <f>IF(AND(X127&lt;&gt;"",X127&gt;0),(X127-C127)/X127,"")</f>
        <v/>
      </c>
      <c r="AA127" s="40">
        <f>IF(AND(X127&lt;&gt;"",C127&gt;0),X127-C127,"")</f>
        <v/>
      </c>
      <c r="AB127" s="41">
        <f>IF(AND(X127&lt;&gt;"",D127&gt;0),(X127-D127)/D127,"")</f>
        <v/>
      </c>
      <c r="AC127" s="41">
        <f>IF(AND(Z127&lt;&gt;"",P127&lt;&gt;""),(Z127-P127)/ABS(IF(P127=0,1,P127)),"")</f>
        <v/>
      </c>
      <c r="AD127" s="40">
        <f>IF(AND(AA127&lt;&gt;"",Q127&lt;&gt;""),AA127-Q127,"")</f>
        <v/>
      </c>
      <c r="AE127" s="40">
        <f>IF(G127&lt;&gt;"",G127,"")</f>
        <v/>
      </c>
      <c r="AF127" s="41">
        <f>IF(AND(AE127&lt;&gt;"",C127&gt;0),(AE127-C127)/C127,"")</f>
        <v/>
      </c>
      <c r="AG127" s="41">
        <f>IF(AND(AE127&lt;&gt;"",AE127&gt;0),(AE127-C127)/AE127,"")</f>
        <v/>
      </c>
      <c r="AH127" s="40">
        <f>IF(AND(AE127&lt;&gt;"",C127&gt;0),AE127-C127,"")</f>
        <v/>
      </c>
      <c r="AI127" s="41">
        <f>IF(AND(AE127&lt;&gt;"",D127&gt;0),(AE127-D127)/D127,"")</f>
        <v/>
      </c>
      <c r="AJ127" s="41">
        <f>IF(AND(AG127&lt;&gt;"",P127&lt;&gt;""),(AG127-P127)/ABS(IF(P127=0,1,P127)),"")</f>
        <v/>
      </c>
      <c r="AK127" s="40">
        <f>IF(AND(AH127&lt;&gt;"",Q127&lt;&gt;""),AH127-Q127,"")</f>
        <v/>
      </c>
      <c r="AL127" s="40">
        <f>IF(H127&lt;&gt;"",H127,"")</f>
        <v/>
      </c>
      <c r="AM127" s="41">
        <f>IF(AND(AL127&lt;&gt;"",C127&gt;0),(AL127-C127)/C127,"")</f>
        <v/>
      </c>
      <c r="AN127" s="41">
        <f>IF(AND(AL127&lt;&gt;"",AL127&gt;0),(AL127-C127)/AL127,"")</f>
        <v/>
      </c>
      <c r="AO127" s="40">
        <f>IF(AND(AL127&lt;&gt;"",C127&gt;0),AL127-C127,"")</f>
        <v/>
      </c>
      <c r="AP127" s="41">
        <f>IF(AND(AL127&lt;&gt;"",D127&gt;0),(AL127-D127)/D127,"")</f>
        <v/>
      </c>
      <c r="AQ127" s="41">
        <f>IF(AND(AN127&lt;&gt;"",P127&lt;&gt;""),(AN127-P127)/ABS(IF(P127=0,1,P127)),"")</f>
        <v/>
      </c>
      <c r="AR127" s="40">
        <f>IF(AND(AO127&lt;&gt;"",Q127&lt;&gt;""),AO127-Q127,"")</f>
        <v/>
      </c>
      <c r="AS127" s="44" t="n"/>
      <c r="AT127" s="41">
        <f>IF(AND(AS127&gt;0,C127&gt;0),(AS127-C127)/C127,"")</f>
        <v/>
      </c>
      <c r="AU127" s="41">
        <f>IF(AND(AS127&gt;0,AS127&gt;0),(AS127-C127)/AS127,"")</f>
        <v/>
      </c>
      <c r="AV127" s="40">
        <f>IF(AND(AS127&gt;0,C127&gt;0),AS127-C127,"")</f>
        <v/>
      </c>
      <c r="AW127" s="41">
        <f>IF(AND(AS127&gt;0,D127&gt;0),(AS127-D127)/D127,"")</f>
        <v/>
      </c>
      <c r="AX127" s="41">
        <f>IF(AND(AU127&lt;&gt;"",P127&lt;&gt;""),(AU127-P127)/ABS(IF(P127=0,1,P127)),"")</f>
        <v/>
      </c>
      <c r="AY127" s="40">
        <f>IF(AND(AV127&lt;&gt;"",Q127&lt;&gt;""),AV127-Q127,"")</f>
        <v/>
      </c>
      <c r="AZ127" s="45" t="n"/>
      <c r="BA127" s="40">
        <f>IF(AND(AZ127&gt;0,C127&gt;0),C127/(1-AZ127),"")</f>
        <v/>
      </c>
      <c r="BB127" s="41">
        <f>IF(AND(BA127&lt;&gt;"",C127&gt;0),(BA127-C127)/C127,"")</f>
        <v/>
      </c>
      <c r="BC127" s="41">
        <f>IF(BA127&lt;&gt;"",AZ127,"")</f>
        <v/>
      </c>
      <c r="BD127" s="40">
        <f>IF(AND(BA127&lt;&gt;"",C127&gt;0),BA127-C127,"")</f>
        <v/>
      </c>
      <c r="BE127" s="41">
        <f>IF(AND(BA127&lt;&gt;"",D127&gt;0),(BA127-D127)/D127,"")</f>
        <v/>
      </c>
      <c r="BF127" s="41">
        <f>IF(AND(BC127&lt;&gt;"",P127&lt;&gt;""),(BC127-P127)/ABS(IF(P127=0,1,P127)),"")</f>
        <v/>
      </c>
      <c r="BG127" s="40">
        <f>IF(AND(BD127&lt;&gt;"",Q127&lt;&gt;""),BD127-Q127,"")</f>
        <v/>
      </c>
      <c r="BH127" s="40">
        <f>IF(AND(T127&gt;0,X127&lt;&gt;""),T127*X127,"")</f>
        <v/>
      </c>
      <c r="BI127" s="40">
        <f>IF(AND(T127&gt;0,AA127&lt;&gt;""),T127*AA127,"")</f>
        <v/>
      </c>
      <c r="BJ127" s="40">
        <f>IF(AND(T127&gt;0,AE127&lt;&gt;""),T127*AE127,"")</f>
        <v/>
      </c>
      <c r="BK127" s="40">
        <f>IF(AND(T127&gt;0,AH127&lt;&gt;""),T127*AH127,"")</f>
        <v/>
      </c>
      <c r="BL127" s="40">
        <f>IF(AND(T127&gt;0,AL127&lt;&gt;""),T127*AL127,"")</f>
        <v/>
      </c>
      <c r="BM127" s="40">
        <f>IF(AND(T127&gt;0,AO127&lt;&gt;""),T127*AO127,"")</f>
        <v/>
      </c>
      <c r="BN127" s="40">
        <f>IF(AND(T127&gt;0,AS127&gt;0),T127*AS127,"")</f>
        <v/>
      </c>
      <c r="BO127" s="40">
        <f>IF(AND(T127&gt;0,AV127&lt;&gt;""),T127*AV127,"")</f>
        <v/>
      </c>
      <c r="BP127" s="40">
        <f>IF(AND(T127&gt;0,BA127&lt;&gt;""),T127*BA127,"")</f>
        <v/>
      </c>
      <c r="BQ127" s="40">
        <f>IF(AND(T127&gt;0,BD127&lt;&gt;""),T127*BD127,"")</f>
        <v/>
      </c>
      <c r="BR127" s="46">
        <f>IF(AND(T127&gt;0,V127&gt;0,AA127&lt;&gt;0),V127/AA127-T127,"")</f>
        <v/>
      </c>
      <c r="BS127" s="41">
        <f>IF(AND(BR127&lt;&gt;"",T127&gt;0),BR127/T127,"")</f>
        <v/>
      </c>
      <c r="BT127" s="46">
        <f>IF(AND(T127&gt;0,V127&gt;0,AO127&lt;&gt;0),V127/AO127-T127,"")</f>
        <v/>
      </c>
      <c r="BU127" s="41">
        <f>IF(AND(BT127&lt;&gt;"",T127&gt;0),BT127/T127,"")</f>
        <v/>
      </c>
    </row>
    <row r="128">
      <c r="A128" s="36">
        <f>'📊 Исходные данные'!A127</f>
        <v/>
      </c>
      <c r="B128" s="37">
        <f>'📊 Исходные данные'!B127</f>
        <v/>
      </c>
      <c r="C128" s="38">
        <f>'📊 Исходные данные'!C127</f>
        <v/>
      </c>
      <c r="D128" s="38">
        <f>'📊 Исходные данные'!D127</f>
        <v/>
      </c>
      <c r="E128" s="39">
        <f>IF(OR(D128="",F128=""),"-",IF(D128&gt;F128*1.05,"Выше рынка",IF(D128&lt;F128*0.95,"Ниже рынка","На уровне")))</f>
        <v/>
      </c>
      <c r="F128" s="40">
        <f>IFERROR(AVERAGE('📊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G128" s="40">
        <f>IFERROR(MEDIAN('📊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H128" s="40">
        <f>IFERROR(MIN('📊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I128" s="40">
        <f>IFERROR(MAX('📊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данные'!K127),"")</f>
        <v/>
      </c>
      <c r="J128" s="41">
        <f>IF(AND(D128&lt;&gt;"",F128&lt;&gt;""),(D128-F128)/F128,"")</f>
        <v/>
      </c>
      <c r="K128" s="41">
        <f>IF(AND(D128&lt;&gt;"",G128&lt;&gt;""),(D128-G128)/G128,"")</f>
        <v/>
      </c>
      <c r="L128" s="41">
        <f>IF(AND(D128&lt;&gt;"",H128&lt;&gt;""),(D128-H128)/H128,"")</f>
        <v/>
      </c>
      <c r="M128" s="42">
        <f>IFERROR(RANK(D128,('📊 Исходные данные'!E127,'📊 Исходные данные'!F127,'📊 Исходные данные'!G127,'📊 Исходные данные'!H127,'📊 Исходные данные'!I127,'📊 Исходные данные'!J127,'📊 Исходные данные'!K127)),"")</f>
        <v/>
      </c>
      <c r="N128" s="39">
        <f>IF(M128="","-",IF(M128=1,"Дороже всех",IF(M128=2,"2-й по цене",IF(M128&lt;=4,"Средний","Ниже конкурентов"))))</f>
        <v/>
      </c>
      <c r="O128" s="41">
        <f>IF(AND(C128&gt;0,D128&gt;0),(D128-C128)/C128,"")</f>
        <v/>
      </c>
      <c r="P128" s="41">
        <f>IF(AND(C128&gt;0,D128&gt;0),(D128-C128)/D128,"")</f>
        <v/>
      </c>
      <c r="Q128" s="40">
        <f>IF(AND(C128&gt;0,D128&gt;0),D128-C128,"")</f>
        <v/>
      </c>
      <c r="R128" s="39">
        <f>IF(P128="","-",IF(P128&lt;0.1,"Низкая(&lt;10%)",IF(P128&lt;0.2,"Средняя(10-20%)","Хорошая(&gt;20%)")))</f>
        <v/>
      </c>
      <c r="S128" s="39">
        <f>IF(OR(H128="",C128=""),"-",IF((H128-C128)/H128&lt;0.05,"КРИТИЧНО",IF((H128-C128)/H128&lt;0.15,"УМЕРЕННЫЙ","НИЗКИЙ")))</f>
        <v/>
      </c>
      <c r="T128" s="43" t="n"/>
      <c r="U128" s="40">
        <f>IF(T128&gt;0,T128*D128,"")</f>
        <v/>
      </c>
      <c r="V128" s="40">
        <f>IF(T128&gt;0,T128*Q128,"")</f>
        <v/>
      </c>
      <c r="W128" s="41">
        <f>IF(U128&gt;0,V128/U128,"")</f>
        <v/>
      </c>
      <c r="X128" s="40">
        <f>IF(F128&lt;&gt;"",F128,"")</f>
        <v/>
      </c>
      <c r="Y128" s="41">
        <f>IF(AND(X128&lt;&gt;"",C128&gt;0),(X128-C128)/C128,"")</f>
        <v/>
      </c>
      <c r="Z128" s="41">
        <f>IF(AND(X128&lt;&gt;"",X128&gt;0),(X128-C128)/X128,"")</f>
        <v/>
      </c>
      <c r="AA128" s="40">
        <f>IF(AND(X128&lt;&gt;"",C128&gt;0),X128-C128,"")</f>
        <v/>
      </c>
      <c r="AB128" s="41">
        <f>IF(AND(X128&lt;&gt;"",D128&gt;0),(X128-D128)/D128,"")</f>
        <v/>
      </c>
      <c r="AC128" s="41">
        <f>IF(AND(Z128&lt;&gt;"",P128&lt;&gt;""),(Z128-P128)/ABS(IF(P128=0,1,P128)),"")</f>
        <v/>
      </c>
      <c r="AD128" s="40">
        <f>IF(AND(AA128&lt;&gt;"",Q128&lt;&gt;""),AA128-Q128,"")</f>
        <v/>
      </c>
      <c r="AE128" s="40">
        <f>IF(G128&lt;&gt;"",G128,"")</f>
        <v/>
      </c>
      <c r="AF128" s="41">
        <f>IF(AND(AE128&lt;&gt;"",C128&gt;0),(AE128-C128)/C128,"")</f>
        <v/>
      </c>
      <c r="AG128" s="41">
        <f>IF(AND(AE128&lt;&gt;"",AE128&gt;0),(AE128-C128)/AE128,"")</f>
        <v/>
      </c>
      <c r="AH128" s="40">
        <f>IF(AND(AE128&lt;&gt;"",C128&gt;0),AE128-C128,"")</f>
        <v/>
      </c>
      <c r="AI128" s="41">
        <f>IF(AND(AE128&lt;&gt;"",D128&gt;0),(AE128-D128)/D128,"")</f>
        <v/>
      </c>
      <c r="AJ128" s="41">
        <f>IF(AND(AG128&lt;&gt;"",P128&lt;&gt;""),(AG128-P128)/ABS(IF(P128=0,1,P128)),"")</f>
        <v/>
      </c>
      <c r="AK128" s="40">
        <f>IF(AND(AH128&lt;&gt;"",Q128&lt;&gt;""),AH128-Q128,"")</f>
        <v/>
      </c>
      <c r="AL128" s="40">
        <f>IF(H128&lt;&gt;"",H128,"")</f>
        <v/>
      </c>
      <c r="AM128" s="41">
        <f>IF(AND(AL128&lt;&gt;"",C128&gt;0),(AL128-C128)/C128,"")</f>
        <v/>
      </c>
      <c r="AN128" s="41">
        <f>IF(AND(AL128&lt;&gt;"",AL128&gt;0),(AL128-C128)/AL128,"")</f>
        <v/>
      </c>
      <c r="AO128" s="40">
        <f>IF(AND(AL128&lt;&gt;"",C128&gt;0),AL128-C128,"")</f>
        <v/>
      </c>
      <c r="AP128" s="41">
        <f>IF(AND(AL128&lt;&gt;"",D128&gt;0),(AL128-D128)/D128,"")</f>
        <v/>
      </c>
      <c r="AQ128" s="41">
        <f>IF(AND(AN128&lt;&gt;"",P128&lt;&gt;""),(AN128-P128)/ABS(IF(P128=0,1,P128)),"")</f>
        <v/>
      </c>
      <c r="AR128" s="40">
        <f>IF(AND(AO128&lt;&gt;"",Q128&lt;&gt;""),AO128-Q128,"")</f>
        <v/>
      </c>
      <c r="AS128" s="44" t="n"/>
      <c r="AT128" s="41">
        <f>IF(AND(AS128&gt;0,C128&gt;0),(AS128-C128)/C128,"")</f>
        <v/>
      </c>
      <c r="AU128" s="41">
        <f>IF(AND(AS128&gt;0,AS128&gt;0),(AS128-C128)/AS128,"")</f>
        <v/>
      </c>
      <c r="AV128" s="40">
        <f>IF(AND(AS128&gt;0,C128&gt;0),AS128-C128,"")</f>
        <v/>
      </c>
      <c r="AW128" s="41">
        <f>IF(AND(AS128&gt;0,D128&gt;0),(AS128-D128)/D128,"")</f>
        <v/>
      </c>
      <c r="AX128" s="41">
        <f>IF(AND(AU128&lt;&gt;"",P128&lt;&gt;""),(AU128-P128)/ABS(IF(P128=0,1,P128)),"")</f>
        <v/>
      </c>
      <c r="AY128" s="40">
        <f>IF(AND(AV128&lt;&gt;"",Q128&lt;&gt;""),AV128-Q128,"")</f>
        <v/>
      </c>
      <c r="AZ128" s="45" t="n"/>
      <c r="BA128" s="40">
        <f>IF(AND(AZ128&gt;0,C128&gt;0),C128/(1-AZ128),"")</f>
        <v/>
      </c>
      <c r="BB128" s="41">
        <f>IF(AND(BA128&lt;&gt;"",C128&gt;0),(BA128-C128)/C128,"")</f>
        <v/>
      </c>
      <c r="BC128" s="41">
        <f>IF(BA128&lt;&gt;"",AZ128,"")</f>
        <v/>
      </c>
      <c r="BD128" s="40">
        <f>IF(AND(BA128&lt;&gt;"",C128&gt;0),BA128-C128,"")</f>
        <v/>
      </c>
      <c r="BE128" s="41">
        <f>IF(AND(BA128&lt;&gt;"",D128&gt;0),(BA128-D128)/D128,"")</f>
        <v/>
      </c>
      <c r="BF128" s="41">
        <f>IF(AND(BC128&lt;&gt;"",P128&lt;&gt;""),(BC128-P128)/ABS(IF(P128=0,1,P128)),"")</f>
        <v/>
      </c>
      <c r="BG128" s="40">
        <f>IF(AND(BD128&lt;&gt;"",Q128&lt;&gt;""),BD128-Q128,"")</f>
        <v/>
      </c>
      <c r="BH128" s="40">
        <f>IF(AND(T128&gt;0,X128&lt;&gt;""),T128*X128,"")</f>
        <v/>
      </c>
      <c r="BI128" s="40">
        <f>IF(AND(T128&gt;0,AA128&lt;&gt;""),T128*AA128,"")</f>
        <v/>
      </c>
      <c r="BJ128" s="40">
        <f>IF(AND(T128&gt;0,AE128&lt;&gt;""),T128*AE128,"")</f>
        <v/>
      </c>
      <c r="BK128" s="40">
        <f>IF(AND(T128&gt;0,AH128&lt;&gt;""),T128*AH128,"")</f>
        <v/>
      </c>
      <c r="BL128" s="40">
        <f>IF(AND(T128&gt;0,AL128&lt;&gt;""),T128*AL128,"")</f>
        <v/>
      </c>
      <c r="BM128" s="40">
        <f>IF(AND(T128&gt;0,AO128&lt;&gt;""),T128*AO128,"")</f>
        <v/>
      </c>
      <c r="BN128" s="40">
        <f>IF(AND(T128&gt;0,AS128&gt;0),T128*AS128,"")</f>
        <v/>
      </c>
      <c r="BO128" s="40">
        <f>IF(AND(T128&gt;0,AV128&lt;&gt;""),T128*AV128,"")</f>
        <v/>
      </c>
      <c r="BP128" s="40">
        <f>IF(AND(T128&gt;0,BA128&lt;&gt;""),T128*BA128,"")</f>
        <v/>
      </c>
      <c r="BQ128" s="40">
        <f>IF(AND(T128&gt;0,BD128&lt;&gt;""),T128*BD128,"")</f>
        <v/>
      </c>
      <c r="BR128" s="46">
        <f>IF(AND(T128&gt;0,V128&gt;0,AA128&lt;&gt;0),V128/AA128-T128,"")</f>
        <v/>
      </c>
      <c r="BS128" s="41">
        <f>IF(AND(BR128&lt;&gt;"",T128&gt;0),BR128/T128,"")</f>
        <v/>
      </c>
      <c r="BT128" s="46">
        <f>IF(AND(T128&gt;0,V128&gt;0,AO128&lt;&gt;0),V128/AO128-T128,"")</f>
        <v/>
      </c>
      <c r="BU128" s="41">
        <f>IF(AND(BT128&lt;&gt;"",T128&gt;0),BT128/T128,"")</f>
        <v/>
      </c>
    </row>
    <row r="129">
      <c r="A129" s="36">
        <f>'📊 Исходные данные'!A128</f>
        <v/>
      </c>
      <c r="B129" s="37">
        <f>'📊 Исходные данные'!B128</f>
        <v/>
      </c>
      <c r="C129" s="38">
        <f>'📊 Исходные данные'!C128</f>
        <v/>
      </c>
      <c r="D129" s="38">
        <f>'📊 Исходные данные'!D128</f>
        <v/>
      </c>
      <c r="E129" s="39">
        <f>IF(OR(D129="",F129=""),"-",IF(D129&gt;F129*1.05,"Выше рынка",IF(D129&lt;F129*0.95,"Ниже рынка","На уровне")))</f>
        <v/>
      </c>
      <c r="F129" s="40">
        <f>IFERROR(AVERAGE('📊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G129" s="40">
        <f>IFERROR(MEDIAN('📊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H129" s="40">
        <f>IFERROR(MIN('📊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I129" s="40">
        <f>IFERROR(MAX('📊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данные'!K128),"")</f>
        <v/>
      </c>
      <c r="J129" s="41">
        <f>IF(AND(D129&lt;&gt;"",F129&lt;&gt;""),(D129-F129)/F129,"")</f>
        <v/>
      </c>
      <c r="K129" s="41">
        <f>IF(AND(D129&lt;&gt;"",G129&lt;&gt;""),(D129-G129)/G129,"")</f>
        <v/>
      </c>
      <c r="L129" s="41">
        <f>IF(AND(D129&lt;&gt;"",H129&lt;&gt;""),(D129-H129)/H129,"")</f>
        <v/>
      </c>
      <c r="M129" s="42">
        <f>IFERROR(RANK(D129,('📊 Исходные данные'!E128,'📊 Исходные данные'!F128,'📊 Исходные данные'!G128,'📊 Исходные данные'!H128,'📊 Исходные данные'!I128,'📊 Исходные данные'!J128,'📊 Исходные данные'!K128)),"")</f>
        <v/>
      </c>
      <c r="N129" s="39">
        <f>IF(M129="","-",IF(M129=1,"Дороже всех",IF(M129=2,"2-й по цене",IF(M129&lt;=4,"Средний","Ниже конкурентов"))))</f>
        <v/>
      </c>
      <c r="O129" s="41">
        <f>IF(AND(C129&gt;0,D129&gt;0),(D129-C129)/C129,"")</f>
        <v/>
      </c>
      <c r="P129" s="41">
        <f>IF(AND(C129&gt;0,D129&gt;0),(D129-C129)/D129,"")</f>
        <v/>
      </c>
      <c r="Q129" s="40">
        <f>IF(AND(C129&gt;0,D129&gt;0),D129-C129,"")</f>
        <v/>
      </c>
      <c r="R129" s="39">
        <f>IF(P129="","-",IF(P129&lt;0.1,"Низкая(&lt;10%)",IF(P129&lt;0.2,"Средняя(10-20%)","Хорошая(&gt;20%)")))</f>
        <v/>
      </c>
      <c r="S129" s="39">
        <f>IF(OR(H129="",C129=""),"-",IF((H129-C129)/H129&lt;0.05,"КРИТИЧНО",IF((H129-C129)/H129&lt;0.15,"УМЕРЕННЫЙ","НИЗКИЙ")))</f>
        <v/>
      </c>
      <c r="T129" s="43" t="n"/>
      <c r="U129" s="40">
        <f>IF(T129&gt;0,T129*D129,"")</f>
        <v/>
      </c>
      <c r="V129" s="40">
        <f>IF(T129&gt;0,T129*Q129,"")</f>
        <v/>
      </c>
      <c r="W129" s="41">
        <f>IF(U129&gt;0,V129/U129,"")</f>
        <v/>
      </c>
      <c r="X129" s="40">
        <f>IF(F129&lt;&gt;"",F129,"")</f>
        <v/>
      </c>
      <c r="Y129" s="41">
        <f>IF(AND(X129&lt;&gt;"",C129&gt;0),(X129-C129)/C129,"")</f>
        <v/>
      </c>
      <c r="Z129" s="41">
        <f>IF(AND(X129&lt;&gt;"",X129&gt;0),(X129-C129)/X129,"")</f>
        <v/>
      </c>
      <c r="AA129" s="40">
        <f>IF(AND(X129&lt;&gt;"",C129&gt;0),X129-C129,"")</f>
        <v/>
      </c>
      <c r="AB129" s="41">
        <f>IF(AND(X129&lt;&gt;"",D129&gt;0),(X129-D129)/D129,"")</f>
        <v/>
      </c>
      <c r="AC129" s="41">
        <f>IF(AND(Z129&lt;&gt;"",P129&lt;&gt;""),(Z129-P129)/ABS(IF(P129=0,1,P129)),"")</f>
        <v/>
      </c>
      <c r="AD129" s="40">
        <f>IF(AND(AA129&lt;&gt;"",Q129&lt;&gt;""),AA129-Q129,"")</f>
        <v/>
      </c>
      <c r="AE129" s="40">
        <f>IF(G129&lt;&gt;"",G129,"")</f>
        <v/>
      </c>
      <c r="AF129" s="41">
        <f>IF(AND(AE129&lt;&gt;"",C129&gt;0),(AE129-C129)/C129,"")</f>
        <v/>
      </c>
      <c r="AG129" s="41">
        <f>IF(AND(AE129&lt;&gt;"",AE129&gt;0),(AE129-C129)/AE129,"")</f>
        <v/>
      </c>
      <c r="AH129" s="40">
        <f>IF(AND(AE129&lt;&gt;"",C129&gt;0),AE129-C129,"")</f>
        <v/>
      </c>
      <c r="AI129" s="41">
        <f>IF(AND(AE129&lt;&gt;"",D129&gt;0),(AE129-D129)/D129,"")</f>
        <v/>
      </c>
      <c r="AJ129" s="41">
        <f>IF(AND(AG129&lt;&gt;"",P129&lt;&gt;""),(AG129-P129)/ABS(IF(P129=0,1,P129)),"")</f>
        <v/>
      </c>
      <c r="AK129" s="40">
        <f>IF(AND(AH129&lt;&gt;"",Q129&lt;&gt;""),AH129-Q129,"")</f>
        <v/>
      </c>
      <c r="AL129" s="40">
        <f>IF(H129&lt;&gt;"",H129,"")</f>
        <v/>
      </c>
      <c r="AM129" s="41">
        <f>IF(AND(AL129&lt;&gt;"",C129&gt;0),(AL129-C129)/C129,"")</f>
        <v/>
      </c>
      <c r="AN129" s="41">
        <f>IF(AND(AL129&lt;&gt;"",AL129&gt;0),(AL129-C129)/AL129,"")</f>
        <v/>
      </c>
      <c r="AO129" s="40">
        <f>IF(AND(AL129&lt;&gt;"",C129&gt;0),AL129-C129,"")</f>
        <v/>
      </c>
      <c r="AP129" s="41">
        <f>IF(AND(AL129&lt;&gt;"",D129&gt;0),(AL129-D129)/D129,"")</f>
        <v/>
      </c>
      <c r="AQ129" s="41">
        <f>IF(AND(AN129&lt;&gt;"",P129&lt;&gt;""),(AN129-P129)/ABS(IF(P129=0,1,P129)),"")</f>
        <v/>
      </c>
      <c r="AR129" s="40">
        <f>IF(AND(AO129&lt;&gt;"",Q129&lt;&gt;""),AO129-Q129,"")</f>
        <v/>
      </c>
      <c r="AS129" s="44" t="n"/>
      <c r="AT129" s="41">
        <f>IF(AND(AS129&gt;0,C129&gt;0),(AS129-C129)/C129,"")</f>
        <v/>
      </c>
      <c r="AU129" s="41">
        <f>IF(AND(AS129&gt;0,AS129&gt;0),(AS129-C129)/AS129,"")</f>
        <v/>
      </c>
      <c r="AV129" s="40">
        <f>IF(AND(AS129&gt;0,C129&gt;0),AS129-C129,"")</f>
        <v/>
      </c>
      <c r="AW129" s="41">
        <f>IF(AND(AS129&gt;0,D129&gt;0),(AS129-D129)/D129,"")</f>
        <v/>
      </c>
      <c r="AX129" s="41">
        <f>IF(AND(AU129&lt;&gt;"",P129&lt;&gt;""),(AU129-P129)/ABS(IF(P129=0,1,P129)),"")</f>
        <v/>
      </c>
      <c r="AY129" s="40">
        <f>IF(AND(AV129&lt;&gt;"",Q129&lt;&gt;""),AV129-Q129,"")</f>
        <v/>
      </c>
      <c r="AZ129" s="45" t="n"/>
      <c r="BA129" s="40">
        <f>IF(AND(AZ129&gt;0,C129&gt;0),C129/(1-AZ129),"")</f>
        <v/>
      </c>
      <c r="BB129" s="41">
        <f>IF(AND(BA129&lt;&gt;"",C129&gt;0),(BA129-C129)/C129,"")</f>
        <v/>
      </c>
      <c r="BC129" s="41">
        <f>IF(BA129&lt;&gt;"",AZ129,"")</f>
        <v/>
      </c>
      <c r="BD129" s="40">
        <f>IF(AND(BA129&lt;&gt;"",C129&gt;0),BA129-C129,"")</f>
        <v/>
      </c>
      <c r="BE129" s="41">
        <f>IF(AND(BA129&lt;&gt;"",D129&gt;0),(BA129-D129)/D129,"")</f>
        <v/>
      </c>
      <c r="BF129" s="41">
        <f>IF(AND(BC129&lt;&gt;"",P129&lt;&gt;""),(BC129-P129)/ABS(IF(P129=0,1,P129)),"")</f>
        <v/>
      </c>
      <c r="BG129" s="40">
        <f>IF(AND(BD129&lt;&gt;"",Q129&lt;&gt;""),BD129-Q129,"")</f>
        <v/>
      </c>
      <c r="BH129" s="40">
        <f>IF(AND(T129&gt;0,X129&lt;&gt;""),T129*X129,"")</f>
        <v/>
      </c>
      <c r="BI129" s="40">
        <f>IF(AND(T129&gt;0,AA129&lt;&gt;""),T129*AA129,"")</f>
        <v/>
      </c>
      <c r="BJ129" s="40">
        <f>IF(AND(T129&gt;0,AE129&lt;&gt;""),T129*AE129,"")</f>
        <v/>
      </c>
      <c r="BK129" s="40">
        <f>IF(AND(T129&gt;0,AH129&lt;&gt;""),T129*AH129,"")</f>
        <v/>
      </c>
      <c r="BL129" s="40">
        <f>IF(AND(T129&gt;0,AL129&lt;&gt;""),T129*AL129,"")</f>
        <v/>
      </c>
      <c r="BM129" s="40">
        <f>IF(AND(T129&gt;0,AO129&lt;&gt;""),T129*AO129,"")</f>
        <v/>
      </c>
      <c r="BN129" s="40">
        <f>IF(AND(T129&gt;0,AS129&gt;0),T129*AS129,"")</f>
        <v/>
      </c>
      <c r="BO129" s="40">
        <f>IF(AND(T129&gt;0,AV129&lt;&gt;""),T129*AV129,"")</f>
        <v/>
      </c>
      <c r="BP129" s="40">
        <f>IF(AND(T129&gt;0,BA129&lt;&gt;""),T129*BA129,"")</f>
        <v/>
      </c>
      <c r="BQ129" s="40">
        <f>IF(AND(T129&gt;0,BD129&lt;&gt;""),T129*BD129,"")</f>
        <v/>
      </c>
      <c r="BR129" s="46">
        <f>IF(AND(T129&gt;0,V129&gt;0,AA129&lt;&gt;0),V129/AA129-T129,"")</f>
        <v/>
      </c>
      <c r="BS129" s="41">
        <f>IF(AND(BR129&lt;&gt;"",T129&gt;0),BR129/T129,"")</f>
        <v/>
      </c>
      <c r="BT129" s="46">
        <f>IF(AND(T129&gt;0,V129&gt;0,AO129&lt;&gt;0),V129/AO129-T129,"")</f>
        <v/>
      </c>
      <c r="BU129" s="41">
        <f>IF(AND(BT129&lt;&gt;"",T129&gt;0),BT129/T129,"")</f>
        <v/>
      </c>
    </row>
    <row r="130">
      <c r="A130" s="36">
        <f>'📊 Исходные данные'!A129</f>
        <v/>
      </c>
      <c r="B130" s="37">
        <f>'📊 Исходные данные'!B129</f>
        <v/>
      </c>
      <c r="C130" s="38">
        <f>'📊 Исходные данные'!C129</f>
        <v/>
      </c>
      <c r="D130" s="38">
        <f>'📊 Исходные данные'!D129</f>
        <v/>
      </c>
      <c r="E130" s="39">
        <f>IF(OR(D130="",F130=""),"-",IF(D130&gt;F130*1.05,"Выше рынка",IF(D130&lt;F130*0.95,"Ниже рынка","На уровне")))</f>
        <v/>
      </c>
      <c r="F130" s="40">
        <f>IFERROR(AVERAGE('📊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G130" s="40">
        <f>IFERROR(MEDIAN('📊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H130" s="40">
        <f>IFERROR(MIN('📊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I130" s="40">
        <f>IFERROR(MAX('📊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данные'!K129),"")</f>
        <v/>
      </c>
      <c r="J130" s="41">
        <f>IF(AND(D130&lt;&gt;"",F130&lt;&gt;""),(D130-F130)/F130,"")</f>
        <v/>
      </c>
      <c r="K130" s="41">
        <f>IF(AND(D130&lt;&gt;"",G130&lt;&gt;""),(D130-G130)/G130,"")</f>
        <v/>
      </c>
      <c r="L130" s="41">
        <f>IF(AND(D130&lt;&gt;"",H130&lt;&gt;""),(D130-H130)/H130,"")</f>
        <v/>
      </c>
      <c r="M130" s="42">
        <f>IFERROR(RANK(D130,('📊 Исходные данные'!E129,'📊 Исходные данные'!F129,'📊 Исходные данные'!G129,'📊 Исходные данные'!H129,'📊 Исходные данные'!I129,'📊 Исходные данные'!J129,'📊 Исходные данные'!K129)),"")</f>
        <v/>
      </c>
      <c r="N130" s="39">
        <f>IF(M130="","-",IF(M130=1,"Дороже всех",IF(M130=2,"2-й по цене",IF(M130&lt;=4,"Средний","Ниже конкурентов"))))</f>
        <v/>
      </c>
      <c r="O130" s="41">
        <f>IF(AND(C130&gt;0,D130&gt;0),(D130-C130)/C130,"")</f>
        <v/>
      </c>
      <c r="P130" s="41">
        <f>IF(AND(C130&gt;0,D130&gt;0),(D130-C130)/D130,"")</f>
        <v/>
      </c>
      <c r="Q130" s="40">
        <f>IF(AND(C130&gt;0,D130&gt;0),D130-C130,"")</f>
        <v/>
      </c>
      <c r="R130" s="39">
        <f>IF(P130="","-",IF(P130&lt;0.1,"Низкая(&lt;10%)",IF(P130&lt;0.2,"Средняя(10-20%)","Хорошая(&gt;20%)")))</f>
        <v/>
      </c>
      <c r="S130" s="39">
        <f>IF(OR(H130="",C130=""),"-",IF((H130-C130)/H130&lt;0.05,"КРИТИЧНО",IF((H130-C130)/H130&lt;0.15,"УМЕРЕННЫЙ","НИЗКИЙ")))</f>
        <v/>
      </c>
      <c r="T130" s="43" t="n"/>
      <c r="U130" s="40">
        <f>IF(T130&gt;0,T130*D130,"")</f>
        <v/>
      </c>
      <c r="V130" s="40">
        <f>IF(T130&gt;0,T130*Q130,"")</f>
        <v/>
      </c>
      <c r="W130" s="41">
        <f>IF(U130&gt;0,V130/U130,"")</f>
        <v/>
      </c>
      <c r="X130" s="40">
        <f>IF(F130&lt;&gt;"",F130,"")</f>
        <v/>
      </c>
      <c r="Y130" s="41">
        <f>IF(AND(X130&lt;&gt;"",C130&gt;0),(X130-C130)/C130,"")</f>
        <v/>
      </c>
      <c r="Z130" s="41">
        <f>IF(AND(X130&lt;&gt;"",X130&gt;0),(X130-C130)/X130,"")</f>
        <v/>
      </c>
      <c r="AA130" s="40">
        <f>IF(AND(X130&lt;&gt;"",C130&gt;0),X130-C130,"")</f>
        <v/>
      </c>
      <c r="AB130" s="41">
        <f>IF(AND(X130&lt;&gt;"",D130&gt;0),(X130-D130)/D130,"")</f>
        <v/>
      </c>
      <c r="AC130" s="41">
        <f>IF(AND(Z130&lt;&gt;"",P130&lt;&gt;""),(Z130-P130)/ABS(IF(P130=0,1,P130)),"")</f>
        <v/>
      </c>
      <c r="AD130" s="40">
        <f>IF(AND(AA130&lt;&gt;"",Q130&lt;&gt;""),AA130-Q130,"")</f>
        <v/>
      </c>
      <c r="AE130" s="40">
        <f>IF(G130&lt;&gt;"",G130,"")</f>
        <v/>
      </c>
      <c r="AF130" s="41">
        <f>IF(AND(AE130&lt;&gt;"",C130&gt;0),(AE130-C130)/C130,"")</f>
        <v/>
      </c>
      <c r="AG130" s="41">
        <f>IF(AND(AE130&lt;&gt;"",AE130&gt;0),(AE130-C130)/AE130,"")</f>
        <v/>
      </c>
      <c r="AH130" s="40">
        <f>IF(AND(AE130&lt;&gt;"",C130&gt;0),AE130-C130,"")</f>
        <v/>
      </c>
      <c r="AI130" s="41">
        <f>IF(AND(AE130&lt;&gt;"",D130&gt;0),(AE130-D130)/D130,"")</f>
        <v/>
      </c>
      <c r="AJ130" s="41">
        <f>IF(AND(AG130&lt;&gt;"",P130&lt;&gt;""),(AG130-P130)/ABS(IF(P130=0,1,P130)),"")</f>
        <v/>
      </c>
      <c r="AK130" s="40">
        <f>IF(AND(AH130&lt;&gt;"",Q130&lt;&gt;""),AH130-Q130,"")</f>
        <v/>
      </c>
      <c r="AL130" s="40">
        <f>IF(H130&lt;&gt;"",H130,"")</f>
        <v/>
      </c>
      <c r="AM130" s="41">
        <f>IF(AND(AL130&lt;&gt;"",C130&gt;0),(AL130-C130)/C130,"")</f>
        <v/>
      </c>
      <c r="AN130" s="41">
        <f>IF(AND(AL130&lt;&gt;"",AL130&gt;0),(AL130-C130)/AL130,"")</f>
        <v/>
      </c>
      <c r="AO130" s="40">
        <f>IF(AND(AL130&lt;&gt;"",C130&gt;0),AL130-C130,"")</f>
        <v/>
      </c>
      <c r="AP130" s="41">
        <f>IF(AND(AL130&lt;&gt;"",D130&gt;0),(AL130-D130)/D130,"")</f>
        <v/>
      </c>
      <c r="AQ130" s="41">
        <f>IF(AND(AN130&lt;&gt;"",P130&lt;&gt;""),(AN130-P130)/ABS(IF(P130=0,1,P130)),"")</f>
        <v/>
      </c>
      <c r="AR130" s="40">
        <f>IF(AND(AO130&lt;&gt;"",Q130&lt;&gt;""),AO130-Q130,"")</f>
        <v/>
      </c>
      <c r="AS130" s="44" t="n"/>
      <c r="AT130" s="41">
        <f>IF(AND(AS130&gt;0,C130&gt;0),(AS130-C130)/C130,"")</f>
        <v/>
      </c>
      <c r="AU130" s="41">
        <f>IF(AND(AS130&gt;0,AS130&gt;0),(AS130-C130)/AS130,"")</f>
        <v/>
      </c>
      <c r="AV130" s="40">
        <f>IF(AND(AS130&gt;0,C130&gt;0),AS130-C130,"")</f>
        <v/>
      </c>
      <c r="AW130" s="41">
        <f>IF(AND(AS130&gt;0,D130&gt;0),(AS130-D130)/D130,"")</f>
        <v/>
      </c>
      <c r="AX130" s="41">
        <f>IF(AND(AU130&lt;&gt;"",P130&lt;&gt;""),(AU130-P130)/ABS(IF(P130=0,1,P130)),"")</f>
        <v/>
      </c>
      <c r="AY130" s="40">
        <f>IF(AND(AV130&lt;&gt;"",Q130&lt;&gt;""),AV130-Q130,"")</f>
        <v/>
      </c>
      <c r="AZ130" s="45" t="n"/>
      <c r="BA130" s="40">
        <f>IF(AND(AZ130&gt;0,C130&gt;0),C130/(1-AZ130),"")</f>
        <v/>
      </c>
      <c r="BB130" s="41">
        <f>IF(AND(BA130&lt;&gt;"",C130&gt;0),(BA130-C130)/C130,"")</f>
        <v/>
      </c>
      <c r="BC130" s="41">
        <f>IF(BA130&lt;&gt;"",AZ130,"")</f>
        <v/>
      </c>
      <c r="BD130" s="40">
        <f>IF(AND(BA130&lt;&gt;"",C130&gt;0),BA130-C130,"")</f>
        <v/>
      </c>
      <c r="BE130" s="41">
        <f>IF(AND(BA130&lt;&gt;"",D130&gt;0),(BA130-D130)/D130,"")</f>
        <v/>
      </c>
      <c r="BF130" s="41">
        <f>IF(AND(BC130&lt;&gt;"",P130&lt;&gt;""),(BC130-P130)/ABS(IF(P130=0,1,P130)),"")</f>
        <v/>
      </c>
      <c r="BG130" s="40">
        <f>IF(AND(BD130&lt;&gt;"",Q130&lt;&gt;""),BD130-Q130,"")</f>
        <v/>
      </c>
      <c r="BH130" s="40">
        <f>IF(AND(T130&gt;0,X130&lt;&gt;""),T130*X130,"")</f>
        <v/>
      </c>
      <c r="BI130" s="40">
        <f>IF(AND(T130&gt;0,AA130&lt;&gt;""),T130*AA130,"")</f>
        <v/>
      </c>
      <c r="BJ130" s="40">
        <f>IF(AND(T130&gt;0,AE130&lt;&gt;""),T130*AE130,"")</f>
        <v/>
      </c>
      <c r="BK130" s="40">
        <f>IF(AND(T130&gt;0,AH130&lt;&gt;""),T130*AH130,"")</f>
        <v/>
      </c>
      <c r="BL130" s="40">
        <f>IF(AND(T130&gt;0,AL130&lt;&gt;""),T130*AL130,"")</f>
        <v/>
      </c>
      <c r="BM130" s="40">
        <f>IF(AND(T130&gt;0,AO130&lt;&gt;""),T130*AO130,"")</f>
        <v/>
      </c>
      <c r="BN130" s="40">
        <f>IF(AND(T130&gt;0,AS130&gt;0),T130*AS130,"")</f>
        <v/>
      </c>
      <c r="BO130" s="40">
        <f>IF(AND(T130&gt;0,AV130&lt;&gt;""),T130*AV130,"")</f>
        <v/>
      </c>
      <c r="BP130" s="40">
        <f>IF(AND(T130&gt;0,BA130&lt;&gt;""),T130*BA130,"")</f>
        <v/>
      </c>
      <c r="BQ130" s="40">
        <f>IF(AND(T130&gt;0,BD130&lt;&gt;""),T130*BD130,"")</f>
        <v/>
      </c>
      <c r="BR130" s="46">
        <f>IF(AND(T130&gt;0,V130&gt;0,AA130&lt;&gt;0),V130/AA130-T130,"")</f>
        <v/>
      </c>
      <c r="BS130" s="41">
        <f>IF(AND(BR130&lt;&gt;"",T130&gt;0),BR130/T130,"")</f>
        <v/>
      </c>
      <c r="BT130" s="46">
        <f>IF(AND(T130&gt;0,V130&gt;0,AO130&lt;&gt;0),V130/AO130-T130,"")</f>
        <v/>
      </c>
      <c r="BU130" s="41">
        <f>IF(AND(BT130&lt;&gt;"",T130&gt;0),BT130/T130,"")</f>
        <v/>
      </c>
    </row>
    <row r="131">
      <c r="A131" s="36">
        <f>'📊 Исходные данные'!A130</f>
        <v/>
      </c>
      <c r="B131" s="37">
        <f>'📊 Исходные данные'!B130</f>
        <v/>
      </c>
      <c r="C131" s="38">
        <f>'📊 Исходные данные'!C130</f>
        <v/>
      </c>
      <c r="D131" s="38">
        <f>'📊 Исходные данные'!D130</f>
        <v/>
      </c>
      <c r="E131" s="39">
        <f>IF(OR(D131="",F131=""),"-",IF(D131&gt;F131*1.05,"Выше рынка",IF(D131&lt;F131*0.95,"Ниже рынка","На уровне")))</f>
        <v/>
      </c>
      <c r="F131" s="40">
        <f>IFERROR(AVERAGE('📊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G131" s="40">
        <f>IFERROR(MEDIAN('📊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H131" s="40">
        <f>IFERROR(MIN('📊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I131" s="40">
        <f>IFERROR(MAX('📊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данные'!K130),"")</f>
        <v/>
      </c>
      <c r="J131" s="41">
        <f>IF(AND(D131&lt;&gt;"",F131&lt;&gt;""),(D131-F131)/F131,"")</f>
        <v/>
      </c>
      <c r="K131" s="41">
        <f>IF(AND(D131&lt;&gt;"",G131&lt;&gt;""),(D131-G131)/G131,"")</f>
        <v/>
      </c>
      <c r="L131" s="41">
        <f>IF(AND(D131&lt;&gt;"",H131&lt;&gt;""),(D131-H131)/H131,"")</f>
        <v/>
      </c>
      <c r="M131" s="42">
        <f>IFERROR(RANK(D131,('📊 Исходные данные'!E130,'📊 Исходные данные'!F130,'📊 Исходные данные'!G130,'📊 Исходные данные'!H130,'📊 Исходные данные'!I130,'📊 Исходные данные'!J130,'📊 Исходные данные'!K130)),"")</f>
        <v/>
      </c>
      <c r="N131" s="39">
        <f>IF(M131="","-",IF(M131=1,"Дороже всех",IF(M131=2,"2-й по цене",IF(M131&lt;=4,"Средний","Ниже конкурентов"))))</f>
        <v/>
      </c>
      <c r="O131" s="41">
        <f>IF(AND(C131&gt;0,D131&gt;0),(D131-C131)/C131,"")</f>
        <v/>
      </c>
      <c r="P131" s="41">
        <f>IF(AND(C131&gt;0,D131&gt;0),(D131-C131)/D131,"")</f>
        <v/>
      </c>
      <c r="Q131" s="40">
        <f>IF(AND(C131&gt;0,D131&gt;0),D131-C131,"")</f>
        <v/>
      </c>
      <c r="R131" s="39">
        <f>IF(P131="","-",IF(P131&lt;0.1,"Низкая(&lt;10%)",IF(P131&lt;0.2,"Средняя(10-20%)","Хорошая(&gt;20%)")))</f>
        <v/>
      </c>
      <c r="S131" s="39">
        <f>IF(OR(H131="",C131=""),"-",IF((H131-C131)/H131&lt;0.05,"КРИТИЧНО",IF((H131-C131)/H131&lt;0.15,"УМЕРЕННЫЙ","НИЗКИЙ")))</f>
        <v/>
      </c>
      <c r="T131" s="43" t="n"/>
      <c r="U131" s="40">
        <f>IF(T131&gt;0,T131*D131,"")</f>
        <v/>
      </c>
      <c r="V131" s="40">
        <f>IF(T131&gt;0,T131*Q131,"")</f>
        <v/>
      </c>
      <c r="W131" s="41">
        <f>IF(U131&gt;0,V131/U131,"")</f>
        <v/>
      </c>
      <c r="X131" s="40">
        <f>IF(F131&lt;&gt;"",F131,"")</f>
        <v/>
      </c>
      <c r="Y131" s="41">
        <f>IF(AND(X131&lt;&gt;"",C131&gt;0),(X131-C131)/C131,"")</f>
        <v/>
      </c>
      <c r="Z131" s="41">
        <f>IF(AND(X131&lt;&gt;"",X131&gt;0),(X131-C131)/X131,"")</f>
        <v/>
      </c>
      <c r="AA131" s="40">
        <f>IF(AND(X131&lt;&gt;"",C131&gt;0),X131-C131,"")</f>
        <v/>
      </c>
      <c r="AB131" s="41">
        <f>IF(AND(X131&lt;&gt;"",D131&gt;0),(X131-D131)/D131,"")</f>
        <v/>
      </c>
      <c r="AC131" s="41">
        <f>IF(AND(Z131&lt;&gt;"",P131&lt;&gt;""),(Z131-P131)/ABS(IF(P131=0,1,P131)),"")</f>
        <v/>
      </c>
      <c r="AD131" s="40">
        <f>IF(AND(AA131&lt;&gt;"",Q131&lt;&gt;""),AA131-Q131,"")</f>
        <v/>
      </c>
      <c r="AE131" s="40">
        <f>IF(G131&lt;&gt;"",G131,"")</f>
        <v/>
      </c>
      <c r="AF131" s="41">
        <f>IF(AND(AE131&lt;&gt;"",C131&gt;0),(AE131-C131)/C131,"")</f>
        <v/>
      </c>
      <c r="AG131" s="41">
        <f>IF(AND(AE131&lt;&gt;"",AE131&gt;0),(AE131-C131)/AE131,"")</f>
        <v/>
      </c>
      <c r="AH131" s="40">
        <f>IF(AND(AE131&lt;&gt;"",C131&gt;0),AE131-C131,"")</f>
        <v/>
      </c>
      <c r="AI131" s="41">
        <f>IF(AND(AE131&lt;&gt;"",D131&gt;0),(AE131-D131)/D131,"")</f>
        <v/>
      </c>
      <c r="AJ131" s="41">
        <f>IF(AND(AG131&lt;&gt;"",P131&lt;&gt;""),(AG131-P131)/ABS(IF(P131=0,1,P131)),"")</f>
        <v/>
      </c>
      <c r="AK131" s="40">
        <f>IF(AND(AH131&lt;&gt;"",Q131&lt;&gt;""),AH131-Q131,"")</f>
        <v/>
      </c>
      <c r="AL131" s="40">
        <f>IF(H131&lt;&gt;"",H131,"")</f>
        <v/>
      </c>
      <c r="AM131" s="41">
        <f>IF(AND(AL131&lt;&gt;"",C131&gt;0),(AL131-C131)/C131,"")</f>
        <v/>
      </c>
      <c r="AN131" s="41">
        <f>IF(AND(AL131&lt;&gt;"",AL131&gt;0),(AL131-C131)/AL131,"")</f>
        <v/>
      </c>
      <c r="AO131" s="40">
        <f>IF(AND(AL131&lt;&gt;"",C131&gt;0),AL131-C131,"")</f>
        <v/>
      </c>
      <c r="AP131" s="41">
        <f>IF(AND(AL131&lt;&gt;"",D131&gt;0),(AL131-D131)/D131,"")</f>
        <v/>
      </c>
      <c r="AQ131" s="41">
        <f>IF(AND(AN131&lt;&gt;"",P131&lt;&gt;""),(AN131-P131)/ABS(IF(P131=0,1,P131)),"")</f>
        <v/>
      </c>
      <c r="AR131" s="40">
        <f>IF(AND(AO131&lt;&gt;"",Q131&lt;&gt;""),AO131-Q131,"")</f>
        <v/>
      </c>
      <c r="AS131" s="44" t="n"/>
      <c r="AT131" s="41">
        <f>IF(AND(AS131&gt;0,C131&gt;0),(AS131-C131)/C131,"")</f>
        <v/>
      </c>
      <c r="AU131" s="41">
        <f>IF(AND(AS131&gt;0,AS131&gt;0),(AS131-C131)/AS131,"")</f>
        <v/>
      </c>
      <c r="AV131" s="40">
        <f>IF(AND(AS131&gt;0,C131&gt;0),AS131-C131,"")</f>
        <v/>
      </c>
      <c r="AW131" s="41">
        <f>IF(AND(AS131&gt;0,D131&gt;0),(AS131-D131)/D131,"")</f>
        <v/>
      </c>
      <c r="AX131" s="41">
        <f>IF(AND(AU131&lt;&gt;"",P131&lt;&gt;""),(AU131-P131)/ABS(IF(P131=0,1,P131)),"")</f>
        <v/>
      </c>
      <c r="AY131" s="40">
        <f>IF(AND(AV131&lt;&gt;"",Q131&lt;&gt;""),AV131-Q131,"")</f>
        <v/>
      </c>
      <c r="AZ131" s="45" t="n"/>
      <c r="BA131" s="40">
        <f>IF(AND(AZ131&gt;0,C131&gt;0),C131/(1-AZ131),"")</f>
        <v/>
      </c>
      <c r="BB131" s="41">
        <f>IF(AND(BA131&lt;&gt;"",C131&gt;0),(BA131-C131)/C131,"")</f>
        <v/>
      </c>
      <c r="BC131" s="41">
        <f>IF(BA131&lt;&gt;"",AZ131,"")</f>
        <v/>
      </c>
      <c r="BD131" s="40">
        <f>IF(AND(BA131&lt;&gt;"",C131&gt;0),BA131-C131,"")</f>
        <v/>
      </c>
      <c r="BE131" s="41">
        <f>IF(AND(BA131&lt;&gt;"",D131&gt;0),(BA131-D131)/D131,"")</f>
        <v/>
      </c>
      <c r="BF131" s="41">
        <f>IF(AND(BC131&lt;&gt;"",P131&lt;&gt;""),(BC131-P131)/ABS(IF(P131=0,1,P131)),"")</f>
        <v/>
      </c>
      <c r="BG131" s="40">
        <f>IF(AND(BD131&lt;&gt;"",Q131&lt;&gt;""),BD131-Q131,"")</f>
        <v/>
      </c>
      <c r="BH131" s="40">
        <f>IF(AND(T131&gt;0,X131&lt;&gt;""),T131*X131,"")</f>
        <v/>
      </c>
      <c r="BI131" s="40">
        <f>IF(AND(T131&gt;0,AA131&lt;&gt;""),T131*AA131,"")</f>
        <v/>
      </c>
      <c r="BJ131" s="40">
        <f>IF(AND(T131&gt;0,AE131&lt;&gt;""),T131*AE131,"")</f>
        <v/>
      </c>
      <c r="BK131" s="40">
        <f>IF(AND(T131&gt;0,AH131&lt;&gt;""),T131*AH131,"")</f>
        <v/>
      </c>
      <c r="BL131" s="40">
        <f>IF(AND(T131&gt;0,AL131&lt;&gt;""),T131*AL131,"")</f>
        <v/>
      </c>
      <c r="BM131" s="40">
        <f>IF(AND(T131&gt;0,AO131&lt;&gt;""),T131*AO131,"")</f>
        <v/>
      </c>
      <c r="BN131" s="40">
        <f>IF(AND(T131&gt;0,AS131&gt;0),T131*AS131,"")</f>
        <v/>
      </c>
      <c r="BO131" s="40">
        <f>IF(AND(T131&gt;0,AV131&lt;&gt;""),T131*AV131,"")</f>
        <v/>
      </c>
      <c r="BP131" s="40">
        <f>IF(AND(T131&gt;0,BA131&lt;&gt;""),T131*BA131,"")</f>
        <v/>
      </c>
      <c r="BQ131" s="40">
        <f>IF(AND(T131&gt;0,BD131&lt;&gt;""),T131*BD131,"")</f>
        <v/>
      </c>
      <c r="BR131" s="46">
        <f>IF(AND(T131&gt;0,V131&gt;0,AA131&lt;&gt;0),V131/AA131-T131,"")</f>
        <v/>
      </c>
      <c r="BS131" s="41">
        <f>IF(AND(BR131&lt;&gt;"",T131&gt;0),BR131/T131,"")</f>
        <v/>
      </c>
      <c r="BT131" s="46">
        <f>IF(AND(T131&gt;0,V131&gt;0,AO131&lt;&gt;0),V131/AO131-T131,"")</f>
        <v/>
      </c>
      <c r="BU131" s="41">
        <f>IF(AND(BT131&lt;&gt;"",T131&gt;0),BT131/T131,"")</f>
        <v/>
      </c>
    </row>
    <row r="132">
      <c r="A132" s="36">
        <f>'📊 Исходные данные'!A131</f>
        <v/>
      </c>
      <c r="B132" s="37">
        <f>'📊 Исходные данные'!B131</f>
        <v/>
      </c>
      <c r="C132" s="38">
        <f>'📊 Исходные данные'!C131</f>
        <v/>
      </c>
      <c r="D132" s="38">
        <f>'📊 Исходные данные'!D131</f>
        <v/>
      </c>
      <c r="E132" s="39">
        <f>IF(OR(D132="",F132=""),"-",IF(D132&gt;F132*1.05,"Выше рынка",IF(D132&lt;F132*0.95,"Ниже рынка","На уровне")))</f>
        <v/>
      </c>
      <c r="F132" s="40">
        <f>IFERROR(AVERAGE('📊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G132" s="40">
        <f>IFERROR(MEDIAN('📊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H132" s="40">
        <f>IFERROR(MIN('📊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I132" s="40">
        <f>IFERROR(MAX('📊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данные'!K131),"")</f>
        <v/>
      </c>
      <c r="J132" s="41">
        <f>IF(AND(D132&lt;&gt;"",F132&lt;&gt;""),(D132-F132)/F132,"")</f>
        <v/>
      </c>
      <c r="K132" s="41">
        <f>IF(AND(D132&lt;&gt;"",G132&lt;&gt;""),(D132-G132)/G132,"")</f>
        <v/>
      </c>
      <c r="L132" s="41">
        <f>IF(AND(D132&lt;&gt;"",H132&lt;&gt;""),(D132-H132)/H132,"")</f>
        <v/>
      </c>
      <c r="M132" s="42">
        <f>IFERROR(RANK(D132,('📊 Исходные данные'!E131,'📊 Исходные данные'!F131,'📊 Исходные данные'!G131,'📊 Исходные данные'!H131,'📊 Исходные данные'!I131,'📊 Исходные данные'!J131,'📊 Исходные данные'!K131)),"")</f>
        <v/>
      </c>
      <c r="N132" s="39">
        <f>IF(M132="","-",IF(M132=1,"Дороже всех",IF(M132=2,"2-й по цене",IF(M132&lt;=4,"Средний","Ниже конкурентов"))))</f>
        <v/>
      </c>
      <c r="O132" s="41">
        <f>IF(AND(C132&gt;0,D132&gt;0),(D132-C132)/C132,"")</f>
        <v/>
      </c>
      <c r="P132" s="41">
        <f>IF(AND(C132&gt;0,D132&gt;0),(D132-C132)/D132,"")</f>
        <v/>
      </c>
      <c r="Q132" s="40">
        <f>IF(AND(C132&gt;0,D132&gt;0),D132-C132,"")</f>
        <v/>
      </c>
      <c r="R132" s="39">
        <f>IF(P132="","-",IF(P132&lt;0.1,"Низкая(&lt;10%)",IF(P132&lt;0.2,"Средняя(10-20%)","Хорошая(&gt;20%)")))</f>
        <v/>
      </c>
      <c r="S132" s="39">
        <f>IF(OR(H132="",C132=""),"-",IF((H132-C132)/H132&lt;0.05,"КРИТИЧНО",IF((H132-C132)/H132&lt;0.15,"УМЕРЕННЫЙ","НИЗКИЙ")))</f>
        <v/>
      </c>
      <c r="T132" s="43" t="n"/>
      <c r="U132" s="40">
        <f>IF(T132&gt;0,T132*D132,"")</f>
        <v/>
      </c>
      <c r="V132" s="40">
        <f>IF(T132&gt;0,T132*Q132,"")</f>
        <v/>
      </c>
      <c r="W132" s="41">
        <f>IF(U132&gt;0,V132/U132,"")</f>
        <v/>
      </c>
      <c r="X132" s="40">
        <f>IF(F132&lt;&gt;"",F132,"")</f>
        <v/>
      </c>
      <c r="Y132" s="41">
        <f>IF(AND(X132&lt;&gt;"",C132&gt;0),(X132-C132)/C132,"")</f>
        <v/>
      </c>
      <c r="Z132" s="41">
        <f>IF(AND(X132&lt;&gt;"",X132&gt;0),(X132-C132)/X132,"")</f>
        <v/>
      </c>
      <c r="AA132" s="40">
        <f>IF(AND(X132&lt;&gt;"",C132&gt;0),X132-C132,"")</f>
        <v/>
      </c>
      <c r="AB132" s="41">
        <f>IF(AND(X132&lt;&gt;"",D132&gt;0),(X132-D132)/D132,"")</f>
        <v/>
      </c>
      <c r="AC132" s="41">
        <f>IF(AND(Z132&lt;&gt;"",P132&lt;&gt;""),(Z132-P132)/ABS(IF(P132=0,1,P132)),"")</f>
        <v/>
      </c>
      <c r="AD132" s="40">
        <f>IF(AND(AA132&lt;&gt;"",Q132&lt;&gt;""),AA132-Q132,"")</f>
        <v/>
      </c>
      <c r="AE132" s="40">
        <f>IF(G132&lt;&gt;"",G132,"")</f>
        <v/>
      </c>
      <c r="AF132" s="41">
        <f>IF(AND(AE132&lt;&gt;"",C132&gt;0),(AE132-C132)/C132,"")</f>
        <v/>
      </c>
      <c r="AG132" s="41">
        <f>IF(AND(AE132&lt;&gt;"",AE132&gt;0),(AE132-C132)/AE132,"")</f>
        <v/>
      </c>
      <c r="AH132" s="40">
        <f>IF(AND(AE132&lt;&gt;"",C132&gt;0),AE132-C132,"")</f>
        <v/>
      </c>
      <c r="AI132" s="41">
        <f>IF(AND(AE132&lt;&gt;"",D132&gt;0),(AE132-D132)/D132,"")</f>
        <v/>
      </c>
      <c r="AJ132" s="41">
        <f>IF(AND(AG132&lt;&gt;"",P132&lt;&gt;""),(AG132-P132)/ABS(IF(P132=0,1,P132)),"")</f>
        <v/>
      </c>
      <c r="AK132" s="40">
        <f>IF(AND(AH132&lt;&gt;"",Q132&lt;&gt;""),AH132-Q132,"")</f>
        <v/>
      </c>
      <c r="AL132" s="40">
        <f>IF(H132&lt;&gt;"",H132,"")</f>
        <v/>
      </c>
      <c r="AM132" s="41">
        <f>IF(AND(AL132&lt;&gt;"",C132&gt;0),(AL132-C132)/C132,"")</f>
        <v/>
      </c>
      <c r="AN132" s="41">
        <f>IF(AND(AL132&lt;&gt;"",AL132&gt;0),(AL132-C132)/AL132,"")</f>
        <v/>
      </c>
      <c r="AO132" s="40">
        <f>IF(AND(AL132&lt;&gt;"",C132&gt;0),AL132-C132,"")</f>
        <v/>
      </c>
      <c r="AP132" s="41">
        <f>IF(AND(AL132&lt;&gt;"",D132&gt;0),(AL132-D132)/D132,"")</f>
        <v/>
      </c>
      <c r="AQ132" s="41">
        <f>IF(AND(AN132&lt;&gt;"",P132&lt;&gt;""),(AN132-P132)/ABS(IF(P132=0,1,P132)),"")</f>
        <v/>
      </c>
      <c r="AR132" s="40">
        <f>IF(AND(AO132&lt;&gt;"",Q132&lt;&gt;""),AO132-Q132,"")</f>
        <v/>
      </c>
      <c r="AS132" s="44" t="n"/>
      <c r="AT132" s="41">
        <f>IF(AND(AS132&gt;0,C132&gt;0),(AS132-C132)/C132,"")</f>
        <v/>
      </c>
      <c r="AU132" s="41">
        <f>IF(AND(AS132&gt;0,AS132&gt;0),(AS132-C132)/AS132,"")</f>
        <v/>
      </c>
      <c r="AV132" s="40">
        <f>IF(AND(AS132&gt;0,C132&gt;0),AS132-C132,"")</f>
        <v/>
      </c>
      <c r="AW132" s="41">
        <f>IF(AND(AS132&gt;0,D132&gt;0),(AS132-D132)/D132,"")</f>
        <v/>
      </c>
      <c r="AX132" s="41">
        <f>IF(AND(AU132&lt;&gt;"",P132&lt;&gt;""),(AU132-P132)/ABS(IF(P132=0,1,P132)),"")</f>
        <v/>
      </c>
      <c r="AY132" s="40">
        <f>IF(AND(AV132&lt;&gt;"",Q132&lt;&gt;""),AV132-Q132,"")</f>
        <v/>
      </c>
      <c r="AZ132" s="45" t="n"/>
      <c r="BA132" s="40">
        <f>IF(AND(AZ132&gt;0,C132&gt;0),C132/(1-AZ132),"")</f>
        <v/>
      </c>
      <c r="BB132" s="41">
        <f>IF(AND(BA132&lt;&gt;"",C132&gt;0),(BA132-C132)/C132,"")</f>
        <v/>
      </c>
      <c r="BC132" s="41">
        <f>IF(BA132&lt;&gt;"",AZ132,"")</f>
        <v/>
      </c>
      <c r="BD132" s="40">
        <f>IF(AND(BA132&lt;&gt;"",C132&gt;0),BA132-C132,"")</f>
        <v/>
      </c>
      <c r="BE132" s="41">
        <f>IF(AND(BA132&lt;&gt;"",D132&gt;0),(BA132-D132)/D132,"")</f>
        <v/>
      </c>
      <c r="BF132" s="41">
        <f>IF(AND(BC132&lt;&gt;"",P132&lt;&gt;""),(BC132-P132)/ABS(IF(P132=0,1,P132)),"")</f>
        <v/>
      </c>
      <c r="BG132" s="40">
        <f>IF(AND(BD132&lt;&gt;"",Q132&lt;&gt;""),BD132-Q132,"")</f>
        <v/>
      </c>
      <c r="BH132" s="40">
        <f>IF(AND(T132&gt;0,X132&lt;&gt;""),T132*X132,"")</f>
        <v/>
      </c>
      <c r="BI132" s="40">
        <f>IF(AND(T132&gt;0,AA132&lt;&gt;""),T132*AA132,"")</f>
        <v/>
      </c>
      <c r="BJ132" s="40">
        <f>IF(AND(T132&gt;0,AE132&lt;&gt;""),T132*AE132,"")</f>
        <v/>
      </c>
      <c r="BK132" s="40">
        <f>IF(AND(T132&gt;0,AH132&lt;&gt;""),T132*AH132,"")</f>
        <v/>
      </c>
      <c r="BL132" s="40">
        <f>IF(AND(T132&gt;0,AL132&lt;&gt;""),T132*AL132,"")</f>
        <v/>
      </c>
      <c r="BM132" s="40">
        <f>IF(AND(T132&gt;0,AO132&lt;&gt;""),T132*AO132,"")</f>
        <v/>
      </c>
      <c r="BN132" s="40">
        <f>IF(AND(T132&gt;0,AS132&gt;0),T132*AS132,"")</f>
        <v/>
      </c>
      <c r="BO132" s="40">
        <f>IF(AND(T132&gt;0,AV132&lt;&gt;""),T132*AV132,"")</f>
        <v/>
      </c>
      <c r="BP132" s="40">
        <f>IF(AND(T132&gt;0,BA132&lt;&gt;""),T132*BA132,"")</f>
        <v/>
      </c>
      <c r="BQ132" s="40">
        <f>IF(AND(T132&gt;0,BD132&lt;&gt;""),T132*BD132,"")</f>
        <v/>
      </c>
      <c r="BR132" s="46">
        <f>IF(AND(T132&gt;0,V132&gt;0,AA132&lt;&gt;0),V132/AA132-T132,"")</f>
        <v/>
      </c>
      <c r="BS132" s="41">
        <f>IF(AND(BR132&lt;&gt;"",T132&gt;0),BR132/T132,"")</f>
        <v/>
      </c>
      <c r="BT132" s="46">
        <f>IF(AND(T132&gt;0,V132&gt;0,AO132&lt;&gt;0),V132/AO132-T132,"")</f>
        <v/>
      </c>
      <c r="BU132" s="41">
        <f>IF(AND(BT132&lt;&gt;"",T132&gt;0),BT132/T132,"")</f>
        <v/>
      </c>
    </row>
    <row r="133">
      <c r="A133" s="36">
        <f>'📊 Исходные данные'!A132</f>
        <v/>
      </c>
      <c r="B133" s="37">
        <f>'📊 Исходные данные'!B132</f>
        <v/>
      </c>
      <c r="C133" s="38">
        <f>'📊 Исходные данные'!C132</f>
        <v/>
      </c>
      <c r="D133" s="38">
        <f>'📊 Исходные данные'!D132</f>
        <v/>
      </c>
      <c r="E133" s="39">
        <f>IF(OR(D133="",F133=""),"-",IF(D133&gt;F133*1.05,"Выше рынка",IF(D133&lt;F133*0.95,"Ниже рынка","На уровне")))</f>
        <v/>
      </c>
      <c r="F133" s="40">
        <f>IFERROR(AVERAGE('📊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G133" s="40">
        <f>IFERROR(MEDIAN('📊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H133" s="40">
        <f>IFERROR(MIN('📊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I133" s="40">
        <f>IFERROR(MAX('📊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данные'!K132),"")</f>
        <v/>
      </c>
      <c r="J133" s="41">
        <f>IF(AND(D133&lt;&gt;"",F133&lt;&gt;""),(D133-F133)/F133,"")</f>
        <v/>
      </c>
      <c r="K133" s="41">
        <f>IF(AND(D133&lt;&gt;"",G133&lt;&gt;""),(D133-G133)/G133,"")</f>
        <v/>
      </c>
      <c r="L133" s="41">
        <f>IF(AND(D133&lt;&gt;"",H133&lt;&gt;""),(D133-H133)/H133,"")</f>
        <v/>
      </c>
      <c r="M133" s="42">
        <f>IFERROR(RANK(D133,('📊 Исходные данные'!E132,'📊 Исходные данные'!F132,'📊 Исходные данные'!G132,'📊 Исходные данные'!H132,'📊 Исходные данные'!I132,'📊 Исходные данные'!J132,'📊 Исходные данные'!K132)),"")</f>
        <v/>
      </c>
      <c r="N133" s="39">
        <f>IF(M133="","-",IF(M133=1,"Дороже всех",IF(M133=2,"2-й по цене",IF(M133&lt;=4,"Средний","Ниже конкурентов"))))</f>
        <v/>
      </c>
      <c r="O133" s="41">
        <f>IF(AND(C133&gt;0,D133&gt;0),(D133-C133)/C133,"")</f>
        <v/>
      </c>
      <c r="P133" s="41">
        <f>IF(AND(C133&gt;0,D133&gt;0),(D133-C133)/D133,"")</f>
        <v/>
      </c>
      <c r="Q133" s="40">
        <f>IF(AND(C133&gt;0,D133&gt;0),D133-C133,"")</f>
        <v/>
      </c>
      <c r="R133" s="39">
        <f>IF(P133="","-",IF(P133&lt;0.1,"Низкая(&lt;10%)",IF(P133&lt;0.2,"Средняя(10-20%)","Хорошая(&gt;20%)")))</f>
        <v/>
      </c>
      <c r="S133" s="39">
        <f>IF(OR(H133="",C133=""),"-",IF((H133-C133)/H133&lt;0.05,"КРИТИЧНО",IF((H133-C133)/H133&lt;0.15,"УМЕРЕННЫЙ","НИЗКИЙ")))</f>
        <v/>
      </c>
      <c r="T133" s="43" t="n"/>
      <c r="U133" s="40">
        <f>IF(T133&gt;0,T133*D133,"")</f>
        <v/>
      </c>
      <c r="V133" s="40">
        <f>IF(T133&gt;0,T133*Q133,"")</f>
        <v/>
      </c>
      <c r="W133" s="41">
        <f>IF(U133&gt;0,V133/U133,"")</f>
        <v/>
      </c>
      <c r="X133" s="40">
        <f>IF(F133&lt;&gt;"",F133,"")</f>
        <v/>
      </c>
      <c r="Y133" s="41">
        <f>IF(AND(X133&lt;&gt;"",C133&gt;0),(X133-C133)/C133,"")</f>
        <v/>
      </c>
      <c r="Z133" s="41">
        <f>IF(AND(X133&lt;&gt;"",X133&gt;0),(X133-C133)/X133,"")</f>
        <v/>
      </c>
      <c r="AA133" s="40">
        <f>IF(AND(X133&lt;&gt;"",C133&gt;0),X133-C133,"")</f>
        <v/>
      </c>
      <c r="AB133" s="41">
        <f>IF(AND(X133&lt;&gt;"",D133&gt;0),(X133-D133)/D133,"")</f>
        <v/>
      </c>
      <c r="AC133" s="41">
        <f>IF(AND(Z133&lt;&gt;"",P133&lt;&gt;""),(Z133-P133)/ABS(IF(P133=0,1,P133)),"")</f>
        <v/>
      </c>
      <c r="AD133" s="40">
        <f>IF(AND(AA133&lt;&gt;"",Q133&lt;&gt;""),AA133-Q133,"")</f>
        <v/>
      </c>
      <c r="AE133" s="40">
        <f>IF(G133&lt;&gt;"",G133,"")</f>
        <v/>
      </c>
      <c r="AF133" s="41">
        <f>IF(AND(AE133&lt;&gt;"",C133&gt;0),(AE133-C133)/C133,"")</f>
        <v/>
      </c>
      <c r="AG133" s="41">
        <f>IF(AND(AE133&lt;&gt;"",AE133&gt;0),(AE133-C133)/AE133,"")</f>
        <v/>
      </c>
      <c r="AH133" s="40">
        <f>IF(AND(AE133&lt;&gt;"",C133&gt;0),AE133-C133,"")</f>
        <v/>
      </c>
      <c r="AI133" s="41">
        <f>IF(AND(AE133&lt;&gt;"",D133&gt;0),(AE133-D133)/D133,"")</f>
        <v/>
      </c>
      <c r="AJ133" s="41">
        <f>IF(AND(AG133&lt;&gt;"",P133&lt;&gt;""),(AG133-P133)/ABS(IF(P133=0,1,P133)),"")</f>
        <v/>
      </c>
      <c r="AK133" s="40">
        <f>IF(AND(AH133&lt;&gt;"",Q133&lt;&gt;""),AH133-Q133,"")</f>
        <v/>
      </c>
      <c r="AL133" s="40">
        <f>IF(H133&lt;&gt;"",H133,"")</f>
        <v/>
      </c>
      <c r="AM133" s="41">
        <f>IF(AND(AL133&lt;&gt;"",C133&gt;0),(AL133-C133)/C133,"")</f>
        <v/>
      </c>
      <c r="AN133" s="41">
        <f>IF(AND(AL133&lt;&gt;"",AL133&gt;0),(AL133-C133)/AL133,"")</f>
        <v/>
      </c>
      <c r="AO133" s="40">
        <f>IF(AND(AL133&lt;&gt;"",C133&gt;0),AL133-C133,"")</f>
        <v/>
      </c>
      <c r="AP133" s="41">
        <f>IF(AND(AL133&lt;&gt;"",D133&gt;0),(AL133-D133)/D133,"")</f>
        <v/>
      </c>
      <c r="AQ133" s="41">
        <f>IF(AND(AN133&lt;&gt;"",P133&lt;&gt;""),(AN133-P133)/ABS(IF(P133=0,1,P133)),"")</f>
        <v/>
      </c>
      <c r="AR133" s="40">
        <f>IF(AND(AO133&lt;&gt;"",Q133&lt;&gt;""),AO133-Q133,"")</f>
        <v/>
      </c>
      <c r="AS133" s="44" t="n"/>
      <c r="AT133" s="41">
        <f>IF(AND(AS133&gt;0,C133&gt;0),(AS133-C133)/C133,"")</f>
        <v/>
      </c>
      <c r="AU133" s="41">
        <f>IF(AND(AS133&gt;0,AS133&gt;0),(AS133-C133)/AS133,"")</f>
        <v/>
      </c>
      <c r="AV133" s="40">
        <f>IF(AND(AS133&gt;0,C133&gt;0),AS133-C133,"")</f>
        <v/>
      </c>
      <c r="AW133" s="41">
        <f>IF(AND(AS133&gt;0,D133&gt;0),(AS133-D133)/D133,"")</f>
        <v/>
      </c>
      <c r="AX133" s="41">
        <f>IF(AND(AU133&lt;&gt;"",P133&lt;&gt;""),(AU133-P133)/ABS(IF(P133=0,1,P133)),"")</f>
        <v/>
      </c>
      <c r="AY133" s="40">
        <f>IF(AND(AV133&lt;&gt;"",Q133&lt;&gt;""),AV133-Q133,"")</f>
        <v/>
      </c>
      <c r="AZ133" s="45" t="n"/>
      <c r="BA133" s="40">
        <f>IF(AND(AZ133&gt;0,C133&gt;0),C133/(1-AZ133),"")</f>
        <v/>
      </c>
      <c r="BB133" s="41">
        <f>IF(AND(BA133&lt;&gt;"",C133&gt;0),(BA133-C133)/C133,"")</f>
        <v/>
      </c>
      <c r="BC133" s="41">
        <f>IF(BA133&lt;&gt;"",AZ133,"")</f>
        <v/>
      </c>
      <c r="BD133" s="40">
        <f>IF(AND(BA133&lt;&gt;"",C133&gt;0),BA133-C133,"")</f>
        <v/>
      </c>
      <c r="BE133" s="41">
        <f>IF(AND(BA133&lt;&gt;"",D133&gt;0),(BA133-D133)/D133,"")</f>
        <v/>
      </c>
      <c r="BF133" s="41">
        <f>IF(AND(BC133&lt;&gt;"",P133&lt;&gt;""),(BC133-P133)/ABS(IF(P133=0,1,P133)),"")</f>
        <v/>
      </c>
      <c r="BG133" s="40">
        <f>IF(AND(BD133&lt;&gt;"",Q133&lt;&gt;""),BD133-Q133,"")</f>
        <v/>
      </c>
      <c r="BH133" s="40">
        <f>IF(AND(T133&gt;0,X133&lt;&gt;""),T133*X133,"")</f>
        <v/>
      </c>
      <c r="BI133" s="40">
        <f>IF(AND(T133&gt;0,AA133&lt;&gt;""),T133*AA133,"")</f>
        <v/>
      </c>
      <c r="BJ133" s="40">
        <f>IF(AND(T133&gt;0,AE133&lt;&gt;""),T133*AE133,"")</f>
        <v/>
      </c>
      <c r="BK133" s="40">
        <f>IF(AND(T133&gt;0,AH133&lt;&gt;""),T133*AH133,"")</f>
        <v/>
      </c>
      <c r="BL133" s="40">
        <f>IF(AND(T133&gt;0,AL133&lt;&gt;""),T133*AL133,"")</f>
        <v/>
      </c>
      <c r="BM133" s="40">
        <f>IF(AND(T133&gt;0,AO133&lt;&gt;""),T133*AO133,"")</f>
        <v/>
      </c>
      <c r="BN133" s="40">
        <f>IF(AND(T133&gt;0,AS133&gt;0),T133*AS133,"")</f>
        <v/>
      </c>
      <c r="BO133" s="40">
        <f>IF(AND(T133&gt;0,AV133&lt;&gt;""),T133*AV133,"")</f>
        <v/>
      </c>
      <c r="BP133" s="40">
        <f>IF(AND(T133&gt;0,BA133&lt;&gt;""),T133*BA133,"")</f>
        <v/>
      </c>
      <c r="BQ133" s="40">
        <f>IF(AND(T133&gt;0,BD133&lt;&gt;""),T133*BD133,"")</f>
        <v/>
      </c>
      <c r="BR133" s="46">
        <f>IF(AND(T133&gt;0,V133&gt;0,AA133&lt;&gt;0),V133/AA133-T133,"")</f>
        <v/>
      </c>
      <c r="BS133" s="41">
        <f>IF(AND(BR133&lt;&gt;"",T133&gt;0),BR133/T133,"")</f>
        <v/>
      </c>
      <c r="BT133" s="46">
        <f>IF(AND(T133&gt;0,V133&gt;0,AO133&lt;&gt;0),V133/AO133-T133,"")</f>
        <v/>
      </c>
      <c r="BU133" s="41">
        <f>IF(AND(BT133&lt;&gt;"",T133&gt;0),BT133/T133,"")</f>
        <v/>
      </c>
    </row>
    <row r="134">
      <c r="A134" s="36">
        <f>'📊 Исходные данные'!A133</f>
        <v/>
      </c>
      <c r="B134" s="37">
        <f>'📊 Исходные данные'!B133</f>
        <v/>
      </c>
      <c r="C134" s="38">
        <f>'📊 Исходные данные'!C133</f>
        <v/>
      </c>
      <c r="D134" s="38">
        <f>'📊 Исходные данные'!D133</f>
        <v/>
      </c>
      <c r="E134" s="39">
        <f>IF(OR(D134="",F134=""),"-",IF(D134&gt;F134*1.05,"Выше рынка",IF(D134&lt;F134*0.95,"Ниже рынка","На уровне")))</f>
        <v/>
      </c>
      <c r="F134" s="40">
        <f>IFERROR(AVERAGE('📊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G134" s="40">
        <f>IFERROR(MEDIAN('📊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H134" s="40">
        <f>IFERROR(MIN('📊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I134" s="40">
        <f>IFERROR(MAX('📊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данные'!K133),"")</f>
        <v/>
      </c>
      <c r="J134" s="41">
        <f>IF(AND(D134&lt;&gt;"",F134&lt;&gt;""),(D134-F134)/F134,"")</f>
        <v/>
      </c>
      <c r="K134" s="41">
        <f>IF(AND(D134&lt;&gt;"",G134&lt;&gt;""),(D134-G134)/G134,"")</f>
        <v/>
      </c>
      <c r="L134" s="41">
        <f>IF(AND(D134&lt;&gt;"",H134&lt;&gt;""),(D134-H134)/H134,"")</f>
        <v/>
      </c>
      <c r="M134" s="42">
        <f>IFERROR(RANK(D134,('📊 Исходные данные'!E133,'📊 Исходные данные'!F133,'📊 Исходные данные'!G133,'📊 Исходные данные'!H133,'📊 Исходные данные'!I133,'📊 Исходные данные'!J133,'📊 Исходные данные'!K133)),"")</f>
        <v/>
      </c>
      <c r="N134" s="39">
        <f>IF(M134="","-",IF(M134=1,"Дороже всех",IF(M134=2,"2-й по цене",IF(M134&lt;=4,"Средний","Ниже конкурентов"))))</f>
        <v/>
      </c>
      <c r="O134" s="41">
        <f>IF(AND(C134&gt;0,D134&gt;0),(D134-C134)/C134,"")</f>
        <v/>
      </c>
      <c r="P134" s="41">
        <f>IF(AND(C134&gt;0,D134&gt;0),(D134-C134)/D134,"")</f>
        <v/>
      </c>
      <c r="Q134" s="40">
        <f>IF(AND(C134&gt;0,D134&gt;0),D134-C134,"")</f>
        <v/>
      </c>
      <c r="R134" s="39">
        <f>IF(P134="","-",IF(P134&lt;0.1,"Низкая(&lt;10%)",IF(P134&lt;0.2,"Средняя(10-20%)","Хорошая(&gt;20%)")))</f>
        <v/>
      </c>
      <c r="S134" s="39">
        <f>IF(OR(H134="",C134=""),"-",IF((H134-C134)/H134&lt;0.05,"КРИТИЧНО",IF((H134-C134)/H134&lt;0.15,"УМЕРЕННЫЙ","НИЗКИЙ")))</f>
        <v/>
      </c>
      <c r="T134" s="43" t="n"/>
      <c r="U134" s="40">
        <f>IF(T134&gt;0,T134*D134,"")</f>
        <v/>
      </c>
      <c r="V134" s="40">
        <f>IF(T134&gt;0,T134*Q134,"")</f>
        <v/>
      </c>
      <c r="W134" s="41">
        <f>IF(U134&gt;0,V134/U134,"")</f>
        <v/>
      </c>
      <c r="X134" s="40">
        <f>IF(F134&lt;&gt;"",F134,"")</f>
        <v/>
      </c>
      <c r="Y134" s="41">
        <f>IF(AND(X134&lt;&gt;"",C134&gt;0),(X134-C134)/C134,"")</f>
        <v/>
      </c>
      <c r="Z134" s="41">
        <f>IF(AND(X134&lt;&gt;"",X134&gt;0),(X134-C134)/X134,"")</f>
        <v/>
      </c>
      <c r="AA134" s="40">
        <f>IF(AND(X134&lt;&gt;"",C134&gt;0),X134-C134,"")</f>
        <v/>
      </c>
      <c r="AB134" s="41">
        <f>IF(AND(X134&lt;&gt;"",D134&gt;0),(X134-D134)/D134,"")</f>
        <v/>
      </c>
      <c r="AC134" s="41">
        <f>IF(AND(Z134&lt;&gt;"",P134&lt;&gt;""),(Z134-P134)/ABS(IF(P134=0,1,P134)),"")</f>
        <v/>
      </c>
      <c r="AD134" s="40">
        <f>IF(AND(AA134&lt;&gt;"",Q134&lt;&gt;""),AA134-Q134,"")</f>
        <v/>
      </c>
      <c r="AE134" s="40">
        <f>IF(G134&lt;&gt;"",G134,"")</f>
        <v/>
      </c>
      <c r="AF134" s="41">
        <f>IF(AND(AE134&lt;&gt;"",C134&gt;0),(AE134-C134)/C134,"")</f>
        <v/>
      </c>
      <c r="AG134" s="41">
        <f>IF(AND(AE134&lt;&gt;"",AE134&gt;0),(AE134-C134)/AE134,"")</f>
        <v/>
      </c>
      <c r="AH134" s="40">
        <f>IF(AND(AE134&lt;&gt;"",C134&gt;0),AE134-C134,"")</f>
        <v/>
      </c>
      <c r="AI134" s="41">
        <f>IF(AND(AE134&lt;&gt;"",D134&gt;0),(AE134-D134)/D134,"")</f>
        <v/>
      </c>
      <c r="AJ134" s="41">
        <f>IF(AND(AG134&lt;&gt;"",P134&lt;&gt;""),(AG134-P134)/ABS(IF(P134=0,1,P134)),"")</f>
        <v/>
      </c>
      <c r="AK134" s="40">
        <f>IF(AND(AH134&lt;&gt;"",Q134&lt;&gt;""),AH134-Q134,"")</f>
        <v/>
      </c>
      <c r="AL134" s="40">
        <f>IF(H134&lt;&gt;"",H134,"")</f>
        <v/>
      </c>
      <c r="AM134" s="41">
        <f>IF(AND(AL134&lt;&gt;"",C134&gt;0),(AL134-C134)/C134,"")</f>
        <v/>
      </c>
      <c r="AN134" s="41">
        <f>IF(AND(AL134&lt;&gt;"",AL134&gt;0),(AL134-C134)/AL134,"")</f>
        <v/>
      </c>
      <c r="AO134" s="40">
        <f>IF(AND(AL134&lt;&gt;"",C134&gt;0),AL134-C134,"")</f>
        <v/>
      </c>
      <c r="AP134" s="41">
        <f>IF(AND(AL134&lt;&gt;"",D134&gt;0),(AL134-D134)/D134,"")</f>
        <v/>
      </c>
      <c r="AQ134" s="41">
        <f>IF(AND(AN134&lt;&gt;"",P134&lt;&gt;""),(AN134-P134)/ABS(IF(P134=0,1,P134)),"")</f>
        <v/>
      </c>
      <c r="AR134" s="40">
        <f>IF(AND(AO134&lt;&gt;"",Q134&lt;&gt;""),AO134-Q134,"")</f>
        <v/>
      </c>
      <c r="AS134" s="44" t="n"/>
      <c r="AT134" s="41">
        <f>IF(AND(AS134&gt;0,C134&gt;0),(AS134-C134)/C134,"")</f>
        <v/>
      </c>
      <c r="AU134" s="41">
        <f>IF(AND(AS134&gt;0,AS134&gt;0),(AS134-C134)/AS134,"")</f>
        <v/>
      </c>
      <c r="AV134" s="40">
        <f>IF(AND(AS134&gt;0,C134&gt;0),AS134-C134,"")</f>
        <v/>
      </c>
      <c r="AW134" s="41">
        <f>IF(AND(AS134&gt;0,D134&gt;0),(AS134-D134)/D134,"")</f>
        <v/>
      </c>
      <c r="AX134" s="41">
        <f>IF(AND(AU134&lt;&gt;"",P134&lt;&gt;""),(AU134-P134)/ABS(IF(P134=0,1,P134)),"")</f>
        <v/>
      </c>
      <c r="AY134" s="40">
        <f>IF(AND(AV134&lt;&gt;"",Q134&lt;&gt;""),AV134-Q134,"")</f>
        <v/>
      </c>
      <c r="AZ134" s="45" t="n"/>
      <c r="BA134" s="40">
        <f>IF(AND(AZ134&gt;0,C134&gt;0),C134/(1-AZ134),"")</f>
        <v/>
      </c>
      <c r="BB134" s="41">
        <f>IF(AND(BA134&lt;&gt;"",C134&gt;0),(BA134-C134)/C134,"")</f>
        <v/>
      </c>
      <c r="BC134" s="41">
        <f>IF(BA134&lt;&gt;"",AZ134,"")</f>
        <v/>
      </c>
      <c r="BD134" s="40">
        <f>IF(AND(BA134&lt;&gt;"",C134&gt;0),BA134-C134,"")</f>
        <v/>
      </c>
      <c r="BE134" s="41">
        <f>IF(AND(BA134&lt;&gt;"",D134&gt;0),(BA134-D134)/D134,"")</f>
        <v/>
      </c>
      <c r="BF134" s="41">
        <f>IF(AND(BC134&lt;&gt;"",P134&lt;&gt;""),(BC134-P134)/ABS(IF(P134=0,1,P134)),"")</f>
        <v/>
      </c>
      <c r="BG134" s="40">
        <f>IF(AND(BD134&lt;&gt;"",Q134&lt;&gt;""),BD134-Q134,"")</f>
        <v/>
      </c>
      <c r="BH134" s="40">
        <f>IF(AND(T134&gt;0,X134&lt;&gt;""),T134*X134,"")</f>
        <v/>
      </c>
      <c r="BI134" s="40">
        <f>IF(AND(T134&gt;0,AA134&lt;&gt;""),T134*AA134,"")</f>
        <v/>
      </c>
      <c r="BJ134" s="40">
        <f>IF(AND(T134&gt;0,AE134&lt;&gt;""),T134*AE134,"")</f>
        <v/>
      </c>
      <c r="BK134" s="40">
        <f>IF(AND(T134&gt;0,AH134&lt;&gt;""),T134*AH134,"")</f>
        <v/>
      </c>
      <c r="BL134" s="40">
        <f>IF(AND(T134&gt;0,AL134&lt;&gt;""),T134*AL134,"")</f>
        <v/>
      </c>
      <c r="BM134" s="40">
        <f>IF(AND(T134&gt;0,AO134&lt;&gt;""),T134*AO134,"")</f>
        <v/>
      </c>
      <c r="BN134" s="40">
        <f>IF(AND(T134&gt;0,AS134&gt;0),T134*AS134,"")</f>
        <v/>
      </c>
      <c r="BO134" s="40">
        <f>IF(AND(T134&gt;0,AV134&lt;&gt;""),T134*AV134,"")</f>
        <v/>
      </c>
      <c r="BP134" s="40">
        <f>IF(AND(T134&gt;0,BA134&lt;&gt;""),T134*BA134,"")</f>
        <v/>
      </c>
      <c r="BQ134" s="40">
        <f>IF(AND(T134&gt;0,BD134&lt;&gt;""),T134*BD134,"")</f>
        <v/>
      </c>
      <c r="BR134" s="46">
        <f>IF(AND(T134&gt;0,V134&gt;0,AA134&lt;&gt;0),V134/AA134-T134,"")</f>
        <v/>
      </c>
      <c r="BS134" s="41">
        <f>IF(AND(BR134&lt;&gt;"",T134&gt;0),BR134/T134,"")</f>
        <v/>
      </c>
      <c r="BT134" s="46">
        <f>IF(AND(T134&gt;0,V134&gt;0,AO134&lt;&gt;0),V134/AO134-T134,"")</f>
        <v/>
      </c>
      <c r="BU134" s="41">
        <f>IF(AND(BT134&lt;&gt;"",T134&gt;0),BT134/T134,"")</f>
        <v/>
      </c>
    </row>
    <row r="135">
      <c r="A135" s="36">
        <f>'📊 Исходные данные'!A134</f>
        <v/>
      </c>
      <c r="B135" s="37">
        <f>'📊 Исходные данные'!B134</f>
        <v/>
      </c>
      <c r="C135" s="38">
        <f>'📊 Исходные данные'!C134</f>
        <v/>
      </c>
      <c r="D135" s="38">
        <f>'📊 Исходные данные'!D134</f>
        <v/>
      </c>
      <c r="E135" s="39">
        <f>IF(OR(D135="",F135=""),"-",IF(D135&gt;F135*1.05,"Выше рынка",IF(D135&lt;F135*0.95,"Ниже рынка","На уровне")))</f>
        <v/>
      </c>
      <c r="F135" s="40">
        <f>IFERROR(AVERAGE('📊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G135" s="40">
        <f>IFERROR(MEDIAN('📊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H135" s="40">
        <f>IFERROR(MIN('📊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I135" s="40">
        <f>IFERROR(MAX('📊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данные'!K134),"")</f>
        <v/>
      </c>
      <c r="J135" s="41">
        <f>IF(AND(D135&lt;&gt;"",F135&lt;&gt;""),(D135-F135)/F135,"")</f>
        <v/>
      </c>
      <c r="K135" s="41">
        <f>IF(AND(D135&lt;&gt;"",G135&lt;&gt;""),(D135-G135)/G135,"")</f>
        <v/>
      </c>
      <c r="L135" s="41">
        <f>IF(AND(D135&lt;&gt;"",H135&lt;&gt;""),(D135-H135)/H135,"")</f>
        <v/>
      </c>
      <c r="M135" s="42">
        <f>IFERROR(RANK(D135,('📊 Исходные данные'!E134,'📊 Исходные данные'!F134,'📊 Исходные данные'!G134,'📊 Исходные данные'!H134,'📊 Исходные данные'!I134,'📊 Исходные данные'!J134,'📊 Исходные данные'!K134)),"")</f>
        <v/>
      </c>
      <c r="N135" s="39">
        <f>IF(M135="","-",IF(M135=1,"Дороже всех",IF(M135=2,"2-й по цене",IF(M135&lt;=4,"Средний","Ниже конкурентов"))))</f>
        <v/>
      </c>
      <c r="O135" s="41">
        <f>IF(AND(C135&gt;0,D135&gt;0),(D135-C135)/C135,"")</f>
        <v/>
      </c>
      <c r="P135" s="41">
        <f>IF(AND(C135&gt;0,D135&gt;0),(D135-C135)/D135,"")</f>
        <v/>
      </c>
      <c r="Q135" s="40">
        <f>IF(AND(C135&gt;0,D135&gt;0),D135-C135,"")</f>
        <v/>
      </c>
      <c r="R135" s="39">
        <f>IF(P135="","-",IF(P135&lt;0.1,"Низкая(&lt;10%)",IF(P135&lt;0.2,"Средняя(10-20%)","Хорошая(&gt;20%)")))</f>
        <v/>
      </c>
      <c r="S135" s="39">
        <f>IF(OR(H135="",C135=""),"-",IF((H135-C135)/H135&lt;0.05,"КРИТИЧНО",IF((H135-C135)/H135&lt;0.15,"УМЕРЕННЫЙ","НИЗКИЙ")))</f>
        <v/>
      </c>
      <c r="T135" s="43" t="n"/>
      <c r="U135" s="40">
        <f>IF(T135&gt;0,T135*D135,"")</f>
        <v/>
      </c>
      <c r="V135" s="40">
        <f>IF(T135&gt;0,T135*Q135,"")</f>
        <v/>
      </c>
      <c r="W135" s="41">
        <f>IF(U135&gt;0,V135/U135,"")</f>
        <v/>
      </c>
      <c r="X135" s="40">
        <f>IF(F135&lt;&gt;"",F135,"")</f>
        <v/>
      </c>
      <c r="Y135" s="41">
        <f>IF(AND(X135&lt;&gt;"",C135&gt;0),(X135-C135)/C135,"")</f>
        <v/>
      </c>
      <c r="Z135" s="41">
        <f>IF(AND(X135&lt;&gt;"",X135&gt;0),(X135-C135)/X135,"")</f>
        <v/>
      </c>
      <c r="AA135" s="40">
        <f>IF(AND(X135&lt;&gt;"",C135&gt;0),X135-C135,"")</f>
        <v/>
      </c>
      <c r="AB135" s="41">
        <f>IF(AND(X135&lt;&gt;"",D135&gt;0),(X135-D135)/D135,"")</f>
        <v/>
      </c>
      <c r="AC135" s="41">
        <f>IF(AND(Z135&lt;&gt;"",P135&lt;&gt;""),(Z135-P135)/ABS(IF(P135=0,1,P135)),"")</f>
        <v/>
      </c>
      <c r="AD135" s="40">
        <f>IF(AND(AA135&lt;&gt;"",Q135&lt;&gt;""),AA135-Q135,"")</f>
        <v/>
      </c>
      <c r="AE135" s="40">
        <f>IF(G135&lt;&gt;"",G135,"")</f>
        <v/>
      </c>
      <c r="AF135" s="41">
        <f>IF(AND(AE135&lt;&gt;"",C135&gt;0),(AE135-C135)/C135,"")</f>
        <v/>
      </c>
      <c r="AG135" s="41">
        <f>IF(AND(AE135&lt;&gt;"",AE135&gt;0),(AE135-C135)/AE135,"")</f>
        <v/>
      </c>
      <c r="AH135" s="40">
        <f>IF(AND(AE135&lt;&gt;"",C135&gt;0),AE135-C135,"")</f>
        <v/>
      </c>
      <c r="AI135" s="41">
        <f>IF(AND(AE135&lt;&gt;"",D135&gt;0),(AE135-D135)/D135,"")</f>
        <v/>
      </c>
      <c r="AJ135" s="41">
        <f>IF(AND(AG135&lt;&gt;"",P135&lt;&gt;""),(AG135-P135)/ABS(IF(P135=0,1,P135)),"")</f>
        <v/>
      </c>
      <c r="AK135" s="40">
        <f>IF(AND(AH135&lt;&gt;"",Q135&lt;&gt;""),AH135-Q135,"")</f>
        <v/>
      </c>
      <c r="AL135" s="40">
        <f>IF(H135&lt;&gt;"",H135,"")</f>
        <v/>
      </c>
      <c r="AM135" s="41">
        <f>IF(AND(AL135&lt;&gt;"",C135&gt;0),(AL135-C135)/C135,"")</f>
        <v/>
      </c>
      <c r="AN135" s="41">
        <f>IF(AND(AL135&lt;&gt;"",AL135&gt;0),(AL135-C135)/AL135,"")</f>
        <v/>
      </c>
      <c r="AO135" s="40">
        <f>IF(AND(AL135&lt;&gt;"",C135&gt;0),AL135-C135,"")</f>
        <v/>
      </c>
      <c r="AP135" s="41">
        <f>IF(AND(AL135&lt;&gt;"",D135&gt;0),(AL135-D135)/D135,"")</f>
        <v/>
      </c>
      <c r="AQ135" s="41">
        <f>IF(AND(AN135&lt;&gt;"",P135&lt;&gt;""),(AN135-P135)/ABS(IF(P135=0,1,P135)),"")</f>
        <v/>
      </c>
      <c r="AR135" s="40">
        <f>IF(AND(AO135&lt;&gt;"",Q135&lt;&gt;""),AO135-Q135,"")</f>
        <v/>
      </c>
      <c r="AS135" s="44" t="n"/>
      <c r="AT135" s="41">
        <f>IF(AND(AS135&gt;0,C135&gt;0),(AS135-C135)/C135,"")</f>
        <v/>
      </c>
      <c r="AU135" s="41">
        <f>IF(AND(AS135&gt;0,AS135&gt;0),(AS135-C135)/AS135,"")</f>
        <v/>
      </c>
      <c r="AV135" s="40">
        <f>IF(AND(AS135&gt;0,C135&gt;0),AS135-C135,"")</f>
        <v/>
      </c>
      <c r="AW135" s="41">
        <f>IF(AND(AS135&gt;0,D135&gt;0),(AS135-D135)/D135,"")</f>
        <v/>
      </c>
      <c r="AX135" s="41">
        <f>IF(AND(AU135&lt;&gt;"",P135&lt;&gt;""),(AU135-P135)/ABS(IF(P135=0,1,P135)),"")</f>
        <v/>
      </c>
      <c r="AY135" s="40">
        <f>IF(AND(AV135&lt;&gt;"",Q135&lt;&gt;""),AV135-Q135,"")</f>
        <v/>
      </c>
      <c r="AZ135" s="45" t="n"/>
      <c r="BA135" s="40">
        <f>IF(AND(AZ135&gt;0,C135&gt;0),C135/(1-AZ135),"")</f>
        <v/>
      </c>
      <c r="BB135" s="41">
        <f>IF(AND(BA135&lt;&gt;"",C135&gt;0),(BA135-C135)/C135,"")</f>
        <v/>
      </c>
      <c r="BC135" s="41">
        <f>IF(BA135&lt;&gt;"",AZ135,"")</f>
        <v/>
      </c>
      <c r="BD135" s="40">
        <f>IF(AND(BA135&lt;&gt;"",C135&gt;0),BA135-C135,"")</f>
        <v/>
      </c>
      <c r="BE135" s="41">
        <f>IF(AND(BA135&lt;&gt;"",D135&gt;0),(BA135-D135)/D135,"")</f>
        <v/>
      </c>
      <c r="BF135" s="41">
        <f>IF(AND(BC135&lt;&gt;"",P135&lt;&gt;""),(BC135-P135)/ABS(IF(P135=0,1,P135)),"")</f>
        <v/>
      </c>
      <c r="BG135" s="40">
        <f>IF(AND(BD135&lt;&gt;"",Q135&lt;&gt;""),BD135-Q135,"")</f>
        <v/>
      </c>
      <c r="BH135" s="40">
        <f>IF(AND(T135&gt;0,X135&lt;&gt;""),T135*X135,"")</f>
        <v/>
      </c>
      <c r="BI135" s="40">
        <f>IF(AND(T135&gt;0,AA135&lt;&gt;""),T135*AA135,"")</f>
        <v/>
      </c>
      <c r="BJ135" s="40">
        <f>IF(AND(T135&gt;0,AE135&lt;&gt;""),T135*AE135,"")</f>
        <v/>
      </c>
      <c r="BK135" s="40">
        <f>IF(AND(T135&gt;0,AH135&lt;&gt;""),T135*AH135,"")</f>
        <v/>
      </c>
      <c r="BL135" s="40">
        <f>IF(AND(T135&gt;0,AL135&lt;&gt;""),T135*AL135,"")</f>
        <v/>
      </c>
      <c r="BM135" s="40">
        <f>IF(AND(T135&gt;0,AO135&lt;&gt;""),T135*AO135,"")</f>
        <v/>
      </c>
      <c r="BN135" s="40">
        <f>IF(AND(T135&gt;0,AS135&gt;0),T135*AS135,"")</f>
        <v/>
      </c>
      <c r="BO135" s="40">
        <f>IF(AND(T135&gt;0,AV135&lt;&gt;""),T135*AV135,"")</f>
        <v/>
      </c>
      <c r="BP135" s="40">
        <f>IF(AND(T135&gt;0,BA135&lt;&gt;""),T135*BA135,"")</f>
        <v/>
      </c>
      <c r="BQ135" s="40">
        <f>IF(AND(T135&gt;0,BD135&lt;&gt;""),T135*BD135,"")</f>
        <v/>
      </c>
      <c r="BR135" s="46">
        <f>IF(AND(T135&gt;0,V135&gt;0,AA135&lt;&gt;0),V135/AA135-T135,"")</f>
        <v/>
      </c>
      <c r="BS135" s="41">
        <f>IF(AND(BR135&lt;&gt;"",T135&gt;0),BR135/T135,"")</f>
        <v/>
      </c>
      <c r="BT135" s="46">
        <f>IF(AND(T135&gt;0,V135&gt;0,AO135&lt;&gt;0),V135/AO135-T135,"")</f>
        <v/>
      </c>
      <c r="BU135" s="41">
        <f>IF(AND(BT135&lt;&gt;"",T135&gt;0),BT135/T135,"")</f>
        <v/>
      </c>
    </row>
    <row r="136">
      <c r="A136" s="36">
        <f>'📊 Исходные данные'!A135</f>
        <v/>
      </c>
      <c r="B136" s="37">
        <f>'📊 Исходные данные'!B135</f>
        <v/>
      </c>
      <c r="C136" s="38">
        <f>'📊 Исходные данные'!C135</f>
        <v/>
      </c>
      <c r="D136" s="38">
        <f>'📊 Исходные данные'!D135</f>
        <v/>
      </c>
      <c r="E136" s="39">
        <f>IF(OR(D136="",F136=""),"-",IF(D136&gt;F136*1.05,"Выше рынка",IF(D136&lt;F136*0.95,"Ниже рынка","На уровне")))</f>
        <v/>
      </c>
      <c r="F136" s="40">
        <f>IFERROR(AVERAGE('📊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G136" s="40">
        <f>IFERROR(MEDIAN('📊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H136" s="40">
        <f>IFERROR(MIN('📊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I136" s="40">
        <f>IFERROR(MAX('📊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данные'!K135),"")</f>
        <v/>
      </c>
      <c r="J136" s="41">
        <f>IF(AND(D136&lt;&gt;"",F136&lt;&gt;""),(D136-F136)/F136,"")</f>
        <v/>
      </c>
      <c r="K136" s="41">
        <f>IF(AND(D136&lt;&gt;"",G136&lt;&gt;""),(D136-G136)/G136,"")</f>
        <v/>
      </c>
      <c r="L136" s="41">
        <f>IF(AND(D136&lt;&gt;"",H136&lt;&gt;""),(D136-H136)/H136,"")</f>
        <v/>
      </c>
      <c r="M136" s="42">
        <f>IFERROR(RANK(D136,('📊 Исходные данные'!E135,'📊 Исходные данные'!F135,'📊 Исходные данные'!G135,'📊 Исходные данные'!H135,'📊 Исходные данные'!I135,'📊 Исходные данные'!J135,'📊 Исходные данные'!K135)),"")</f>
        <v/>
      </c>
      <c r="N136" s="39">
        <f>IF(M136="","-",IF(M136=1,"Дороже всех",IF(M136=2,"2-й по цене",IF(M136&lt;=4,"Средний","Ниже конкурентов"))))</f>
        <v/>
      </c>
      <c r="O136" s="41">
        <f>IF(AND(C136&gt;0,D136&gt;0),(D136-C136)/C136,"")</f>
        <v/>
      </c>
      <c r="P136" s="41">
        <f>IF(AND(C136&gt;0,D136&gt;0),(D136-C136)/D136,"")</f>
        <v/>
      </c>
      <c r="Q136" s="40">
        <f>IF(AND(C136&gt;0,D136&gt;0),D136-C136,"")</f>
        <v/>
      </c>
      <c r="R136" s="39">
        <f>IF(P136="","-",IF(P136&lt;0.1,"Низкая(&lt;10%)",IF(P136&lt;0.2,"Средняя(10-20%)","Хорошая(&gt;20%)")))</f>
        <v/>
      </c>
      <c r="S136" s="39">
        <f>IF(OR(H136="",C136=""),"-",IF((H136-C136)/H136&lt;0.05,"КРИТИЧНО",IF((H136-C136)/H136&lt;0.15,"УМЕРЕННЫЙ","НИЗКИЙ")))</f>
        <v/>
      </c>
      <c r="T136" s="43" t="n"/>
      <c r="U136" s="40">
        <f>IF(T136&gt;0,T136*D136,"")</f>
        <v/>
      </c>
      <c r="V136" s="40">
        <f>IF(T136&gt;0,T136*Q136,"")</f>
        <v/>
      </c>
      <c r="W136" s="41">
        <f>IF(U136&gt;0,V136/U136,"")</f>
        <v/>
      </c>
      <c r="X136" s="40">
        <f>IF(F136&lt;&gt;"",F136,"")</f>
        <v/>
      </c>
      <c r="Y136" s="41">
        <f>IF(AND(X136&lt;&gt;"",C136&gt;0),(X136-C136)/C136,"")</f>
        <v/>
      </c>
      <c r="Z136" s="41">
        <f>IF(AND(X136&lt;&gt;"",X136&gt;0),(X136-C136)/X136,"")</f>
        <v/>
      </c>
      <c r="AA136" s="40">
        <f>IF(AND(X136&lt;&gt;"",C136&gt;0),X136-C136,"")</f>
        <v/>
      </c>
      <c r="AB136" s="41">
        <f>IF(AND(X136&lt;&gt;"",D136&gt;0),(X136-D136)/D136,"")</f>
        <v/>
      </c>
      <c r="AC136" s="41">
        <f>IF(AND(Z136&lt;&gt;"",P136&lt;&gt;""),(Z136-P136)/ABS(IF(P136=0,1,P136)),"")</f>
        <v/>
      </c>
      <c r="AD136" s="40">
        <f>IF(AND(AA136&lt;&gt;"",Q136&lt;&gt;""),AA136-Q136,"")</f>
        <v/>
      </c>
      <c r="AE136" s="40">
        <f>IF(G136&lt;&gt;"",G136,"")</f>
        <v/>
      </c>
      <c r="AF136" s="41">
        <f>IF(AND(AE136&lt;&gt;"",C136&gt;0),(AE136-C136)/C136,"")</f>
        <v/>
      </c>
      <c r="AG136" s="41">
        <f>IF(AND(AE136&lt;&gt;"",AE136&gt;0),(AE136-C136)/AE136,"")</f>
        <v/>
      </c>
      <c r="AH136" s="40">
        <f>IF(AND(AE136&lt;&gt;"",C136&gt;0),AE136-C136,"")</f>
        <v/>
      </c>
      <c r="AI136" s="41">
        <f>IF(AND(AE136&lt;&gt;"",D136&gt;0),(AE136-D136)/D136,"")</f>
        <v/>
      </c>
      <c r="AJ136" s="41">
        <f>IF(AND(AG136&lt;&gt;"",P136&lt;&gt;""),(AG136-P136)/ABS(IF(P136=0,1,P136)),"")</f>
        <v/>
      </c>
      <c r="AK136" s="40">
        <f>IF(AND(AH136&lt;&gt;"",Q136&lt;&gt;""),AH136-Q136,"")</f>
        <v/>
      </c>
      <c r="AL136" s="40">
        <f>IF(H136&lt;&gt;"",H136,"")</f>
        <v/>
      </c>
      <c r="AM136" s="41">
        <f>IF(AND(AL136&lt;&gt;"",C136&gt;0),(AL136-C136)/C136,"")</f>
        <v/>
      </c>
      <c r="AN136" s="41">
        <f>IF(AND(AL136&lt;&gt;"",AL136&gt;0),(AL136-C136)/AL136,"")</f>
        <v/>
      </c>
      <c r="AO136" s="40">
        <f>IF(AND(AL136&lt;&gt;"",C136&gt;0),AL136-C136,"")</f>
        <v/>
      </c>
      <c r="AP136" s="41">
        <f>IF(AND(AL136&lt;&gt;"",D136&gt;0),(AL136-D136)/D136,"")</f>
        <v/>
      </c>
      <c r="AQ136" s="41">
        <f>IF(AND(AN136&lt;&gt;"",P136&lt;&gt;""),(AN136-P136)/ABS(IF(P136=0,1,P136)),"")</f>
        <v/>
      </c>
      <c r="AR136" s="40">
        <f>IF(AND(AO136&lt;&gt;"",Q136&lt;&gt;""),AO136-Q136,"")</f>
        <v/>
      </c>
      <c r="AS136" s="44" t="n"/>
      <c r="AT136" s="41">
        <f>IF(AND(AS136&gt;0,C136&gt;0),(AS136-C136)/C136,"")</f>
        <v/>
      </c>
      <c r="AU136" s="41">
        <f>IF(AND(AS136&gt;0,AS136&gt;0),(AS136-C136)/AS136,"")</f>
        <v/>
      </c>
      <c r="AV136" s="40">
        <f>IF(AND(AS136&gt;0,C136&gt;0),AS136-C136,"")</f>
        <v/>
      </c>
      <c r="AW136" s="41">
        <f>IF(AND(AS136&gt;0,D136&gt;0),(AS136-D136)/D136,"")</f>
        <v/>
      </c>
      <c r="AX136" s="41">
        <f>IF(AND(AU136&lt;&gt;"",P136&lt;&gt;""),(AU136-P136)/ABS(IF(P136=0,1,P136)),"")</f>
        <v/>
      </c>
      <c r="AY136" s="40">
        <f>IF(AND(AV136&lt;&gt;"",Q136&lt;&gt;""),AV136-Q136,"")</f>
        <v/>
      </c>
      <c r="AZ136" s="45" t="n"/>
      <c r="BA136" s="40">
        <f>IF(AND(AZ136&gt;0,C136&gt;0),C136/(1-AZ136),"")</f>
        <v/>
      </c>
      <c r="BB136" s="41">
        <f>IF(AND(BA136&lt;&gt;"",C136&gt;0),(BA136-C136)/C136,"")</f>
        <v/>
      </c>
      <c r="BC136" s="41">
        <f>IF(BA136&lt;&gt;"",AZ136,"")</f>
        <v/>
      </c>
      <c r="BD136" s="40">
        <f>IF(AND(BA136&lt;&gt;"",C136&gt;0),BA136-C136,"")</f>
        <v/>
      </c>
      <c r="BE136" s="41">
        <f>IF(AND(BA136&lt;&gt;"",D136&gt;0),(BA136-D136)/D136,"")</f>
        <v/>
      </c>
      <c r="BF136" s="41">
        <f>IF(AND(BC136&lt;&gt;"",P136&lt;&gt;""),(BC136-P136)/ABS(IF(P136=0,1,P136)),"")</f>
        <v/>
      </c>
      <c r="BG136" s="40">
        <f>IF(AND(BD136&lt;&gt;"",Q136&lt;&gt;""),BD136-Q136,"")</f>
        <v/>
      </c>
      <c r="BH136" s="40">
        <f>IF(AND(T136&gt;0,X136&lt;&gt;""),T136*X136,"")</f>
        <v/>
      </c>
      <c r="BI136" s="40">
        <f>IF(AND(T136&gt;0,AA136&lt;&gt;""),T136*AA136,"")</f>
        <v/>
      </c>
      <c r="BJ136" s="40">
        <f>IF(AND(T136&gt;0,AE136&lt;&gt;""),T136*AE136,"")</f>
        <v/>
      </c>
      <c r="BK136" s="40">
        <f>IF(AND(T136&gt;0,AH136&lt;&gt;""),T136*AH136,"")</f>
        <v/>
      </c>
      <c r="BL136" s="40">
        <f>IF(AND(T136&gt;0,AL136&lt;&gt;""),T136*AL136,"")</f>
        <v/>
      </c>
      <c r="BM136" s="40">
        <f>IF(AND(T136&gt;0,AO136&lt;&gt;""),T136*AO136,"")</f>
        <v/>
      </c>
      <c r="BN136" s="40">
        <f>IF(AND(T136&gt;0,AS136&gt;0),T136*AS136,"")</f>
        <v/>
      </c>
      <c r="BO136" s="40">
        <f>IF(AND(T136&gt;0,AV136&lt;&gt;""),T136*AV136,"")</f>
        <v/>
      </c>
      <c r="BP136" s="40">
        <f>IF(AND(T136&gt;0,BA136&lt;&gt;""),T136*BA136,"")</f>
        <v/>
      </c>
      <c r="BQ136" s="40">
        <f>IF(AND(T136&gt;0,BD136&lt;&gt;""),T136*BD136,"")</f>
        <v/>
      </c>
      <c r="BR136" s="46">
        <f>IF(AND(T136&gt;0,V136&gt;0,AA136&lt;&gt;0),V136/AA136-T136,"")</f>
        <v/>
      </c>
      <c r="BS136" s="41">
        <f>IF(AND(BR136&lt;&gt;"",T136&gt;0),BR136/T136,"")</f>
        <v/>
      </c>
      <c r="BT136" s="46">
        <f>IF(AND(T136&gt;0,V136&gt;0,AO136&lt;&gt;0),V136/AO136-T136,"")</f>
        <v/>
      </c>
      <c r="BU136" s="41">
        <f>IF(AND(BT136&lt;&gt;"",T136&gt;0),BT136/T136,"")</f>
        <v/>
      </c>
    </row>
    <row r="137">
      <c r="A137" s="36">
        <f>'📊 Исходные данные'!A136</f>
        <v/>
      </c>
      <c r="B137" s="37">
        <f>'📊 Исходные данные'!B136</f>
        <v/>
      </c>
      <c r="C137" s="38">
        <f>'📊 Исходные данные'!C136</f>
        <v/>
      </c>
      <c r="D137" s="38">
        <f>'📊 Исходные данные'!D136</f>
        <v/>
      </c>
      <c r="E137" s="39">
        <f>IF(OR(D137="",F137=""),"-",IF(D137&gt;F137*1.05,"Выше рынка",IF(D137&lt;F137*0.95,"Ниже рынка","На уровне")))</f>
        <v/>
      </c>
      <c r="F137" s="40">
        <f>IFERROR(AVERAGE('📊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G137" s="40">
        <f>IFERROR(MEDIAN('📊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H137" s="40">
        <f>IFERROR(MIN('📊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I137" s="40">
        <f>IFERROR(MAX('📊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данные'!K136),"")</f>
        <v/>
      </c>
      <c r="J137" s="41">
        <f>IF(AND(D137&lt;&gt;"",F137&lt;&gt;""),(D137-F137)/F137,"")</f>
        <v/>
      </c>
      <c r="K137" s="41">
        <f>IF(AND(D137&lt;&gt;"",G137&lt;&gt;""),(D137-G137)/G137,"")</f>
        <v/>
      </c>
      <c r="L137" s="41">
        <f>IF(AND(D137&lt;&gt;"",H137&lt;&gt;""),(D137-H137)/H137,"")</f>
        <v/>
      </c>
      <c r="M137" s="42">
        <f>IFERROR(RANK(D137,('📊 Исходные данные'!E136,'📊 Исходные данные'!F136,'📊 Исходные данные'!G136,'📊 Исходные данные'!H136,'📊 Исходные данные'!I136,'📊 Исходные данные'!J136,'📊 Исходные данные'!K136)),"")</f>
        <v/>
      </c>
      <c r="N137" s="39">
        <f>IF(M137="","-",IF(M137=1,"Дороже всех",IF(M137=2,"2-й по цене",IF(M137&lt;=4,"Средний","Ниже конкурентов"))))</f>
        <v/>
      </c>
      <c r="O137" s="41">
        <f>IF(AND(C137&gt;0,D137&gt;0),(D137-C137)/C137,"")</f>
        <v/>
      </c>
      <c r="P137" s="41">
        <f>IF(AND(C137&gt;0,D137&gt;0),(D137-C137)/D137,"")</f>
        <v/>
      </c>
      <c r="Q137" s="40">
        <f>IF(AND(C137&gt;0,D137&gt;0),D137-C137,"")</f>
        <v/>
      </c>
      <c r="R137" s="39">
        <f>IF(P137="","-",IF(P137&lt;0.1,"Низкая(&lt;10%)",IF(P137&lt;0.2,"Средняя(10-20%)","Хорошая(&gt;20%)")))</f>
        <v/>
      </c>
      <c r="S137" s="39">
        <f>IF(OR(H137="",C137=""),"-",IF((H137-C137)/H137&lt;0.05,"КРИТИЧНО",IF((H137-C137)/H137&lt;0.15,"УМЕРЕННЫЙ","НИЗКИЙ")))</f>
        <v/>
      </c>
      <c r="T137" s="43" t="n"/>
      <c r="U137" s="40">
        <f>IF(T137&gt;0,T137*D137,"")</f>
        <v/>
      </c>
      <c r="V137" s="40">
        <f>IF(T137&gt;0,T137*Q137,"")</f>
        <v/>
      </c>
      <c r="W137" s="41">
        <f>IF(U137&gt;0,V137/U137,"")</f>
        <v/>
      </c>
      <c r="X137" s="40">
        <f>IF(F137&lt;&gt;"",F137,"")</f>
        <v/>
      </c>
      <c r="Y137" s="41">
        <f>IF(AND(X137&lt;&gt;"",C137&gt;0),(X137-C137)/C137,"")</f>
        <v/>
      </c>
      <c r="Z137" s="41">
        <f>IF(AND(X137&lt;&gt;"",X137&gt;0),(X137-C137)/X137,"")</f>
        <v/>
      </c>
      <c r="AA137" s="40">
        <f>IF(AND(X137&lt;&gt;"",C137&gt;0),X137-C137,"")</f>
        <v/>
      </c>
      <c r="AB137" s="41">
        <f>IF(AND(X137&lt;&gt;"",D137&gt;0),(X137-D137)/D137,"")</f>
        <v/>
      </c>
      <c r="AC137" s="41">
        <f>IF(AND(Z137&lt;&gt;"",P137&lt;&gt;""),(Z137-P137)/ABS(IF(P137=0,1,P137)),"")</f>
        <v/>
      </c>
      <c r="AD137" s="40">
        <f>IF(AND(AA137&lt;&gt;"",Q137&lt;&gt;""),AA137-Q137,"")</f>
        <v/>
      </c>
      <c r="AE137" s="40">
        <f>IF(G137&lt;&gt;"",G137,"")</f>
        <v/>
      </c>
      <c r="AF137" s="41">
        <f>IF(AND(AE137&lt;&gt;"",C137&gt;0),(AE137-C137)/C137,"")</f>
        <v/>
      </c>
      <c r="AG137" s="41">
        <f>IF(AND(AE137&lt;&gt;"",AE137&gt;0),(AE137-C137)/AE137,"")</f>
        <v/>
      </c>
      <c r="AH137" s="40">
        <f>IF(AND(AE137&lt;&gt;"",C137&gt;0),AE137-C137,"")</f>
        <v/>
      </c>
      <c r="AI137" s="41">
        <f>IF(AND(AE137&lt;&gt;"",D137&gt;0),(AE137-D137)/D137,"")</f>
        <v/>
      </c>
      <c r="AJ137" s="41">
        <f>IF(AND(AG137&lt;&gt;"",P137&lt;&gt;""),(AG137-P137)/ABS(IF(P137=0,1,P137)),"")</f>
        <v/>
      </c>
      <c r="AK137" s="40">
        <f>IF(AND(AH137&lt;&gt;"",Q137&lt;&gt;""),AH137-Q137,"")</f>
        <v/>
      </c>
      <c r="AL137" s="40">
        <f>IF(H137&lt;&gt;"",H137,"")</f>
        <v/>
      </c>
      <c r="AM137" s="41">
        <f>IF(AND(AL137&lt;&gt;"",C137&gt;0),(AL137-C137)/C137,"")</f>
        <v/>
      </c>
      <c r="AN137" s="41">
        <f>IF(AND(AL137&lt;&gt;"",AL137&gt;0),(AL137-C137)/AL137,"")</f>
        <v/>
      </c>
      <c r="AO137" s="40">
        <f>IF(AND(AL137&lt;&gt;"",C137&gt;0),AL137-C137,"")</f>
        <v/>
      </c>
      <c r="AP137" s="41">
        <f>IF(AND(AL137&lt;&gt;"",D137&gt;0),(AL137-D137)/D137,"")</f>
        <v/>
      </c>
      <c r="AQ137" s="41">
        <f>IF(AND(AN137&lt;&gt;"",P137&lt;&gt;""),(AN137-P137)/ABS(IF(P137=0,1,P137)),"")</f>
        <v/>
      </c>
      <c r="AR137" s="40">
        <f>IF(AND(AO137&lt;&gt;"",Q137&lt;&gt;""),AO137-Q137,"")</f>
        <v/>
      </c>
      <c r="AS137" s="44" t="n"/>
      <c r="AT137" s="41">
        <f>IF(AND(AS137&gt;0,C137&gt;0),(AS137-C137)/C137,"")</f>
        <v/>
      </c>
      <c r="AU137" s="41">
        <f>IF(AND(AS137&gt;0,AS137&gt;0),(AS137-C137)/AS137,"")</f>
        <v/>
      </c>
      <c r="AV137" s="40">
        <f>IF(AND(AS137&gt;0,C137&gt;0),AS137-C137,"")</f>
        <v/>
      </c>
      <c r="AW137" s="41">
        <f>IF(AND(AS137&gt;0,D137&gt;0),(AS137-D137)/D137,"")</f>
        <v/>
      </c>
      <c r="AX137" s="41">
        <f>IF(AND(AU137&lt;&gt;"",P137&lt;&gt;""),(AU137-P137)/ABS(IF(P137=0,1,P137)),"")</f>
        <v/>
      </c>
      <c r="AY137" s="40">
        <f>IF(AND(AV137&lt;&gt;"",Q137&lt;&gt;""),AV137-Q137,"")</f>
        <v/>
      </c>
      <c r="AZ137" s="45" t="n"/>
      <c r="BA137" s="40">
        <f>IF(AND(AZ137&gt;0,C137&gt;0),C137/(1-AZ137),"")</f>
        <v/>
      </c>
      <c r="BB137" s="41">
        <f>IF(AND(BA137&lt;&gt;"",C137&gt;0),(BA137-C137)/C137,"")</f>
        <v/>
      </c>
      <c r="BC137" s="41">
        <f>IF(BA137&lt;&gt;"",AZ137,"")</f>
        <v/>
      </c>
      <c r="BD137" s="40">
        <f>IF(AND(BA137&lt;&gt;"",C137&gt;0),BA137-C137,"")</f>
        <v/>
      </c>
      <c r="BE137" s="41">
        <f>IF(AND(BA137&lt;&gt;"",D137&gt;0),(BA137-D137)/D137,"")</f>
        <v/>
      </c>
      <c r="BF137" s="41">
        <f>IF(AND(BC137&lt;&gt;"",P137&lt;&gt;""),(BC137-P137)/ABS(IF(P137=0,1,P137)),"")</f>
        <v/>
      </c>
      <c r="BG137" s="40">
        <f>IF(AND(BD137&lt;&gt;"",Q137&lt;&gt;""),BD137-Q137,"")</f>
        <v/>
      </c>
      <c r="BH137" s="40">
        <f>IF(AND(T137&gt;0,X137&lt;&gt;""),T137*X137,"")</f>
        <v/>
      </c>
      <c r="BI137" s="40">
        <f>IF(AND(T137&gt;0,AA137&lt;&gt;""),T137*AA137,"")</f>
        <v/>
      </c>
      <c r="BJ137" s="40">
        <f>IF(AND(T137&gt;0,AE137&lt;&gt;""),T137*AE137,"")</f>
        <v/>
      </c>
      <c r="BK137" s="40">
        <f>IF(AND(T137&gt;0,AH137&lt;&gt;""),T137*AH137,"")</f>
        <v/>
      </c>
      <c r="BL137" s="40">
        <f>IF(AND(T137&gt;0,AL137&lt;&gt;""),T137*AL137,"")</f>
        <v/>
      </c>
      <c r="BM137" s="40">
        <f>IF(AND(T137&gt;0,AO137&lt;&gt;""),T137*AO137,"")</f>
        <v/>
      </c>
      <c r="BN137" s="40">
        <f>IF(AND(T137&gt;0,AS137&gt;0),T137*AS137,"")</f>
        <v/>
      </c>
      <c r="BO137" s="40">
        <f>IF(AND(T137&gt;0,AV137&lt;&gt;""),T137*AV137,"")</f>
        <v/>
      </c>
      <c r="BP137" s="40">
        <f>IF(AND(T137&gt;0,BA137&lt;&gt;""),T137*BA137,"")</f>
        <v/>
      </c>
      <c r="BQ137" s="40">
        <f>IF(AND(T137&gt;0,BD137&lt;&gt;""),T137*BD137,"")</f>
        <v/>
      </c>
      <c r="BR137" s="46">
        <f>IF(AND(T137&gt;0,V137&gt;0,AA137&lt;&gt;0),V137/AA137-T137,"")</f>
        <v/>
      </c>
      <c r="BS137" s="41">
        <f>IF(AND(BR137&lt;&gt;"",T137&gt;0),BR137/T137,"")</f>
        <v/>
      </c>
      <c r="BT137" s="46">
        <f>IF(AND(T137&gt;0,V137&gt;0,AO137&lt;&gt;0),V137/AO137-T137,"")</f>
        <v/>
      </c>
      <c r="BU137" s="41">
        <f>IF(AND(BT137&lt;&gt;"",T137&gt;0),BT137/T137,"")</f>
        <v/>
      </c>
    </row>
    <row r="138">
      <c r="A138" s="36">
        <f>'📊 Исходные данные'!A137</f>
        <v/>
      </c>
      <c r="B138" s="37">
        <f>'📊 Исходные данные'!B137</f>
        <v/>
      </c>
      <c r="C138" s="38">
        <f>'📊 Исходные данные'!C137</f>
        <v/>
      </c>
      <c r="D138" s="38">
        <f>'📊 Исходные данные'!D137</f>
        <v/>
      </c>
      <c r="E138" s="39">
        <f>IF(OR(D138="",F138=""),"-",IF(D138&gt;F138*1.05,"Выше рынка",IF(D138&lt;F138*0.95,"Ниже рынка","На уровне")))</f>
        <v/>
      </c>
      <c r="F138" s="40">
        <f>IFERROR(AVERAGE('📊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G138" s="40">
        <f>IFERROR(MEDIAN('📊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H138" s="40">
        <f>IFERROR(MIN('📊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I138" s="40">
        <f>IFERROR(MAX('📊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данные'!K137),"")</f>
        <v/>
      </c>
      <c r="J138" s="41">
        <f>IF(AND(D138&lt;&gt;"",F138&lt;&gt;""),(D138-F138)/F138,"")</f>
        <v/>
      </c>
      <c r="K138" s="41">
        <f>IF(AND(D138&lt;&gt;"",G138&lt;&gt;""),(D138-G138)/G138,"")</f>
        <v/>
      </c>
      <c r="L138" s="41">
        <f>IF(AND(D138&lt;&gt;"",H138&lt;&gt;""),(D138-H138)/H138,"")</f>
        <v/>
      </c>
      <c r="M138" s="42">
        <f>IFERROR(RANK(D138,('📊 Исходные данные'!E137,'📊 Исходные данные'!F137,'📊 Исходные данные'!G137,'📊 Исходные данные'!H137,'📊 Исходные данные'!I137,'📊 Исходные данные'!J137,'📊 Исходные данные'!K137)),"")</f>
        <v/>
      </c>
      <c r="N138" s="39">
        <f>IF(M138="","-",IF(M138=1,"Дороже всех",IF(M138=2,"2-й по цене",IF(M138&lt;=4,"Средний","Ниже конкурентов"))))</f>
        <v/>
      </c>
      <c r="O138" s="41">
        <f>IF(AND(C138&gt;0,D138&gt;0),(D138-C138)/C138,"")</f>
        <v/>
      </c>
      <c r="P138" s="41">
        <f>IF(AND(C138&gt;0,D138&gt;0),(D138-C138)/D138,"")</f>
        <v/>
      </c>
      <c r="Q138" s="40">
        <f>IF(AND(C138&gt;0,D138&gt;0),D138-C138,"")</f>
        <v/>
      </c>
      <c r="R138" s="39">
        <f>IF(P138="","-",IF(P138&lt;0.1,"Низкая(&lt;10%)",IF(P138&lt;0.2,"Средняя(10-20%)","Хорошая(&gt;20%)")))</f>
        <v/>
      </c>
      <c r="S138" s="39">
        <f>IF(OR(H138="",C138=""),"-",IF((H138-C138)/H138&lt;0.05,"КРИТИЧНО",IF((H138-C138)/H138&lt;0.15,"УМЕРЕННЫЙ","НИЗКИЙ")))</f>
        <v/>
      </c>
      <c r="T138" s="43" t="n"/>
      <c r="U138" s="40">
        <f>IF(T138&gt;0,T138*D138,"")</f>
        <v/>
      </c>
      <c r="V138" s="40">
        <f>IF(T138&gt;0,T138*Q138,"")</f>
        <v/>
      </c>
      <c r="W138" s="41">
        <f>IF(U138&gt;0,V138/U138,"")</f>
        <v/>
      </c>
      <c r="X138" s="40">
        <f>IF(F138&lt;&gt;"",F138,"")</f>
        <v/>
      </c>
      <c r="Y138" s="41">
        <f>IF(AND(X138&lt;&gt;"",C138&gt;0),(X138-C138)/C138,"")</f>
        <v/>
      </c>
      <c r="Z138" s="41">
        <f>IF(AND(X138&lt;&gt;"",X138&gt;0),(X138-C138)/X138,"")</f>
        <v/>
      </c>
      <c r="AA138" s="40">
        <f>IF(AND(X138&lt;&gt;"",C138&gt;0),X138-C138,"")</f>
        <v/>
      </c>
      <c r="AB138" s="41">
        <f>IF(AND(X138&lt;&gt;"",D138&gt;0),(X138-D138)/D138,"")</f>
        <v/>
      </c>
      <c r="AC138" s="41">
        <f>IF(AND(Z138&lt;&gt;"",P138&lt;&gt;""),(Z138-P138)/ABS(IF(P138=0,1,P138)),"")</f>
        <v/>
      </c>
      <c r="AD138" s="40">
        <f>IF(AND(AA138&lt;&gt;"",Q138&lt;&gt;""),AA138-Q138,"")</f>
        <v/>
      </c>
      <c r="AE138" s="40">
        <f>IF(G138&lt;&gt;"",G138,"")</f>
        <v/>
      </c>
      <c r="AF138" s="41">
        <f>IF(AND(AE138&lt;&gt;"",C138&gt;0),(AE138-C138)/C138,"")</f>
        <v/>
      </c>
      <c r="AG138" s="41">
        <f>IF(AND(AE138&lt;&gt;"",AE138&gt;0),(AE138-C138)/AE138,"")</f>
        <v/>
      </c>
      <c r="AH138" s="40">
        <f>IF(AND(AE138&lt;&gt;"",C138&gt;0),AE138-C138,"")</f>
        <v/>
      </c>
      <c r="AI138" s="41">
        <f>IF(AND(AE138&lt;&gt;"",D138&gt;0),(AE138-D138)/D138,"")</f>
        <v/>
      </c>
      <c r="AJ138" s="41">
        <f>IF(AND(AG138&lt;&gt;"",P138&lt;&gt;""),(AG138-P138)/ABS(IF(P138=0,1,P138)),"")</f>
        <v/>
      </c>
      <c r="AK138" s="40">
        <f>IF(AND(AH138&lt;&gt;"",Q138&lt;&gt;""),AH138-Q138,"")</f>
        <v/>
      </c>
      <c r="AL138" s="40">
        <f>IF(H138&lt;&gt;"",H138,"")</f>
        <v/>
      </c>
      <c r="AM138" s="41">
        <f>IF(AND(AL138&lt;&gt;"",C138&gt;0),(AL138-C138)/C138,"")</f>
        <v/>
      </c>
      <c r="AN138" s="41">
        <f>IF(AND(AL138&lt;&gt;"",AL138&gt;0),(AL138-C138)/AL138,"")</f>
        <v/>
      </c>
      <c r="AO138" s="40">
        <f>IF(AND(AL138&lt;&gt;"",C138&gt;0),AL138-C138,"")</f>
        <v/>
      </c>
      <c r="AP138" s="41">
        <f>IF(AND(AL138&lt;&gt;"",D138&gt;0),(AL138-D138)/D138,"")</f>
        <v/>
      </c>
      <c r="AQ138" s="41">
        <f>IF(AND(AN138&lt;&gt;"",P138&lt;&gt;""),(AN138-P138)/ABS(IF(P138=0,1,P138)),"")</f>
        <v/>
      </c>
      <c r="AR138" s="40">
        <f>IF(AND(AO138&lt;&gt;"",Q138&lt;&gt;""),AO138-Q138,"")</f>
        <v/>
      </c>
      <c r="AS138" s="44" t="n"/>
      <c r="AT138" s="41">
        <f>IF(AND(AS138&gt;0,C138&gt;0),(AS138-C138)/C138,"")</f>
        <v/>
      </c>
      <c r="AU138" s="41">
        <f>IF(AND(AS138&gt;0,AS138&gt;0),(AS138-C138)/AS138,"")</f>
        <v/>
      </c>
      <c r="AV138" s="40">
        <f>IF(AND(AS138&gt;0,C138&gt;0),AS138-C138,"")</f>
        <v/>
      </c>
      <c r="AW138" s="41">
        <f>IF(AND(AS138&gt;0,D138&gt;0),(AS138-D138)/D138,"")</f>
        <v/>
      </c>
      <c r="AX138" s="41">
        <f>IF(AND(AU138&lt;&gt;"",P138&lt;&gt;""),(AU138-P138)/ABS(IF(P138=0,1,P138)),"")</f>
        <v/>
      </c>
      <c r="AY138" s="40">
        <f>IF(AND(AV138&lt;&gt;"",Q138&lt;&gt;""),AV138-Q138,"")</f>
        <v/>
      </c>
      <c r="AZ138" s="45" t="n"/>
      <c r="BA138" s="40">
        <f>IF(AND(AZ138&gt;0,C138&gt;0),C138/(1-AZ138),"")</f>
        <v/>
      </c>
      <c r="BB138" s="41">
        <f>IF(AND(BA138&lt;&gt;"",C138&gt;0),(BA138-C138)/C138,"")</f>
        <v/>
      </c>
      <c r="BC138" s="41">
        <f>IF(BA138&lt;&gt;"",AZ138,"")</f>
        <v/>
      </c>
      <c r="BD138" s="40">
        <f>IF(AND(BA138&lt;&gt;"",C138&gt;0),BA138-C138,"")</f>
        <v/>
      </c>
      <c r="BE138" s="41">
        <f>IF(AND(BA138&lt;&gt;"",D138&gt;0),(BA138-D138)/D138,"")</f>
        <v/>
      </c>
      <c r="BF138" s="41">
        <f>IF(AND(BC138&lt;&gt;"",P138&lt;&gt;""),(BC138-P138)/ABS(IF(P138=0,1,P138)),"")</f>
        <v/>
      </c>
      <c r="BG138" s="40">
        <f>IF(AND(BD138&lt;&gt;"",Q138&lt;&gt;""),BD138-Q138,"")</f>
        <v/>
      </c>
      <c r="BH138" s="40">
        <f>IF(AND(T138&gt;0,X138&lt;&gt;""),T138*X138,"")</f>
        <v/>
      </c>
      <c r="BI138" s="40">
        <f>IF(AND(T138&gt;0,AA138&lt;&gt;""),T138*AA138,"")</f>
        <v/>
      </c>
      <c r="BJ138" s="40">
        <f>IF(AND(T138&gt;0,AE138&lt;&gt;""),T138*AE138,"")</f>
        <v/>
      </c>
      <c r="BK138" s="40">
        <f>IF(AND(T138&gt;0,AH138&lt;&gt;""),T138*AH138,"")</f>
        <v/>
      </c>
      <c r="BL138" s="40">
        <f>IF(AND(T138&gt;0,AL138&lt;&gt;""),T138*AL138,"")</f>
        <v/>
      </c>
      <c r="BM138" s="40">
        <f>IF(AND(T138&gt;0,AO138&lt;&gt;""),T138*AO138,"")</f>
        <v/>
      </c>
      <c r="BN138" s="40">
        <f>IF(AND(T138&gt;0,AS138&gt;0),T138*AS138,"")</f>
        <v/>
      </c>
      <c r="BO138" s="40">
        <f>IF(AND(T138&gt;0,AV138&lt;&gt;""),T138*AV138,"")</f>
        <v/>
      </c>
      <c r="BP138" s="40">
        <f>IF(AND(T138&gt;0,BA138&lt;&gt;""),T138*BA138,"")</f>
        <v/>
      </c>
      <c r="BQ138" s="40">
        <f>IF(AND(T138&gt;0,BD138&lt;&gt;""),T138*BD138,"")</f>
        <v/>
      </c>
      <c r="BR138" s="46">
        <f>IF(AND(T138&gt;0,V138&gt;0,AA138&lt;&gt;0),V138/AA138-T138,"")</f>
        <v/>
      </c>
      <c r="BS138" s="41">
        <f>IF(AND(BR138&lt;&gt;"",T138&gt;0),BR138/T138,"")</f>
        <v/>
      </c>
      <c r="BT138" s="46">
        <f>IF(AND(T138&gt;0,V138&gt;0,AO138&lt;&gt;0),V138/AO138-T138,"")</f>
        <v/>
      </c>
      <c r="BU138" s="41">
        <f>IF(AND(BT138&lt;&gt;"",T138&gt;0),BT138/T138,"")</f>
        <v/>
      </c>
    </row>
    <row r="139">
      <c r="A139" s="36">
        <f>'📊 Исходные данные'!A138</f>
        <v/>
      </c>
      <c r="B139" s="37">
        <f>'📊 Исходные данные'!B138</f>
        <v/>
      </c>
      <c r="C139" s="38">
        <f>'📊 Исходные данные'!C138</f>
        <v/>
      </c>
      <c r="D139" s="38">
        <f>'📊 Исходные данные'!D138</f>
        <v/>
      </c>
      <c r="E139" s="39">
        <f>IF(OR(D139="",F139=""),"-",IF(D139&gt;F139*1.05,"Выше рынка",IF(D139&lt;F139*0.95,"Ниже рынка","На уровне")))</f>
        <v/>
      </c>
      <c r="F139" s="40">
        <f>IFERROR(AVERAGE('📊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G139" s="40">
        <f>IFERROR(MEDIAN('📊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H139" s="40">
        <f>IFERROR(MIN('📊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I139" s="40">
        <f>IFERROR(MAX('📊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данные'!K138),"")</f>
        <v/>
      </c>
      <c r="J139" s="41">
        <f>IF(AND(D139&lt;&gt;"",F139&lt;&gt;""),(D139-F139)/F139,"")</f>
        <v/>
      </c>
      <c r="K139" s="41">
        <f>IF(AND(D139&lt;&gt;"",G139&lt;&gt;""),(D139-G139)/G139,"")</f>
        <v/>
      </c>
      <c r="L139" s="41">
        <f>IF(AND(D139&lt;&gt;"",H139&lt;&gt;""),(D139-H139)/H139,"")</f>
        <v/>
      </c>
      <c r="M139" s="42">
        <f>IFERROR(RANK(D139,('📊 Исходные данные'!E138,'📊 Исходные данные'!F138,'📊 Исходные данные'!G138,'📊 Исходные данные'!H138,'📊 Исходные данные'!I138,'📊 Исходные данные'!J138,'📊 Исходные данные'!K138)),"")</f>
        <v/>
      </c>
      <c r="N139" s="39">
        <f>IF(M139="","-",IF(M139=1,"Дороже всех",IF(M139=2,"2-й по цене",IF(M139&lt;=4,"Средний","Ниже конкурентов"))))</f>
        <v/>
      </c>
      <c r="O139" s="41">
        <f>IF(AND(C139&gt;0,D139&gt;0),(D139-C139)/C139,"")</f>
        <v/>
      </c>
      <c r="P139" s="41">
        <f>IF(AND(C139&gt;0,D139&gt;0),(D139-C139)/D139,"")</f>
        <v/>
      </c>
      <c r="Q139" s="40">
        <f>IF(AND(C139&gt;0,D139&gt;0),D139-C139,"")</f>
        <v/>
      </c>
      <c r="R139" s="39">
        <f>IF(P139="","-",IF(P139&lt;0.1,"Низкая(&lt;10%)",IF(P139&lt;0.2,"Средняя(10-20%)","Хорошая(&gt;20%)")))</f>
        <v/>
      </c>
      <c r="S139" s="39">
        <f>IF(OR(H139="",C139=""),"-",IF((H139-C139)/H139&lt;0.05,"КРИТИЧНО",IF((H139-C139)/H139&lt;0.15,"УМЕРЕННЫЙ","НИЗКИЙ")))</f>
        <v/>
      </c>
      <c r="T139" s="43" t="n"/>
      <c r="U139" s="40">
        <f>IF(T139&gt;0,T139*D139,"")</f>
        <v/>
      </c>
      <c r="V139" s="40">
        <f>IF(T139&gt;0,T139*Q139,"")</f>
        <v/>
      </c>
      <c r="W139" s="41">
        <f>IF(U139&gt;0,V139/U139,"")</f>
        <v/>
      </c>
      <c r="X139" s="40">
        <f>IF(F139&lt;&gt;"",F139,"")</f>
        <v/>
      </c>
      <c r="Y139" s="41">
        <f>IF(AND(X139&lt;&gt;"",C139&gt;0),(X139-C139)/C139,"")</f>
        <v/>
      </c>
      <c r="Z139" s="41">
        <f>IF(AND(X139&lt;&gt;"",X139&gt;0),(X139-C139)/X139,"")</f>
        <v/>
      </c>
      <c r="AA139" s="40">
        <f>IF(AND(X139&lt;&gt;"",C139&gt;0),X139-C139,"")</f>
        <v/>
      </c>
      <c r="AB139" s="41">
        <f>IF(AND(X139&lt;&gt;"",D139&gt;0),(X139-D139)/D139,"")</f>
        <v/>
      </c>
      <c r="AC139" s="41">
        <f>IF(AND(Z139&lt;&gt;"",P139&lt;&gt;""),(Z139-P139)/ABS(IF(P139=0,1,P139)),"")</f>
        <v/>
      </c>
      <c r="AD139" s="40">
        <f>IF(AND(AA139&lt;&gt;"",Q139&lt;&gt;""),AA139-Q139,"")</f>
        <v/>
      </c>
      <c r="AE139" s="40">
        <f>IF(G139&lt;&gt;"",G139,"")</f>
        <v/>
      </c>
      <c r="AF139" s="41">
        <f>IF(AND(AE139&lt;&gt;"",C139&gt;0),(AE139-C139)/C139,"")</f>
        <v/>
      </c>
      <c r="AG139" s="41">
        <f>IF(AND(AE139&lt;&gt;"",AE139&gt;0),(AE139-C139)/AE139,"")</f>
        <v/>
      </c>
      <c r="AH139" s="40">
        <f>IF(AND(AE139&lt;&gt;"",C139&gt;0),AE139-C139,"")</f>
        <v/>
      </c>
      <c r="AI139" s="41">
        <f>IF(AND(AE139&lt;&gt;"",D139&gt;0),(AE139-D139)/D139,"")</f>
        <v/>
      </c>
      <c r="AJ139" s="41">
        <f>IF(AND(AG139&lt;&gt;"",P139&lt;&gt;""),(AG139-P139)/ABS(IF(P139=0,1,P139)),"")</f>
        <v/>
      </c>
      <c r="AK139" s="40">
        <f>IF(AND(AH139&lt;&gt;"",Q139&lt;&gt;""),AH139-Q139,"")</f>
        <v/>
      </c>
      <c r="AL139" s="40">
        <f>IF(H139&lt;&gt;"",H139,"")</f>
        <v/>
      </c>
      <c r="AM139" s="41">
        <f>IF(AND(AL139&lt;&gt;"",C139&gt;0),(AL139-C139)/C139,"")</f>
        <v/>
      </c>
      <c r="AN139" s="41">
        <f>IF(AND(AL139&lt;&gt;"",AL139&gt;0),(AL139-C139)/AL139,"")</f>
        <v/>
      </c>
      <c r="AO139" s="40">
        <f>IF(AND(AL139&lt;&gt;"",C139&gt;0),AL139-C139,"")</f>
        <v/>
      </c>
      <c r="AP139" s="41">
        <f>IF(AND(AL139&lt;&gt;"",D139&gt;0),(AL139-D139)/D139,"")</f>
        <v/>
      </c>
      <c r="AQ139" s="41">
        <f>IF(AND(AN139&lt;&gt;"",P139&lt;&gt;""),(AN139-P139)/ABS(IF(P139=0,1,P139)),"")</f>
        <v/>
      </c>
      <c r="AR139" s="40">
        <f>IF(AND(AO139&lt;&gt;"",Q139&lt;&gt;""),AO139-Q139,"")</f>
        <v/>
      </c>
      <c r="AS139" s="44" t="n"/>
      <c r="AT139" s="41">
        <f>IF(AND(AS139&gt;0,C139&gt;0),(AS139-C139)/C139,"")</f>
        <v/>
      </c>
      <c r="AU139" s="41">
        <f>IF(AND(AS139&gt;0,AS139&gt;0),(AS139-C139)/AS139,"")</f>
        <v/>
      </c>
      <c r="AV139" s="40">
        <f>IF(AND(AS139&gt;0,C139&gt;0),AS139-C139,"")</f>
        <v/>
      </c>
      <c r="AW139" s="41">
        <f>IF(AND(AS139&gt;0,D139&gt;0),(AS139-D139)/D139,"")</f>
        <v/>
      </c>
      <c r="AX139" s="41">
        <f>IF(AND(AU139&lt;&gt;"",P139&lt;&gt;""),(AU139-P139)/ABS(IF(P139=0,1,P139)),"")</f>
        <v/>
      </c>
      <c r="AY139" s="40">
        <f>IF(AND(AV139&lt;&gt;"",Q139&lt;&gt;""),AV139-Q139,"")</f>
        <v/>
      </c>
      <c r="AZ139" s="45" t="n"/>
      <c r="BA139" s="40">
        <f>IF(AND(AZ139&gt;0,C139&gt;0),C139/(1-AZ139),"")</f>
        <v/>
      </c>
      <c r="BB139" s="41">
        <f>IF(AND(BA139&lt;&gt;"",C139&gt;0),(BA139-C139)/C139,"")</f>
        <v/>
      </c>
      <c r="BC139" s="41">
        <f>IF(BA139&lt;&gt;"",AZ139,"")</f>
        <v/>
      </c>
      <c r="BD139" s="40">
        <f>IF(AND(BA139&lt;&gt;"",C139&gt;0),BA139-C139,"")</f>
        <v/>
      </c>
      <c r="BE139" s="41">
        <f>IF(AND(BA139&lt;&gt;"",D139&gt;0),(BA139-D139)/D139,"")</f>
        <v/>
      </c>
      <c r="BF139" s="41">
        <f>IF(AND(BC139&lt;&gt;"",P139&lt;&gt;""),(BC139-P139)/ABS(IF(P139=0,1,P139)),"")</f>
        <v/>
      </c>
      <c r="BG139" s="40">
        <f>IF(AND(BD139&lt;&gt;"",Q139&lt;&gt;""),BD139-Q139,"")</f>
        <v/>
      </c>
      <c r="BH139" s="40">
        <f>IF(AND(T139&gt;0,X139&lt;&gt;""),T139*X139,"")</f>
        <v/>
      </c>
      <c r="BI139" s="40">
        <f>IF(AND(T139&gt;0,AA139&lt;&gt;""),T139*AA139,"")</f>
        <v/>
      </c>
      <c r="BJ139" s="40">
        <f>IF(AND(T139&gt;0,AE139&lt;&gt;""),T139*AE139,"")</f>
        <v/>
      </c>
      <c r="BK139" s="40">
        <f>IF(AND(T139&gt;0,AH139&lt;&gt;""),T139*AH139,"")</f>
        <v/>
      </c>
      <c r="BL139" s="40">
        <f>IF(AND(T139&gt;0,AL139&lt;&gt;""),T139*AL139,"")</f>
        <v/>
      </c>
      <c r="BM139" s="40">
        <f>IF(AND(T139&gt;0,AO139&lt;&gt;""),T139*AO139,"")</f>
        <v/>
      </c>
      <c r="BN139" s="40">
        <f>IF(AND(T139&gt;0,AS139&gt;0),T139*AS139,"")</f>
        <v/>
      </c>
      <c r="BO139" s="40">
        <f>IF(AND(T139&gt;0,AV139&lt;&gt;""),T139*AV139,"")</f>
        <v/>
      </c>
      <c r="BP139" s="40">
        <f>IF(AND(T139&gt;0,BA139&lt;&gt;""),T139*BA139,"")</f>
        <v/>
      </c>
      <c r="BQ139" s="40">
        <f>IF(AND(T139&gt;0,BD139&lt;&gt;""),T139*BD139,"")</f>
        <v/>
      </c>
      <c r="BR139" s="46">
        <f>IF(AND(T139&gt;0,V139&gt;0,AA139&lt;&gt;0),V139/AA139-T139,"")</f>
        <v/>
      </c>
      <c r="BS139" s="41">
        <f>IF(AND(BR139&lt;&gt;"",T139&gt;0),BR139/T139,"")</f>
        <v/>
      </c>
      <c r="BT139" s="46">
        <f>IF(AND(T139&gt;0,V139&gt;0,AO139&lt;&gt;0),V139/AO139-T139,"")</f>
        <v/>
      </c>
      <c r="BU139" s="41">
        <f>IF(AND(BT139&lt;&gt;"",T139&gt;0),BT139/T139,"")</f>
        <v/>
      </c>
    </row>
    <row r="140">
      <c r="A140" s="36">
        <f>'📊 Исходные данные'!A139</f>
        <v/>
      </c>
      <c r="B140" s="37">
        <f>'📊 Исходные данные'!B139</f>
        <v/>
      </c>
      <c r="C140" s="38">
        <f>'📊 Исходные данные'!C139</f>
        <v/>
      </c>
      <c r="D140" s="38">
        <f>'📊 Исходные данные'!D139</f>
        <v/>
      </c>
      <c r="E140" s="39">
        <f>IF(OR(D140="",F140=""),"-",IF(D140&gt;F140*1.05,"Выше рынка",IF(D140&lt;F140*0.95,"Ниже рынка","На уровне")))</f>
        <v/>
      </c>
      <c r="F140" s="40">
        <f>IFERROR(AVERAGE('📊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G140" s="40">
        <f>IFERROR(MEDIAN('📊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H140" s="40">
        <f>IFERROR(MIN('📊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I140" s="40">
        <f>IFERROR(MAX('📊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данные'!K139),"")</f>
        <v/>
      </c>
      <c r="J140" s="41">
        <f>IF(AND(D140&lt;&gt;"",F140&lt;&gt;""),(D140-F140)/F140,"")</f>
        <v/>
      </c>
      <c r="K140" s="41">
        <f>IF(AND(D140&lt;&gt;"",G140&lt;&gt;""),(D140-G140)/G140,"")</f>
        <v/>
      </c>
      <c r="L140" s="41">
        <f>IF(AND(D140&lt;&gt;"",H140&lt;&gt;""),(D140-H140)/H140,"")</f>
        <v/>
      </c>
      <c r="M140" s="42">
        <f>IFERROR(RANK(D140,('📊 Исходные данные'!E139,'📊 Исходные данные'!F139,'📊 Исходные данные'!G139,'📊 Исходные данные'!H139,'📊 Исходные данные'!I139,'📊 Исходные данные'!J139,'📊 Исходные данные'!K139)),"")</f>
        <v/>
      </c>
      <c r="N140" s="39">
        <f>IF(M140="","-",IF(M140=1,"Дороже всех",IF(M140=2,"2-й по цене",IF(M140&lt;=4,"Средний","Ниже конкурентов"))))</f>
        <v/>
      </c>
      <c r="O140" s="41">
        <f>IF(AND(C140&gt;0,D140&gt;0),(D140-C140)/C140,"")</f>
        <v/>
      </c>
      <c r="P140" s="41">
        <f>IF(AND(C140&gt;0,D140&gt;0),(D140-C140)/D140,"")</f>
        <v/>
      </c>
      <c r="Q140" s="40">
        <f>IF(AND(C140&gt;0,D140&gt;0),D140-C140,"")</f>
        <v/>
      </c>
      <c r="R140" s="39">
        <f>IF(P140="","-",IF(P140&lt;0.1,"Низкая(&lt;10%)",IF(P140&lt;0.2,"Средняя(10-20%)","Хорошая(&gt;20%)")))</f>
        <v/>
      </c>
      <c r="S140" s="39">
        <f>IF(OR(H140="",C140=""),"-",IF((H140-C140)/H140&lt;0.05,"КРИТИЧНО",IF((H140-C140)/H140&lt;0.15,"УМЕРЕННЫЙ","НИЗКИЙ")))</f>
        <v/>
      </c>
      <c r="T140" s="43" t="n"/>
      <c r="U140" s="40">
        <f>IF(T140&gt;0,T140*D140,"")</f>
        <v/>
      </c>
      <c r="V140" s="40">
        <f>IF(T140&gt;0,T140*Q140,"")</f>
        <v/>
      </c>
      <c r="W140" s="41">
        <f>IF(U140&gt;0,V140/U140,"")</f>
        <v/>
      </c>
      <c r="X140" s="40">
        <f>IF(F140&lt;&gt;"",F140,"")</f>
        <v/>
      </c>
      <c r="Y140" s="41">
        <f>IF(AND(X140&lt;&gt;"",C140&gt;0),(X140-C140)/C140,"")</f>
        <v/>
      </c>
      <c r="Z140" s="41">
        <f>IF(AND(X140&lt;&gt;"",X140&gt;0),(X140-C140)/X140,"")</f>
        <v/>
      </c>
      <c r="AA140" s="40">
        <f>IF(AND(X140&lt;&gt;"",C140&gt;0),X140-C140,"")</f>
        <v/>
      </c>
      <c r="AB140" s="41">
        <f>IF(AND(X140&lt;&gt;"",D140&gt;0),(X140-D140)/D140,"")</f>
        <v/>
      </c>
      <c r="AC140" s="41">
        <f>IF(AND(Z140&lt;&gt;"",P140&lt;&gt;""),(Z140-P140)/ABS(IF(P140=0,1,P140)),"")</f>
        <v/>
      </c>
      <c r="AD140" s="40">
        <f>IF(AND(AA140&lt;&gt;"",Q140&lt;&gt;""),AA140-Q140,"")</f>
        <v/>
      </c>
      <c r="AE140" s="40">
        <f>IF(G140&lt;&gt;"",G140,"")</f>
        <v/>
      </c>
      <c r="AF140" s="41">
        <f>IF(AND(AE140&lt;&gt;"",C140&gt;0),(AE140-C140)/C140,"")</f>
        <v/>
      </c>
      <c r="AG140" s="41">
        <f>IF(AND(AE140&lt;&gt;"",AE140&gt;0),(AE140-C140)/AE140,"")</f>
        <v/>
      </c>
      <c r="AH140" s="40">
        <f>IF(AND(AE140&lt;&gt;"",C140&gt;0),AE140-C140,"")</f>
        <v/>
      </c>
      <c r="AI140" s="41">
        <f>IF(AND(AE140&lt;&gt;"",D140&gt;0),(AE140-D140)/D140,"")</f>
        <v/>
      </c>
      <c r="AJ140" s="41">
        <f>IF(AND(AG140&lt;&gt;"",P140&lt;&gt;""),(AG140-P140)/ABS(IF(P140=0,1,P140)),"")</f>
        <v/>
      </c>
      <c r="AK140" s="40">
        <f>IF(AND(AH140&lt;&gt;"",Q140&lt;&gt;""),AH140-Q140,"")</f>
        <v/>
      </c>
      <c r="AL140" s="40">
        <f>IF(H140&lt;&gt;"",H140,"")</f>
        <v/>
      </c>
      <c r="AM140" s="41">
        <f>IF(AND(AL140&lt;&gt;"",C140&gt;0),(AL140-C140)/C140,"")</f>
        <v/>
      </c>
      <c r="AN140" s="41">
        <f>IF(AND(AL140&lt;&gt;"",AL140&gt;0),(AL140-C140)/AL140,"")</f>
        <v/>
      </c>
      <c r="AO140" s="40">
        <f>IF(AND(AL140&lt;&gt;"",C140&gt;0),AL140-C140,"")</f>
        <v/>
      </c>
      <c r="AP140" s="41">
        <f>IF(AND(AL140&lt;&gt;"",D140&gt;0),(AL140-D140)/D140,"")</f>
        <v/>
      </c>
      <c r="AQ140" s="41">
        <f>IF(AND(AN140&lt;&gt;"",P140&lt;&gt;""),(AN140-P140)/ABS(IF(P140=0,1,P140)),"")</f>
        <v/>
      </c>
      <c r="AR140" s="40">
        <f>IF(AND(AO140&lt;&gt;"",Q140&lt;&gt;""),AO140-Q140,"")</f>
        <v/>
      </c>
      <c r="AS140" s="44" t="n"/>
      <c r="AT140" s="41">
        <f>IF(AND(AS140&gt;0,C140&gt;0),(AS140-C140)/C140,"")</f>
        <v/>
      </c>
      <c r="AU140" s="41">
        <f>IF(AND(AS140&gt;0,AS140&gt;0),(AS140-C140)/AS140,"")</f>
        <v/>
      </c>
      <c r="AV140" s="40">
        <f>IF(AND(AS140&gt;0,C140&gt;0),AS140-C140,"")</f>
        <v/>
      </c>
      <c r="AW140" s="41">
        <f>IF(AND(AS140&gt;0,D140&gt;0),(AS140-D140)/D140,"")</f>
        <v/>
      </c>
      <c r="AX140" s="41">
        <f>IF(AND(AU140&lt;&gt;"",P140&lt;&gt;""),(AU140-P140)/ABS(IF(P140=0,1,P140)),"")</f>
        <v/>
      </c>
      <c r="AY140" s="40">
        <f>IF(AND(AV140&lt;&gt;"",Q140&lt;&gt;""),AV140-Q140,"")</f>
        <v/>
      </c>
      <c r="AZ140" s="45" t="n"/>
      <c r="BA140" s="40">
        <f>IF(AND(AZ140&gt;0,C140&gt;0),C140/(1-AZ140),"")</f>
        <v/>
      </c>
      <c r="BB140" s="41">
        <f>IF(AND(BA140&lt;&gt;"",C140&gt;0),(BA140-C140)/C140,"")</f>
        <v/>
      </c>
      <c r="BC140" s="41">
        <f>IF(BA140&lt;&gt;"",AZ140,"")</f>
        <v/>
      </c>
      <c r="BD140" s="40">
        <f>IF(AND(BA140&lt;&gt;"",C140&gt;0),BA140-C140,"")</f>
        <v/>
      </c>
      <c r="BE140" s="41">
        <f>IF(AND(BA140&lt;&gt;"",D140&gt;0),(BA140-D140)/D140,"")</f>
        <v/>
      </c>
      <c r="BF140" s="41">
        <f>IF(AND(BC140&lt;&gt;"",P140&lt;&gt;""),(BC140-P140)/ABS(IF(P140=0,1,P140)),"")</f>
        <v/>
      </c>
      <c r="BG140" s="40">
        <f>IF(AND(BD140&lt;&gt;"",Q140&lt;&gt;""),BD140-Q140,"")</f>
        <v/>
      </c>
      <c r="BH140" s="40">
        <f>IF(AND(T140&gt;0,X140&lt;&gt;""),T140*X140,"")</f>
        <v/>
      </c>
      <c r="BI140" s="40">
        <f>IF(AND(T140&gt;0,AA140&lt;&gt;""),T140*AA140,"")</f>
        <v/>
      </c>
      <c r="BJ140" s="40">
        <f>IF(AND(T140&gt;0,AE140&lt;&gt;""),T140*AE140,"")</f>
        <v/>
      </c>
      <c r="BK140" s="40">
        <f>IF(AND(T140&gt;0,AH140&lt;&gt;""),T140*AH140,"")</f>
        <v/>
      </c>
      <c r="BL140" s="40">
        <f>IF(AND(T140&gt;0,AL140&lt;&gt;""),T140*AL140,"")</f>
        <v/>
      </c>
      <c r="BM140" s="40">
        <f>IF(AND(T140&gt;0,AO140&lt;&gt;""),T140*AO140,"")</f>
        <v/>
      </c>
      <c r="BN140" s="40">
        <f>IF(AND(T140&gt;0,AS140&gt;0),T140*AS140,"")</f>
        <v/>
      </c>
      <c r="BO140" s="40">
        <f>IF(AND(T140&gt;0,AV140&lt;&gt;""),T140*AV140,"")</f>
        <v/>
      </c>
      <c r="BP140" s="40">
        <f>IF(AND(T140&gt;0,BA140&lt;&gt;""),T140*BA140,"")</f>
        <v/>
      </c>
      <c r="BQ140" s="40">
        <f>IF(AND(T140&gt;0,BD140&lt;&gt;""),T140*BD140,"")</f>
        <v/>
      </c>
      <c r="BR140" s="46">
        <f>IF(AND(T140&gt;0,V140&gt;0,AA140&lt;&gt;0),V140/AA140-T140,"")</f>
        <v/>
      </c>
      <c r="BS140" s="41">
        <f>IF(AND(BR140&lt;&gt;"",T140&gt;0),BR140/T140,"")</f>
        <v/>
      </c>
      <c r="BT140" s="46">
        <f>IF(AND(T140&gt;0,V140&gt;0,AO140&lt;&gt;0),V140/AO140-T140,"")</f>
        <v/>
      </c>
      <c r="BU140" s="41">
        <f>IF(AND(BT140&lt;&gt;"",T140&gt;0),BT140/T140,"")</f>
        <v/>
      </c>
    </row>
    <row r="141">
      <c r="A141" s="36">
        <f>'📊 Исходные данные'!A140</f>
        <v/>
      </c>
      <c r="B141" s="37">
        <f>'📊 Исходные данные'!B140</f>
        <v/>
      </c>
      <c r="C141" s="38">
        <f>'📊 Исходные данные'!C140</f>
        <v/>
      </c>
      <c r="D141" s="38">
        <f>'📊 Исходные данные'!D140</f>
        <v/>
      </c>
      <c r="E141" s="39">
        <f>IF(OR(D141="",F141=""),"-",IF(D141&gt;F141*1.05,"Выше рынка",IF(D141&lt;F141*0.95,"Ниже рынка","На уровне")))</f>
        <v/>
      </c>
      <c r="F141" s="40">
        <f>IFERROR(AVERAGE('📊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G141" s="40">
        <f>IFERROR(MEDIAN('📊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H141" s="40">
        <f>IFERROR(MIN('📊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I141" s="40">
        <f>IFERROR(MAX('📊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данные'!K140),"")</f>
        <v/>
      </c>
      <c r="J141" s="41">
        <f>IF(AND(D141&lt;&gt;"",F141&lt;&gt;""),(D141-F141)/F141,"")</f>
        <v/>
      </c>
      <c r="K141" s="41">
        <f>IF(AND(D141&lt;&gt;"",G141&lt;&gt;""),(D141-G141)/G141,"")</f>
        <v/>
      </c>
      <c r="L141" s="41">
        <f>IF(AND(D141&lt;&gt;"",H141&lt;&gt;""),(D141-H141)/H141,"")</f>
        <v/>
      </c>
      <c r="M141" s="42">
        <f>IFERROR(RANK(D141,('📊 Исходные данные'!E140,'📊 Исходные данные'!F140,'📊 Исходные данные'!G140,'📊 Исходные данные'!H140,'📊 Исходные данные'!I140,'📊 Исходные данные'!J140,'📊 Исходные данные'!K140)),"")</f>
        <v/>
      </c>
      <c r="N141" s="39">
        <f>IF(M141="","-",IF(M141=1,"Дороже всех",IF(M141=2,"2-й по цене",IF(M141&lt;=4,"Средний","Ниже конкурентов"))))</f>
        <v/>
      </c>
      <c r="O141" s="41">
        <f>IF(AND(C141&gt;0,D141&gt;0),(D141-C141)/C141,"")</f>
        <v/>
      </c>
      <c r="P141" s="41">
        <f>IF(AND(C141&gt;0,D141&gt;0),(D141-C141)/D141,"")</f>
        <v/>
      </c>
      <c r="Q141" s="40">
        <f>IF(AND(C141&gt;0,D141&gt;0),D141-C141,"")</f>
        <v/>
      </c>
      <c r="R141" s="39">
        <f>IF(P141="","-",IF(P141&lt;0.1,"Низкая(&lt;10%)",IF(P141&lt;0.2,"Средняя(10-20%)","Хорошая(&gt;20%)")))</f>
        <v/>
      </c>
      <c r="S141" s="39">
        <f>IF(OR(H141="",C141=""),"-",IF((H141-C141)/H141&lt;0.05,"КРИТИЧНО",IF((H141-C141)/H141&lt;0.15,"УМЕРЕННЫЙ","НИЗКИЙ")))</f>
        <v/>
      </c>
      <c r="T141" s="43" t="n"/>
      <c r="U141" s="40">
        <f>IF(T141&gt;0,T141*D141,"")</f>
        <v/>
      </c>
      <c r="V141" s="40">
        <f>IF(T141&gt;0,T141*Q141,"")</f>
        <v/>
      </c>
      <c r="W141" s="41">
        <f>IF(U141&gt;0,V141/U141,"")</f>
        <v/>
      </c>
      <c r="X141" s="40">
        <f>IF(F141&lt;&gt;"",F141,"")</f>
        <v/>
      </c>
      <c r="Y141" s="41">
        <f>IF(AND(X141&lt;&gt;"",C141&gt;0),(X141-C141)/C141,"")</f>
        <v/>
      </c>
      <c r="Z141" s="41">
        <f>IF(AND(X141&lt;&gt;"",X141&gt;0),(X141-C141)/X141,"")</f>
        <v/>
      </c>
      <c r="AA141" s="40">
        <f>IF(AND(X141&lt;&gt;"",C141&gt;0),X141-C141,"")</f>
        <v/>
      </c>
      <c r="AB141" s="41">
        <f>IF(AND(X141&lt;&gt;"",D141&gt;0),(X141-D141)/D141,"")</f>
        <v/>
      </c>
      <c r="AC141" s="41">
        <f>IF(AND(Z141&lt;&gt;"",P141&lt;&gt;""),(Z141-P141)/ABS(IF(P141=0,1,P141)),"")</f>
        <v/>
      </c>
      <c r="AD141" s="40">
        <f>IF(AND(AA141&lt;&gt;"",Q141&lt;&gt;""),AA141-Q141,"")</f>
        <v/>
      </c>
      <c r="AE141" s="40">
        <f>IF(G141&lt;&gt;"",G141,"")</f>
        <v/>
      </c>
      <c r="AF141" s="41">
        <f>IF(AND(AE141&lt;&gt;"",C141&gt;0),(AE141-C141)/C141,"")</f>
        <v/>
      </c>
      <c r="AG141" s="41">
        <f>IF(AND(AE141&lt;&gt;"",AE141&gt;0),(AE141-C141)/AE141,"")</f>
        <v/>
      </c>
      <c r="AH141" s="40">
        <f>IF(AND(AE141&lt;&gt;"",C141&gt;0),AE141-C141,"")</f>
        <v/>
      </c>
      <c r="AI141" s="41">
        <f>IF(AND(AE141&lt;&gt;"",D141&gt;0),(AE141-D141)/D141,"")</f>
        <v/>
      </c>
      <c r="AJ141" s="41">
        <f>IF(AND(AG141&lt;&gt;"",P141&lt;&gt;""),(AG141-P141)/ABS(IF(P141=0,1,P141)),"")</f>
        <v/>
      </c>
      <c r="AK141" s="40">
        <f>IF(AND(AH141&lt;&gt;"",Q141&lt;&gt;""),AH141-Q141,"")</f>
        <v/>
      </c>
      <c r="AL141" s="40">
        <f>IF(H141&lt;&gt;"",H141,"")</f>
        <v/>
      </c>
      <c r="AM141" s="41">
        <f>IF(AND(AL141&lt;&gt;"",C141&gt;0),(AL141-C141)/C141,"")</f>
        <v/>
      </c>
      <c r="AN141" s="41">
        <f>IF(AND(AL141&lt;&gt;"",AL141&gt;0),(AL141-C141)/AL141,"")</f>
        <v/>
      </c>
      <c r="AO141" s="40">
        <f>IF(AND(AL141&lt;&gt;"",C141&gt;0),AL141-C141,"")</f>
        <v/>
      </c>
      <c r="AP141" s="41">
        <f>IF(AND(AL141&lt;&gt;"",D141&gt;0),(AL141-D141)/D141,"")</f>
        <v/>
      </c>
      <c r="AQ141" s="41">
        <f>IF(AND(AN141&lt;&gt;"",P141&lt;&gt;""),(AN141-P141)/ABS(IF(P141=0,1,P141)),"")</f>
        <v/>
      </c>
      <c r="AR141" s="40">
        <f>IF(AND(AO141&lt;&gt;"",Q141&lt;&gt;""),AO141-Q141,"")</f>
        <v/>
      </c>
      <c r="AS141" s="44" t="n"/>
      <c r="AT141" s="41">
        <f>IF(AND(AS141&gt;0,C141&gt;0),(AS141-C141)/C141,"")</f>
        <v/>
      </c>
      <c r="AU141" s="41">
        <f>IF(AND(AS141&gt;0,AS141&gt;0),(AS141-C141)/AS141,"")</f>
        <v/>
      </c>
      <c r="AV141" s="40">
        <f>IF(AND(AS141&gt;0,C141&gt;0),AS141-C141,"")</f>
        <v/>
      </c>
      <c r="AW141" s="41">
        <f>IF(AND(AS141&gt;0,D141&gt;0),(AS141-D141)/D141,"")</f>
        <v/>
      </c>
      <c r="AX141" s="41">
        <f>IF(AND(AU141&lt;&gt;"",P141&lt;&gt;""),(AU141-P141)/ABS(IF(P141=0,1,P141)),"")</f>
        <v/>
      </c>
      <c r="AY141" s="40">
        <f>IF(AND(AV141&lt;&gt;"",Q141&lt;&gt;""),AV141-Q141,"")</f>
        <v/>
      </c>
      <c r="AZ141" s="45" t="n"/>
      <c r="BA141" s="40">
        <f>IF(AND(AZ141&gt;0,C141&gt;0),C141/(1-AZ141),"")</f>
        <v/>
      </c>
      <c r="BB141" s="41">
        <f>IF(AND(BA141&lt;&gt;"",C141&gt;0),(BA141-C141)/C141,"")</f>
        <v/>
      </c>
      <c r="BC141" s="41">
        <f>IF(BA141&lt;&gt;"",AZ141,"")</f>
        <v/>
      </c>
      <c r="BD141" s="40">
        <f>IF(AND(BA141&lt;&gt;"",C141&gt;0),BA141-C141,"")</f>
        <v/>
      </c>
      <c r="BE141" s="41">
        <f>IF(AND(BA141&lt;&gt;"",D141&gt;0),(BA141-D141)/D141,"")</f>
        <v/>
      </c>
      <c r="BF141" s="41">
        <f>IF(AND(BC141&lt;&gt;"",P141&lt;&gt;""),(BC141-P141)/ABS(IF(P141=0,1,P141)),"")</f>
        <v/>
      </c>
      <c r="BG141" s="40">
        <f>IF(AND(BD141&lt;&gt;"",Q141&lt;&gt;""),BD141-Q141,"")</f>
        <v/>
      </c>
      <c r="BH141" s="40">
        <f>IF(AND(T141&gt;0,X141&lt;&gt;""),T141*X141,"")</f>
        <v/>
      </c>
      <c r="BI141" s="40">
        <f>IF(AND(T141&gt;0,AA141&lt;&gt;""),T141*AA141,"")</f>
        <v/>
      </c>
      <c r="BJ141" s="40">
        <f>IF(AND(T141&gt;0,AE141&lt;&gt;""),T141*AE141,"")</f>
        <v/>
      </c>
      <c r="BK141" s="40">
        <f>IF(AND(T141&gt;0,AH141&lt;&gt;""),T141*AH141,"")</f>
        <v/>
      </c>
      <c r="BL141" s="40">
        <f>IF(AND(T141&gt;0,AL141&lt;&gt;""),T141*AL141,"")</f>
        <v/>
      </c>
      <c r="BM141" s="40">
        <f>IF(AND(T141&gt;0,AO141&lt;&gt;""),T141*AO141,"")</f>
        <v/>
      </c>
      <c r="BN141" s="40">
        <f>IF(AND(T141&gt;0,AS141&gt;0),T141*AS141,"")</f>
        <v/>
      </c>
      <c r="BO141" s="40">
        <f>IF(AND(T141&gt;0,AV141&lt;&gt;""),T141*AV141,"")</f>
        <v/>
      </c>
      <c r="BP141" s="40">
        <f>IF(AND(T141&gt;0,BA141&lt;&gt;""),T141*BA141,"")</f>
        <v/>
      </c>
      <c r="BQ141" s="40">
        <f>IF(AND(T141&gt;0,BD141&lt;&gt;""),T141*BD141,"")</f>
        <v/>
      </c>
      <c r="BR141" s="46">
        <f>IF(AND(T141&gt;0,V141&gt;0,AA141&lt;&gt;0),V141/AA141-T141,"")</f>
        <v/>
      </c>
      <c r="BS141" s="41">
        <f>IF(AND(BR141&lt;&gt;"",T141&gt;0),BR141/T141,"")</f>
        <v/>
      </c>
      <c r="BT141" s="46">
        <f>IF(AND(T141&gt;0,V141&gt;0,AO141&lt;&gt;0),V141/AO141-T141,"")</f>
        <v/>
      </c>
      <c r="BU141" s="41">
        <f>IF(AND(BT141&lt;&gt;"",T141&gt;0),BT141/T141,"")</f>
        <v/>
      </c>
    </row>
    <row r="142">
      <c r="A142" s="36">
        <f>'📊 Исходные данные'!A141</f>
        <v/>
      </c>
      <c r="B142" s="37">
        <f>'📊 Исходные данные'!B141</f>
        <v/>
      </c>
      <c r="C142" s="38">
        <f>'📊 Исходные данные'!C141</f>
        <v/>
      </c>
      <c r="D142" s="38">
        <f>'📊 Исходные данные'!D141</f>
        <v/>
      </c>
      <c r="E142" s="39">
        <f>IF(OR(D142="",F142=""),"-",IF(D142&gt;F142*1.05,"Выше рынка",IF(D142&lt;F142*0.95,"Ниже рынка","На уровне")))</f>
        <v/>
      </c>
      <c r="F142" s="40">
        <f>IFERROR(AVERAGE('📊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G142" s="40">
        <f>IFERROR(MEDIAN('📊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H142" s="40">
        <f>IFERROR(MIN('📊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I142" s="40">
        <f>IFERROR(MAX('📊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данные'!K141),"")</f>
        <v/>
      </c>
      <c r="J142" s="41">
        <f>IF(AND(D142&lt;&gt;"",F142&lt;&gt;""),(D142-F142)/F142,"")</f>
        <v/>
      </c>
      <c r="K142" s="41">
        <f>IF(AND(D142&lt;&gt;"",G142&lt;&gt;""),(D142-G142)/G142,"")</f>
        <v/>
      </c>
      <c r="L142" s="41">
        <f>IF(AND(D142&lt;&gt;"",H142&lt;&gt;""),(D142-H142)/H142,"")</f>
        <v/>
      </c>
      <c r="M142" s="42">
        <f>IFERROR(RANK(D142,('📊 Исходные данные'!E141,'📊 Исходные данные'!F141,'📊 Исходные данные'!G141,'📊 Исходные данные'!H141,'📊 Исходные данные'!I141,'📊 Исходные данные'!J141,'📊 Исходные данные'!K141)),"")</f>
        <v/>
      </c>
      <c r="N142" s="39">
        <f>IF(M142="","-",IF(M142=1,"Дороже всех",IF(M142=2,"2-й по цене",IF(M142&lt;=4,"Средний","Ниже конкурентов"))))</f>
        <v/>
      </c>
      <c r="O142" s="41">
        <f>IF(AND(C142&gt;0,D142&gt;0),(D142-C142)/C142,"")</f>
        <v/>
      </c>
      <c r="P142" s="41">
        <f>IF(AND(C142&gt;0,D142&gt;0),(D142-C142)/D142,"")</f>
        <v/>
      </c>
      <c r="Q142" s="40">
        <f>IF(AND(C142&gt;0,D142&gt;0),D142-C142,"")</f>
        <v/>
      </c>
      <c r="R142" s="39">
        <f>IF(P142="","-",IF(P142&lt;0.1,"Низкая(&lt;10%)",IF(P142&lt;0.2,"Средняя(10-20%)","Хорошая(&gt;20%)")))</f>
        <v/>
      </c>
      <c r="S142" s="39">
        <f>IF(OR(H142="",C142=""),"-",IF((H142-C142)/H142&lt;0.05,"КРИТИЧНО",IF((H142-C142)/H142&lt;0.15,"УМЕРЕННЫЙ","НИЗКИЙ")))</f>
        <v/>
      </c>
      <c r="T142" s="43" t="n"/>
      <c r="U142" s="40">
        <f>IF(T142&gt;0,T142*D142,"")</f>
        <v/>
      </c>
      <c r="V142" s="40">
        <f>IF(T142&gt;0,T142*Q142,"")</f>
        <v/>
      </c>
      <c r="W142" s="41">
        <f>IF(U142&gt;0,V142/U142,"")</f>
        <v/>
      </c>
      <c r="X142" s="40">
        <f>IF(F142&lt;&gt;"",F142,"")</f>
        <v/>
      </c>
      <c r="Y142" s="41">
        <f>IF(AND(X142&lt;&gt;"",C142&gt;0),(X142-C142)/C142,"")</f>
        <v/>
      </c>
      <c r="Z142" s="41">
        <f>IF(AND(X142&lt;&gt;"",X142&gt;0),(X142-C142)/X142,"")</f>
        <v/>
      </c>
      <c r="AA142" s="40">
        <f>IF(AND(X142&lt;&gt;"",C142&gt;0),X142-C142,"")</f>
        <v/>
      </c>
      <c r="AB142" s="41">
        <f>IF(AND(X142&lt;&gt;"",D142&gt;0),(X142-D142)/D142,"")</f>
        <v/>
      </c>
      <c r="AC142" s="41">
        <f>IF(AND(Z142&lt;&gt;"",P142&lt;&gt;""),(Z142-P142)/ABS(IF(P142=0,1,P142)),"")</f>
        <v/>
      </c>
      <c r="AD142" s="40">
        <f>IF(AND(AA142&lt;&gt;"",Q142&lt;&gt;""),AA142-Q142,"")</f>
        <v/>
      </c>
      <c r="AE142" s="40">
        <f>IF(G142&lt;&gt;"",G142,"")</f>
        <v/>
      </c>
      <c r="AF142" s="41">
        <f>IF(AND(AE142&lt;&gt;"",C142&gt;0),(AE142-C142)/C142,"")</f>
        <v/>
      </c>
      <c r="AG142" s="41">
        <f>IF(AND(AE142&lt;&gt;"",AE142&gt;0),(AE142-C142)/AE142,"")</f>
        <v/>
      </c>
      <c r="AH142" s="40">
        <f>IF(AND(AE142&lt;&gt;"",C142&gt;0),AE142-C142,"")</f>
        <v/>
      </c>
      <c r="AI142" s="41">
        <f>IF(AND(AE142&lt;&gt;"",D142&gt;0),(AE142-D142)/D142,"")</f>
        <v/>
      </c>
      <c r="AJ142" s="41">
        <f>IF(AND(AG142&lt;&gt;"",P142&lt;&gt;""),(AG142-P142)/ABS(IF(P142=0,1,P142)),"")</f>
        <v/>
      </c>
      <c r="AK142" s="40">
        <f>IF(AND(AH142&lt;&gt;"",Q142&lt;&gt;""),AH142-Q142,"")</f>
        <v/>
      </c>
      <c r="AL142" s="40">
        <f>IF(H142&lt;&gt;"",H142,"")</f>
        <v/>
      </c>
      <c r="AM142" s="41">
        <f>IF(AND(AL142&lt;&gt;"",C142&gt;0),(AL142-C142)/C142,"")</f>
        <v/>
      </c>
      <c r="AN142" s="41">
        <f>IF(AND(AL142&lt;&gt;"",AL142&gt;0),(AL142-C142)/AL142,"")</f>
        <v/>
      </c>
      <c r="AO142" s="40">
        <f>IF(AND(AL142&lt;&gt;"",C142&gt;0),AL142-C142,"")</f>
        <v/>
      </c>
      <c r="AP142" s="41">
        <f>IF(AND(AL142&lt;&gt;"",D142&gt;0),(AL142-D142)/D142,"")</f>
        <v/>
      </c>
      <c r="AQ142" s="41">
        <f>IF(AND(AN142&lt;&gt;"",P142&lt;&gt;""),(AN142-P142)/ABS(IF(P142=0,1,P142)),"")</f>
        <v/>
      </c>
      <c r="AR142" s="40">
        <f>IF(AND(AO142&lt;&gt;"",Q142&lt;&gt;""),AO142-Q142,"")</f>
        <v/>
      </c>
      <c r="AS142" s="44" t="n"/>
      <c r="AT142" s="41">
        <f>IF(AND(AS142&gt;0,C142&gt;0),(AS142-C142)/C142,"")</f>
        <v/>
      </c>
      <c r="AU142" s="41">
        <f>IF(AND(AS142&gt;0,AS142&gt;0),(AS142-C142)/AS142,"")</f>
        <v/>
      </c>
      <c r="AV142" s="40">
        <f>IF(AND(AS142&gt;0,C142&gt;0),AS142-C142,"")</f>
        <v/>
      </c>
      <c r="AW142" s="41">
        <f>IF(AND(AS142&gt;0,D142&gt;0),(AS142-D142)/D142,"")</f>
        <v/>
      </c>
      <c r="AX142" s="41">
        <f>IF(AND(AU142&lt;&gt;"",P142&lt;&gt;""),(AU142-P142)/ABS(IF(P142=0,1,P142)),"")</f>
        <v/>
      </c>
      <c r="AY142" s="40">
        <f>IF(AND(AV142&lt;&gt;"",Q142&lt;&gt;""),AV142-Q142,"")</f>
        <v/>
      </c>
      <c r="AZ142" s="45" t="n"/>
      <c r="BA142" s="40">
        <f>IF(AND(AZ142&gt;0,C142&gt;0),C142/(1-AZ142),"")</f>
        <v/>
      </c>
      <c r="BB142" s="41">
        <f>IF(AND(BA142&lt;&gt;"",C142&gt;0),(BA142-C142)/C142,"")</f>
        <v/>
      </c>
      <c r="BC142" s="41">
        <f>IF(BA142&lt;&gt;"",AZ142,"")</f>
        <v/>
      </c>
      <c r="BD142" s="40">
        <f>IF(AND(BA142&lt;&gt;"",C142&gt;0),BA142-C142,"")</f>
        <v/>
      </c>
      <c r="BE142" s="41">
        <f>IF(AND(BA142&lt;&gt;"",D142&gt;0),(BA142-D142)/D142,"")</f>
        <v/>
      </c>
      <c r="BF142" s="41">
        <f>IF(AND(BC142&lt;&gt;"",P142&lt;&gt;""),(BC142-P142)/ABS(IF(P142=0,1,P142)),"")</f>
        <v/>
      </c>
      <c r="BG142" s="40">
        <f>IF(AND(BD142&lt;&gt;"",Q142&lt;&gt;""),BD142-Q142,"")</f>
        <v/>
      </c>
      <c r="BH142" s="40">
        <f>IF(AND(T142&gt;0,X142&lt;&gt;""),T142*X142,"")</f>
        <v/>
      </c>
      <c r="BI142" s="40">
        <f>IF(AND(T142&gt;0,AA142&lt;&gt;""),T142*AA142,"")</f>
        <v/>
      </c>
      <c r="BJ142" s="40">
        <f>IF(AND(T142&gt;0,AE142&lt;&gt;""),T142*AE142,"")</f>
        <v/>
      </c>
      <c r="BK142" s="40">
        <f>IF(AND(T142&gt;0,AH142&lt;&gt;""),T142*AH142,"")</f>
        <v/>
      </c>
      <c r="BL142" s="40">
        <f>IF(AND(T142&gt;0,AL142&lt;&gt;""),T142*AL142,"")</f>
        <v/>
      </c>
      <c r="BM142" s="40">
        <f>IF(AND(T142&gt;0,AO142&lt;&gt;""),T142*AO142,"")</f>
        <v/>
      </c>
      <c r="BN142" s="40">
        <f>IF(AND(T142&gt;0,AS142&gt;0),T142*AS142,"")</f>
        <v/>
      </c>
      <c r="BO142" s="40">
        <f>IF(AND(T142&gt;0,AV142&lt;&gt;""),T142*AV142,"")</f>
        <v/>
      </c>
      <c r="BP142" s="40">
        <f>IF(AND(T142&gt;0,BA142&lt;&gt;""),T142*BA142,"")</f>
        <v/>
      </c>
      <c r="BQ142" s="40">
        <f>IF(AND(T142&gt;0,BD142&lt;&gt;""),T142*BD142,"")</f>
        <v/>
      </c>
      <c r="BR142" s="46">
        <f>IF(AND(T142&gt;0,V142&gt;0,AA142&lt;&gt;0),V142/AA142-T142,"")</f>
        <v/>
      </c>
      <c r="BS142" s="41">
        <f>IF(AND(BR142&lt;&gt;"",T142&gt;0),BR142/T142,"")</f>
        <v/>
      </c>
      <c r="BT142" s="46">
        <f>IF(AND(T142&gt;0,V142&gt;0,AO142&lt;&gt;0),V142/AO142-T142,"")</f>
        <v/>
      </c>
      <c r="BU142" s="41">
        <f>IF(AND(BT142&lt;&gt;"",T142&gt;0),BT142/T142,"")</f>
        <v/>
      </c>
    </row>
    <row r="143">
      <c r="A143" s="36">
        <f>'📊 Исходные данные'!A142</f>
        <v/>
      </c>
      <c r="B143" s="37">
        <f>'📊 Исходные данные'!B142</f>
        <v/>
      </c>
      <c r="C143" s="38">
        <f>'📊 Исходные данные'!C142</f>
        <v/>
      </c>
      <c r="D143" s="38">
        <f>'📊 Исходные данные'!D142</f>
        <v/>
      </c>
      <c r="E143" s="39">
        <f>IF(OR(D143="",F143=""),"-",IF(D143&gt;F143*1.05,"Выше рынка",IF(D143&lt;F143*0.95,"Ниже рынка","На уровне")))</f>
        <v/>
      </c>
      <c r="F143" s="40">
        <f>IFERROR(AVERAGE('📊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G143" s="40">
        <f>IFERROR(MEDIAN('📊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H143" s="40">
        <f>IFERROR(MIN('📊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I143" s="40">
        <f>IFERROR(MAX('📊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данные'!K142),"")</f>
        <v/>
      </c>
      <c r="J143" s="41">
        <f>IF(AND(D143&lt;&gt;"",F143&lt;&gt;""),(D143-F143)/F143,"")</f>
        <v/>
      </c>
      <c r="K143" s="41">
        <f>IF(AND(D143&lt;&gt;"",G143&lt;&gt;""),(D143-G143)/G143,"")</f>
        <v/>
      </c>
      <c r="L143" s="41">
        <f>IF(AND(D143&lt;&gt;"",H143&lt;&gt;""),(D143-H143)/H143,"")</f>
        <v/>
      </c>
      <c r="M143" s="42">
        <f>IFERROR(RANK(D143,('📊 Исходные данные'!E142,'📊 Исходные данные'!F142,'📊 Исходные данные'!G142,'📊 Исходные данные'!H142,'📊 Исходные данные'!I142,'📊 Исходные данные'!J142,'📊 Исходные данные'!K142)),"")</f>
        <v/>
      </c>
      <c r="N143" s="39">
        <f>IF(M143="","-",IF(M143=1,"Дороже всех",IF(M143=2,"2-й по цене",IF(M143&lt;=4,"Средний","Ниже конкурентов"))))</f>
        <v/>
      </c>
      <c r="O143" s="41">
        <f>IF(AND(C143&gt;0,D143&gt;0),(D143-C143)/C143,"")</f>
        <v/>
      </c>
      <c r="P143" s="41">
        <f>IF(AND(C143&gt;0,D143&gt;0),(D143-C143)/D143,"")</f>
        <v/>
      </c>
      <c r="Q143" s="40">
        <f>IF(AND(C143&gt;0,D143&gt;0),D143-C143,"")</f>
        <v/>
      </c>
      <c r="R143" s="39">
        <f>IF(P143="","-",IF(P143&lt;0.1,"Низкая(&lt;10%)",IF(P143&lt;0.2,"Средняя(10-20%)","Хорошая(&gt;20%)")))</f>
        <v/>
      </c>
      <c r="S143" s="39">
        <f>IF(OR(H143="",C143=""),"-",IF((H143-C143)/H143&lt;0.05,"КРИТИЧНО",IF((H143-C143)/H143&lt;0.15,"УМЕРЕННЫЙ","НИЗКИЙ")))</f>
        <v/>
      </c>
      <c r="T143" s="43" t="n"/>
      <c r="U143" s="40">
        <f>IF(T143&gt;0,T143*D143,"")</f>
        <v/>
      </c>
      <c r="V143" s="40">
        <f>IF(T143&gt;0,T143*Q143,"")</f>
        <v/>
      </c>
      <c r="W143" s="41">
        <f>IF(U143&gt;0,V143/U143,"")</f>
        <v/>
      </c>
      <c r="X143" s="40">
        <f>IF(F143&lt;&gt;"",F143,"")</f>
        <v/>
      </c>
      <c r="Y143" s="41">
        <f>IF(AND(X143&lt;&gt;"",C143&gt;0),(X143-C143)/C143,"")</f>
        <v/>
      </c>
      <c r="Z143" s="41">
        <f>IF(AND(X143&lt;&gt;"",X143&gt;0),(X143-C143)/X143,"")</f>
        <v/>
      </c>
      <c r="AA143" s="40">
        <f>IF(AND(X143&lt;&gt;"",C143&gt;0),X143-C143,"")</f>
        <v/>
      </c>
      <c r="AB143" s="41">
        <f>IF(AND(X143&lt;&gt;"",D143&gt;0),(X143-D143)/D143,"")</f>
        <v/>
      </c>
      <c r="AC143" s="41">
        <f>IF(AND(Z143&lt;&gt;"",P143&lt;&gt;""),(Z143-P143)/ABS(IF(P143=0,1,P143)),"")</f>
        <v/>
      </c>
      <c r="AD143" s="40">
        <f>IF(AND(AA143&lt;&gt;"",Q143&lt;&gt;""),AA143-Q143,"")</f>
        <v/>
      </c>
      <c r="AE143" s="40">
        <f>IF(G143&lt;&gt;"",G143,"")</f>
        <v/>
      </c>
      <c r="AF143" s="41">
        <f>IF(AND(AE143&lt;&gt;"",C143&gt;0),(AE143-C143)/C143,"")</f>
        <v/>
      </c>
      <c r="AG143" s="41">
        <f>IF(AND(AE143&lt;&gt;"",AE143&gt;0),(AE143-C143)/AE143,"")</f>
        <v/>
      </c>
      <c r="AH143" s="40">
        <f>IF(AND(AE143&lt;&gt;"",C143&gt;0),AE143-C143,"")</f>
        <v/>
      </c>
      <c r="AI143" s="41">
        <f>IF(AND(AE143&lt;&gt;"",D143&gt;0),(AE143-D143)/D143,"")</f>
        <v/>
      </c>
      <c r="AJ143" s="41">
        <f>IF(AND(AG143&lt;&gt;"",P143&lt;&gt;""),(AG143-P143)/ABS(IF(P143=0,1,P143)),"")</f>
        <v/>
      </c>
      <c r="AK143" s="40">
        <f>IF(AND(AH143&lt;&gt;"",Q143&lt;&gt;""),AH143-Q143,"")</f>
        <v/>
      </c>
      <c r="AL143" s="40">
        <f>IF(H143&lt;&gt;"",H143,"")</f>
        <v/>
      </c>
      <c r="AM143" s="41">
        <f>IF(AND(AL143&lt;&gt;"",C143&gt;0),(AL143-C143)/C143,"")</f>
        <v/>
      </c>
      <c r="AN143" s="41">
        <f>IF(AND(AL143&lt;&gt;"",AL143&gt;0),(AL143-C143)/AL143,"")</f>
        <v/>
      </c>
      <c r="AO143" s="40">
        <f>IF(AND(AL143&lt;&gt;"",C143&gt;0),AL143-C143,"")</f>
        <v/>
      </c>
      <c r="AP143" s="41">
        <f>IF(AND(AL143&lt;&gt;"",D143&gt;0),(AL143-D143)/D143,"")</f>
        <v/>
      </c>
      <c r="AQ143" s="41">
        <f>IF(AND(AN143&lt;&gt;"",P143&lt;&gt;""),(AN143-P143)/ABS(IF(P143=0,1,P143)),"")</f>
        <v/>
      </c>
      <c r="AR143" s="40">
        <f>IF(AND(AO143&lt;&gt;"",Q143&lt;&gt;""),AO143-Q143,"")</f>
        <v/>
      </c>
      <c r="AS143" s="44" t="n"/>
      <c r="AT143" s="41">
        <f>IF(AND(AS143&gt;0,C143&gt;0),(AS143-C143)/C143,"")</f>
        <v/>
      </c>
      <c r="AU143" s="41">
        <f>IF(AND(AS143&gt;0,AS143&gt;0),(AS143-C143)/AS143,"")</f>
        <v/>
      </c>
      <c r="AV143" s="40">
        <f>IF(AND(AS143&gt;0,C143&gt;0),AS143-C143,"")</f>
        <v/>
      </c>
      <c r="AW143" s="41">
        <f>IF(AND(AS143&gt;0,D143&gt;0),(AS143-D143)/D143,"")</f>
        <v/>
      </c>
      <c r="AX143" s="41">
        <f>IF(AND(AU143&lt;&gt;"",P143&lt;&gt;""),(AU143-P143)/ABS(IF(P143=0,1,P143)),"")</f>
        <v/>
      </c>
      <c r="AY143" s="40">
        <f>IF(AND(AV143&lt;&gt;"",Q143&lt;&gt;""),AV143-Q143,"")</f>
        <v/>
      </c>
      <c r="AZ143" s="45" t="n"/>
      <c r="BA143" s="40">
        <f>IF(AND(AZ143&gt;0,C143&gt;0),C143/(1-AZ143),"")</f>
        <v/>
      </c>
      <c r="BB143" s="41">
        <f>IF(AND(BA143&lt;&gt;"",C143&gt;0),(BA143-C143)/C143,"")</f>
        <v/>
      </c>
      <c r="BC143" s="41">
        <f>IF(BA143&lt;&gt;"",AZ143,"")</f>
        <v/>
      </c>
      <c r="BD143" s="40">
        <f>IF(AND(BA143&lt;&gt;"",C143&gt;0),BA143-C143,"")</f>
        <v/>
      </c>
      <c r="BE143" s="41">
        <f>IF(AND(BA143&lt;&gt;"",D143&gt;0),(BA143-D143)/D143,"")</f>
        <v/>
      </c>
      <c r="BF143" s="41">
        <f>IF(AND(BC143&lt;&gt;"",P143&lt;&gt;""),(BC143-P143)/ABS(IF(P143=0,1,P143)),"")</f>
        <v/>
      </c>
      <c r="BG143" s="40">
        <f>IF(AND(BD143&lt;&gt;"",Q143&lt;&gt;""),BD143-Q143,"")</f>
        <v/>
      </c>
      <c r="BH143" s="40">
        <f>IF(AND(T143&gt;0,X143&lt;&gt;""),T143*X143,"")</f>
        <v/>
      </c>
      <c r="BI143" s="40">
        <f>IF(AND(T143&gt;0,AA143&lt;&gt;""),T143*AA143,"")</f>
        <v/>
      </c>
      <c r="BJ143" s="40">
        <f>IF(AND(T143&gt;0,AE143&lt;&gt;""),T143*AE143,"")</f>
        <v/>
      </c>
      <c r="BK143" s="40">
        <f>IF(AND(T143&gt;0,AH143&lt;&gt;""),T143*AH143,"")</f>
        <v/>
      </c>
      <c r="BL143" s="40">
        <f>IF(AND(T143&gt;0,AL143&lt;&gt;""),T143*AL143,"")</f>
        <v/>
      </c>
      <c r="BM143" s="40">
        <f>IF(AND(T143&gt;0,AO143&lt;&gt;""),T143*AO143,"")</f>
        <v/>
      </c>
      <c r="BN143" s="40">
        <f>IF(AND(T143&gt;0,AS143&gt;0),T143*AS143,"")</f>
        <v/>
      </c>
      <c r="BO143" s="40">
        <f>IF(AND(T143&gt;0,AV143&lt;&gt;""),T143*AV143,"")</f>
        <v/>
      </c>
      <c r="BP143" s="40">
        <f>IF(AND(T143&gt;0,BA143&lt;&gt;""),T143*BA143,"")</f>
        <v/>
      </c>
      <c r="BQ143" s="40">
        <f>IF(AND(T143&gt;0,BD143&lt;&gt;""),T143*BD143,"")</f>
        <v/>
      </c>
      <c r="BR143" s="46">
        <f>IF(AND(T143&gt;0,V143&gt;0,AA143&lt;&gt;0),V143/AA143-T143,"")</f>
        <v/>
      </c>
      <c r="BS143" s="41">
        <f>IF(AND(BR143&lt;&gt;"",T143&gt;0),BR143/T143,"")</f>
        <v/>
      </c>
      <c r="BT143" s="46">
        <f>IF(AND(T143&gt;0,V143&gt;0,AO143&lt;&gt;0),V143/AO143-T143,"")</f>
        <v/>
      </c>
      <c r="BU143" s="41">
        <f>IF(AND(BT143&lt;&gt;"",T143&gt;0),BT143/T143,"")</f>
        <v/>
      </c>
    </row>
    <row r="144">
      <c r="A144" s="36">
        <f>'📊 Исходные данные'!A143</f>
        <v/>
      </c>
      <c r="B144" s="37">
        <f>'📊 Исходные данные'!B143</f>
        <v/>
      </c>
      <c r="C144" s="38">
        <f>'📊 Исходные данные'!C143</f>
        <v/>
      </c>
      <c r="D144" s="38">
        <f>'📊 Исходные данные'!D143</f>
        <v/>
      </c>
      <c r="E144" s="39">
        <f>IF(OR(D144="",F144=""),"-",IF(D144&gt;F144*1.05,"Выше рынка",IF(D144&lt;F144*0.95,"Ниже рынка","На уровне")))</f>
        <v/>
      </c>
      <c r="F144" s="40">
        <f>IFERROR(AVERAGE('📊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G144" s="40">
        <f>IFERROR(MEDIAN('📊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H144" s="40">
        <f>IFERROR(MIN('📊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I144" s="40">
        <f>IFERROR(MAX('📊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данные'!K143),"")</f>
        <v/>
      </c>
      <c r="J144" s="41">
        <f>IF(AND(D144&lt;&gt;"",F144&lt;&gt;""),(D144-F144)/F144,"")</f>
        <v/>
      </c>
      <c r="K144" s="41">
        <f>IF(AND(D144&lt;&gt;"",G144&lt;&gt;""),(D144-G144)/G144,"")</f>
        <v/>
      </c>
      <c r="L144" s="41">
        <f>IF(AND(D144&lt;&gt;"",H144&lt;&gt;""),(D144-H144)/H144,"")</f>
        <v/>
      </c>
      <c r="M144" s="42">
        <f>IFERROR(RANK(D144,('📊 Исходные данные'!E143,'📊 Исходные данные'!F143,'📊 Исходные данные'!G143,'📊 Исходные данные'!H143,'📊 Исходные данные'!I143,'📊 Исходные данные'!J143,'📊 Исходные данные'!K143)),"")</f>
        <v/>
      </c>
      <c r="N144" s="39">
        <f>IF(M144="","-",IF(M144=1,"Дороже всех",IF(M144=2,"2-й по цене",IF(M144&lt;=4,"Средний","Ниже конкурентов"))))</f>
        <v/>
      </c>
      <c r="O144" s="41">
        <f>IF(AND(C144&gt;0,D144&gt;0),(D144-C144)/C144,"")</f>
        <v/>
      </c>
      <c r="P144" s="41">
        <f>IF(AND(C144&gt;0,D144&gt;0),(D144-C144)/D144,"")</f>
        <v/>
      </c>
      <c r="Q144" s="40">
        <f>IF(AND(C144&gt;0,D144&gt;0),D144-C144,"")</f>
        <v/>
      </c>
      <c r="R144" s="39">
        <f>IF(P144="","-",IF(P144&lt;0.1,"Низкая(&lt;10%)",IF(P144&lt;0.2,"Средняя(10-20%)","Хорошая(&gt;20%)")))</f>
        <v/>
      </c>
      <c r="S144" s="39">
        <f>IF(OR(H144="",C144=""),"-",IF((H144-C144)/H144&lt;0.05,"КРИТИЧНО",IF((H144-C144)/H144&lt;0.15,"УМЕРЕННЫЙ","НИЗКИЙ")))</f>
        <v/>
      </c>
      <c r="T144" s="43" t="n"/>
      <c r="U144" s="40">
        <f>IF(T144&gt;0,T144*D144,"")</f>
        <v/>
      </c>
      <c r="V144" s="40">
        <f>IF(T144&gt;0,T144*Q144,"")</f>
        <v/>
      </c>
      <c r="W144" s="41">
        <f>IF(U144&gt;0,V144/U144,"")</f>
        <v/>
      </c>
      <c r="X144" s="40">
        <f>IF(F144&lt;&gt;"",F144,"")</f>
        <v/>
      </c>
      <c r="Y144" s="41">
        <f>IF(AND(X144&lt;&gt;"",C144&gt;0),(X144-C144)/C144,"")</f>
        <v/>
      </c>
      <c r="Z144" s="41">
        <f>IF(AND(X144&lt;&gt;"",X144&gt;0),(X144-C144)/X144,"")</f>
        <v/>
      </c>
      <c r="AA144" s="40">
        <f>IF(AND(X144&lt;&gt;"",C144&gt;0),X144-C144,"")</f>
        <v/>
      </c>
      <c r="AB144" s="41">
        <f>IF(AND(X144&lt;&gt;"",D144&gt;0),(X144-D144)/D144,"")</f>
        <v/>
      </c>
      <c r="AC144" s="41">
        <f>IF(AND(Z144&lt;&gt;"",P144&lt;&gt;""),(Z144-P144)/ABS(IF(P144=0,1,P144)),"")</f>
        <v/>
      </c>
      <c r="AD144" s="40">
        <f>IF(AND(AA144&lt;&gt;"",Q144&lt;&gt;""),AA144-Q144,"")</f>
        <v/>
      </c>
      <c r="AE144" s="40">
        <f>IF(G144&lt;&gt;"",G144,"")</f>
        <v/>
      </c>
      <c r="AF144" s="41">
        <f>IF(AND(AE144&lt;&gt;"",C144&gt;0),(AE144-C144)/C144,"")</f>
        <v/>
      </c>
      <c r="AG144" s="41">
        <f>IF(AND(AE144&lt;&gt;"",AE144&gt;0),(AE144-C144)/AE144,"")</f>
        <v/>
      </c>
      <c r="AH144" s="40">
        <f>IF(AND(AE144&lt;&gt;"",C144&gt;0),AE144-C144,"")</f>
        <v/>
      </c>
      <c r="AI144" s="41">
        <f>IF(AND(AE144&lt;&gt;"",D144&gt;0),(AE144-D144)/D144,"")</f>
        <v/>
      </c>
      <c r="AJ144" s="41">
        <f>IF(AND(AG144&lt;&gt;"",P144&lt;&gt;""),(AG144-P144)/ABS(IF(P144=0,1,P144)),"")</f>
        <v/>
      </c>
      <c r="AK144" s="40">
        <f>IF(AND(AH144&lt;&gt;"",Q144&lt;&gt;""),AH144-Q144,"")</f>
        <v/>
      </c>
      <c r="AL144" s="40">
        <f>IF(H144&lt;&gt;"",H144,"")</f>
        <v/>
      </c>
      <c r="AM144" s="41">
        <f>IF(AND(AL144&lt;&gt;"",C144&gt;0),(AL144-C144)/C144,"")</f>
        <v/>
      </c>
      <c r="AN144" s="41">
        <f>IF(AND(AL144&lt;&gt;"",AL144&gt;0),(AL144-C144)/AL144,"")</f>
        <v/>
      </c>
      <c r="AO144" s="40">
        <f>IF(AND(AL144&lt;&gt;"",C144&gt;0),AL144-C144,"")</f>
        <v/>
      </c>
      <c r="AP144" s="41">
        <f>IF(AND(AL144&lt;&gt;"",D144&gt;0),(AL144-D144)/D144,"")</f>
        <v/>
      </c>
      <c r="AQ144" s="41">
        <f>IF(AND(AN144&lt;&gt;"",P144&lt;&gt;""),(AN144-P144)/ABS(IF(P144=0,1,P144)),"")</f>
        <v/>
      </c>
      <c r="AR144" s="40">
        <f>IF(AND(AO144&lt;&gt;"",Q144&lt;&gt;""),AO144-Q144,"")</f>
        <v/>
      </c>
      <c r="AS144" s="44" t="n"/>
      <c r="AT144" s="41">
        <f>IF(AND(AS144&gt;0,C144&gt;0),(AS144-C144)/C144,"")</f>
        <v/>
      </c>
      <c r="AU144" s="41">
        <f>IF(AND(AS144&gt;0,AS144&gt;0),(AS144-C144)/AS144,"")</f>
        <v/>
      </c>
      <c r="AV144" s="40">
        <f>IF(AND(AS144&gt;0,C144&gt;0),AS144-C144,"")</f>
        <v/>
      </c>
      <c r="AW144" s="41">
        <f>IF(AND(AS144&gt;0,D144&gt;0),(AS144-D144)/D144,"")</f>
        <v/>
      </c>
      <c r="AX144" s="41">
        <f>IF(AND(AU144&lt;&gt;"",P144&lt;&gt;""),(AU144-P144)/ABS(IF(P144=0,1,P144)),"")</f>
        <v/>
      </c>
      <c r="AY144" s="40">
        <f>IF(AND(AV144&lt;&gt;"",Q144&lt;&gt;""),AV144-Q144,"")</f>
        <v/>
      </c>
      <c r="AZ144" s="45" t="n"/>
      <c r="BA144" s="40">
        <f>IF(AND(AZ144&gt;0,C144&gt;0),C144/(1-AZ144),"")</f>
        <v/>
      </c>
      <c r="BB144" s="41">
        <f>IF(AND(BA144&lt;&gt;"",C144&gt;0),(BA144-C144)/C144,"")</f>
        <v/>
      </c>
      <c r="BC144" s="41">
        <f>IF(BA144&lt;&gt;"",AZ144,"")</f>
        <v/>
      </c>
      <c r="BD144" s="40">
        <f>IF(AND(BA144&lt;&gt;"",C144&gt;0),BA144-C144,"")</f>
        <v/>
      </c>
      <c r="BE144" s="41">
        <f>IF(AND(BA144&lt;&gt;"",D144&gt;0),(BA144-D144)/D144,"")</f>
        <v/>
      </c>
      <c r="BF144" s="41">
        <f>IF(AND(BC144&lt;&gt;"",P144&lt;&gt;""),(BC144-P144)/ABS(IF(P144=0,1,P144)),"")</f>
        <v/>
      </c>
      <c r="BG144" s="40">
        <f>IF(AND(BD144&lt;&gt;"",Q144&lt;&gt;""),BD144-Q144,"")</f>
        <v/>
      </c>
      <c r="BH144" s="40">
        <f>IF(AND(T144&gt;0,X144&lt;&gt;""),T144*X144,"")</f>
        <v/>
      </c>
      <c r="BI144" s="40">
        <f>IF(AND(T144&gt;0,AA144&lt;&gt;""),T144*AA144,"")</f>
        <v/>
      </c>
      <c r="BJ144" s="40">
        <f>IF(AND(T144&gt;0,AE144&lt;&gt;""),T144*AE144,"")</f>
        <v/>
      </c>
      <c r="BK144" s="40">
        <f>IF(AND(T144&gt;0,AH144&lt;&gt;""),T144*AH144,"")</f>
        <v/>
      </c>
      <c r="BL144" s="40">
        <f>IF(AND(T144&gt;0,AL144&lt;&gt;""),T144*AL144,"")</f>
        <v/>
      </c>
      <c r="BM144" s="40">
        <f>IF(AND(T144&gt;0,AO144&lt;&gt;""),T144*AO144,"")</f>
        <v/>
      </c>
      <c r="BN144" s="40">
        <f>IF(AND(T144&gt;0,AS144&gt;0),T144*AS144,"")</f>
        <v/>
      </c>
      <c r="BO144" s="40">
        <f>IF(AND(T144&gt;0,AV144&lt;&gt;""),T144*AV144,"")</f>
        <v/>
      </c>
      <c r="BP144" s="40">
        <f>IF(AND(T144&gt;0,BA144&lt;&gt;""),T144*BA144,"")</f>
        <v/>
      </c>
      <c r="BQ144" s="40">
        <f>IF(AND(T144&gt;0,BD144&lt;&gt;""),T144*BD144,"")</f>
        <v/>
      </c>
      <c r="BR144" s="46">
        <f>IF(AND(T144&gt;0,V144&gt;0,AA144&lt;&gt;0),V144/AA144-T144,"")</f>
        <v/>
      </c>
      <c r="BS144" s="41">
        <f>IF(AND(BR144&lt;&gt;"",T144&gt;0),BR144/T144,"")</f>
        <v/>
      </c>
      <c r="BT144" s="46">
        <f>IF(AND(T144&gt;0,V144&gt;0,AO144&lt;&gt;0),V144/AO144-T144,"")</f>
        <v/>
      </c>
      <c r="BU144" s="41">
        <f>IF(AND(BT144&lt;&gt;"",T144&gt;0),BT144/T144,"")</f>
        <v/>
      </c>
    </row>
    <row r="145">
      <c r="A145" s="36">
        <f>'📊 Исходные данные'!A144</f>
        <v/>
      </c>
      <c r="B145" s="37">
        <f>'📊 Исходные данные'!B144</f>
        <v/>
      </c>
      <c r="C145" s="38">
        <f>'📊 Исходные данные'!C144</f>
        <v/>
      </c>
      <c r="D145" s="38">
        <f>'📊 Исходные данные'!D144</f>
        <v/>
      </c>
      <c r="E145" s="39">
        <f>IF(OR(D145="",F145=""),"-",IF(D145&gt;F145*1.05,"Выше рынка",IF(D145&lt;F145*0.95,"Ниже рынка","На уровне")))</f>
        <v/>
      </c>
      <c r="F145" s="40">
        <f>IFERROR(AVERAGE('📊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G145" s="40">
        <f>IFERROR(MEDIAN('📊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H145" s="40">
        <f>IFERROR(MIN('📊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I145" s="40">
        <f>IFERROR(MAX('📊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данные'!K144),"")</f>
        <v/>
      </c>
      <c r="J145" s="41">
        <f>IF(AND(D145&lt;&gt;"",F145&lt;&gt;""),(D145-F145)/F145,"")</f>
        <v/>
      </c>
      <c r="K145" s="41">
        <f>IF(AND(D145&lt;&gt;"",G145&lt;&gt;""),(D145-G145)/G145,"")</f>
        <v/>
      </c>
      <c r="L145" s="41">
        <f>IF(AND(D145&lt;&gt;"",H145&lt;&gt;""),(D145-H145)/H145,"")</f>
        <v/>
      </c>
      <c r="M145" s="42">
        <f>IFERROR(RANK(D145,('📊 Исходные данные'!E144,'📊 Исходные данные'!F144,'📊 Исходные данные'!G144,'📊 Исходные данные'!H144,'📊 Исходные данные'!I144,'📊 Исходные данные'!J144,'📊 Исходные данные'!K144)),"")</f>
        <v/>
      </c>
      <c r="N145" s="39">
        <f>IF(M145="","-",IF(M145=1,"Дороже всех",IF(M145=2,"2-й по цене",IF(M145&lt;=4,"Средний","Ниже конкурентов"))))</f>
        <v/>
      </c>
      <c r="O145" s="41">
        <f>IF(AND(C145&gt;0,D145&gt;0),(D145-C145)/C145,"")</f>
        <v/>
      </c>
      <c r="P145" s="41">
        <f>IF(AND(C145&gt;0,D145&gt;0),(D145-C145)/D145,"")</f>
        <v/>
      </c>
      <c r="Q145" s="40">
        <f>IF(AND(C145&gt;0,D145&gt;0),D145-C145,"")</f>
        <v/>
      </c>
      <c r="R145" s="39">
        <f>IF(P145="","-",IF(P145&lt;0.1,"Низкая(&lt;10%)",IF(P145&lt;0.2,"Средняя(10-20%)","Хорошая(&gt;20%)")))</f>
        <v/>
      </c>
      <c r="S145" s="39">
        <f>IF(OR(H145="",C145=""),"-",IF((H145-C145)/H145&lt;0.05,"КРИТИЧНО",IF((H145-C145)/H145&lt;0.15,"УМЕРЕННЫЙ","НИЗКИЙ")))</f>
        <v/>
      </c>
      <c r="T145" s="43" t="n"/>
      <c r="U145" s="40">
        <f>IF(T145&gt;0,T145*D145,"")</f>
        <v/>
      </c>
      <c r="V145" s="40">
        <f>IF(T145&gt;0,T145*Q145,"")</f>
        <v/>
      </c>
      <c r="W145" s="41">
        <f>IF(U145&gt;0,V145/U145,"")</f>
        <v/>
      </c>
      <c r="X145" s="40">
        <f>IF(F145&lt;&gt;"",F145,"")</f>
        <v/>
      </c>
      <c r="Y145" s="41">
        <f>IF(AND(X145&lt;&gt;"",C145&gt;0),(X145-C145)/C145,"")</f>
        <v/>
      </c>
      <c r="Z145" s="41">
        <f>IF(AND(X145&lt;&gt;"",X145&gt;0),(X145-C145)/X145,"")</f>
        <v/>
      </c>
      <c r="AA145" s="40">
        <f>IF(AND(X145&lt;&gt;"",C145&gt;0),X145-C145,"")</f>
        <v/>
      </c>
      <c r="AB145" s="41">
        <f>IF(AND(X145&lt;&gt;"",D145&gt;0),(X145-D145)/D145,"")</f>
        <v/>
      </c>
      <c r="AC145" s="41">
        <f>IF(AND(Z145&lt;&gt;"",P145&lt;&gt;""),(Z145-P145)/ABS(IF(P145=0,1,P145)),"")</f>
        <v/>
      </c>
      <c r="AD145" s="40">
        <f>IF(AND(AA145&lt;&gt;"",Q145&lt;&gt;""),AA145-Q145,"")</f>
        <v/>
      </c>
      <c r="AE145" s="40">
        <f>IF(G145&lt;&gt;"",G145,"")</f>
        <v/>
      </c>
      <c r="AF145" s="41">
        <f>IF(AND(AE145&lt;&gt;"",C145&gt;0),(AE145-C145)/C145,"")</f>
        <v/>
      </c>
      <c r="AG145" s="41">
        <f>IF(AND(AE145&lt;&gt;"",AE145&gt;0),(AE145-C145)/AE145,"")</f>
        <v/>
      </c>
      <c r="AH145" s="40">
        <f>IF(AND(AE145&lt;&gt;"",C145&gt;0),AE145-C145,"")</f>
        <v/>
      </c>
      <c r="AI145" s="41">
        <f>IF(AND(AE145&lt;&gt;"",D145&gt;0),(AE145-D145)/D145,"")</f>
        <v/>
      </c>
      <c r="AJ145" s="41">
        <f>IF(AND(AG145&lt;&gt;"",P145&lt;&gt;""),(AG145-P145)/ABS(IF(P145=0,1,P145)),"")</f>
        <v/>
      </c>
      <c r="AK145" s="40">
        <f>IF(AND(AH145&lt;&gt;"",Q145&lt;&gt;""),AH145-Q145,"")</f>
        <v/>
      </c>
      <c r="AL145" s="40">
        <f>IF(H145&lt;&gt;"",H145,"")</f>
        <v/>
      </c>
      <c r="AM145" s="41">
        <f>IF(AND(AL145&lt;&gt;"",C145&gt;0),(AL145-C145)/C145,"")</f>
        <v/>
      </c>
      <c r="AN145" s="41">
        <f>IF(AND(AL145&lt;&gt;"",AL145&gt;0),(AL145-C145)/AL145,"")</f>
        <v/>
      </c>
      <c r="AO145" s="40">
        <f>IF(AND(AL145&lt;&gt;"",C145&gt;0),AL145-C145,"")</f>
        <v/>
      </c>
      <c r="AP145" s="41">
        <f>IF(AND(AL145&lt;&gt;"",D145&gt;0),(AL145-D145)/D145,"")</f>
        <v/>
      </c>
      <c r="AQ145" s="41">
        <f>IF(AND(AN145&lt;&gt;"",P145&lt;&gt;""),(AN145-P145)/ABS(IF(P145=0,1,P145)),"")</f>
        <v/>
      </c>
      <c r="AR145" s="40">
        <f>IF(AND(AO145&lt;&gt;"",Q145&lt;&gt;""),AO145-Q145,"")</f>
        <v/>
      </c>
      <c r="AS145" s="44" t="n"/>
      <c r="AT145" s="41">
        <f>IF(AND(AS145&gt;0,C145&gt;0),(AS145-C145)/C145,"")</f>
        <v/>
      </c>
      <c r="AU145" s="41">
        <f>IF(AND(AS145&gt;0,AS145&gt;0),(AS145-C145)/AS145,"")</f>
        <v/>
      </c>
      <c r="AV145" s="40">
        <f>IF(AND(AS145&gt;0,C145&gt;0),AS145-C145,"")</f>
        <v/>
      </c>
      <c r="AW145" s="41">
        <f>IF(AND(AS145&gt;0,D145&gt;0),(AS145-D145)/D145,"")</f>
        <v/>
      </c>
      <c r="AX145" s="41">
        <f>IF(AND(AU145&lt;&gt;"",P145&lt;&gt;""),(AU145-P145)/ABS(IF(P145=0,1,P145)),"")</f>
        <v/>
      </c>
      <c r="AY145" s="40">
        <f>IF(AND(AV145&lt;&gt;"",Q145&lt;&gt;""),AV145-Q145,"")</f>
        <v/>
      </c>
      <c r="AZ145" s="45" t="n"/>
      <c r="BA145" s="40">
        <f>IF(AND(AZ145&gt;0,C145&gt;0),C145/(1-AZ145),"")</f>
        <v/>
      </c>
      <c r="BB145" s="41">
        <f>IF(AND(BA145&lt;&gt;"",C145&gt;0),(BA145-C145)/C145,"")</f>
        <v/>
      </c>
      <c r="BC145" s="41">
        <f>IF(BA145&lt;&gt;"",AZ145,"")</f>
        <v/>
      </c>
      <c r="BD145" s="40">
        <f>IF(AND(BA145&lt;&gt;"",C145&gt;0),BA145-C145,"")</f>
        <v/>
      </c>
      <c r="BE145" s="41">
        <f>IF(AND(BA145&lt;&gt;"",D145&gt;0),(BA145-D145)/D145,"")</f>
        <v/>
      </c>
      <c r="BF145" s="41">
        <f>IF(AND(BC145&lt;&gt;"",P145&lt;&gt;""),(BC145-P145)/ABS(IF(P145=0,1,P145)),"")</f>
        <v/>
      </c>
      <c r="BG145" s="40">
        <f>IF(AND(BD145&lt;&gt;"",Q145&lt;&gt;""),BD145-Q145,"")</f>
        <v/>
      </c>
      <c r="BH145" s="40">
        <f>IF(AND(T145&gt;0,X145&lt;&gt;""),T145*X145,"")</f>
        <v/>
      </c>
      <c r="BI145" s="40">
        <f>IF(AND(T145&gt;0,AA145&lt;&gt;""),T145*AA145,"")</f>
        <v/>
      </c>
      <c r="BJ145" s="40">
        <f>IF(AND(T145&gt;0,AE145&lt;&gt;""),T145*AE145,"")</f>
        <v/>
      </c>
      <c r="BK145" s="40">
        <f>IF(AND(T145&gt;0,AH145&lt;&gt;""),T145*AH145,"")</f>
        <v/>
      </c>
      <c r="BL145" s="40">
        <f>IF(AND(T145&gt;0,AL145&lt;&gt;""),T145*AL145,"")</f>
        <v/>
      </c>
      <c r="BM145" s="40">
        <f>IF(AND(T145&gt;0,AO145&lt;&gt;""),T145*AO145,"")</f>
        <v/>
      </c>
      <c r="BN145" s="40">
        <f>IF(AND(T145&gt;0,AS145&gt;0),T145*AS145,"")</f>
        <v/>
      </c>
      <c r="BO145" s="40">
        <f>IF(AND(T145&gt;0,AV145&lt;&gt;""),T145*AV145,"")</f>
        <v/>
      </c>
      <c r="BP145" s="40">
        <f>IF(AND(T145&gt;0,BA145&lt;&gt;""),T145*BA145,"")</f>
        <v/>
      </c>
      <c r="BQ145" s="40">
        <f>IF(AND(T145&gt;0,BD145&lt;&gt;""),T145*BD145,"")</f>
        <v/>
      </c>
      <c r="BR145" s="46">
        <f>IF(AND(T145&gt;0,V145&gt;0,AA145&lt;&gt;0),V145/AA145-T145,"")</f>
        <v/>
      </c>
      <c r="BS145" s="41">
        <f>IF(AND(BR145&lt;&gt;"",T145&gt;0),BR145/T145,"")</f>
        <v/>
      </c>
      <c r="BT145" s="46">
        <f>IF(AND(T145&gt;0,V145&gt;0,AO145&lt;&gt;0),V145/AO145-T145,"")</f>
        <v/>
      </c>
      <c r="BU145" s="41">
        <f>IF(AND(BT145&lt;&gt;"",T145&gt;0),BT145/T145,"")</f>
        <v/>
      </c>
    </row>
    <row r="146">
      <c r="A146" s="36">
        <f>'📊 Исходные данные'!A145</f>
        <v/>
      </c>
      <c r="B146" s="37">
        <f>'📊 Исходные данные'!B145</f>
        <v/>
      </c>
      <c r="C146" s="38">
        <f>'📊 Исходные данные'!C145</f>
        <v/>
      </c>
      <c r="D146" s="38">
        <f>'📊 Исходные данные'!D145</f>
        <v/>
      </c>
      <c r="E146" s="39">
        <f>IF(OR(D146="",F146=""),"-",IF(D146&gt;F146*1.05,"Выше рынка",IF(D146&lt;F146*0.95,"Ниже рынка","На уровне")))</f>
        <v/>
      </c>
      <c r="F146" s="40">
        <f>IFERROR(AVERAGE('📊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G146" s="40">
        <f>IFERROR(MEDIAN('📊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H146" s="40">
        <f>IFERROR(MIN('📊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I146" s="40">
        <f>IFERROR(MAX('📊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данные'!K145),"")</f>
        <v/>
      </c>
      <c r="J146" s="41">
        <f>IF(AND(D146&lt;&gt;"",F146&lt;&gt;""),(D146-F146)/F146,"")</f>
        <v/>
      </c>
      <c r="K146" s="41">
        <f>IF(AND(D146&lt;&gt;"",G146&lt;&gt;""),(D146-G146)/G146,"")</f>
        <v/>
      </c>
      <c r="L146" s="41">
        <f>IF(AND(D146&lt;&gt;"",H146&lt;&gt;""),(D146-H146)/H146,"")</f>
        <v/>
      </c>
      <c r="M146" s="42">
        <f>IFERROR(RANK(D146,('📊 Исходные данные'!E145,'📊 Исходные данные'!F145,'📊 Исходные данные'!G145,'📊 Исходные данные'!H145,'📊 Исходные данные'!I145,'📊 Исходные данные'!J145,'📊 Исходные данные'!K145)),"")</f>
        <v/>
      </c>
      <c r="N146" s="39">
        <f>IF(M146="","-",IF(M146=1,"Дороже всех",IF(M146=2,"2-й по цене",IF(M146&lt;=4,"Средний","Ниже конкурентов"))))</f>
        <v/>
      </c>
      <c r="O146" s="41">
        <f>IF(AND(C146&gt;0,D146&gt;0),(D146-C146)/C146,"")</f>
        <v/>
      </c>
      <c r="P146" s="41">
        <f>IF(AND(C146&gt;0,D146&gt;0),(D146-C146)/D146,"")</f>
        <v/>
      </c>
      <c r="Q146" s="40">
        <f>IF(AND(C146&gt;0,D146&gt;0),D146-C146,"")</f>
        <v/>
      </c>
      <c r="R146" s="39">
        <f>IF(P146="","-",IF(P146&lt;0.1,"Низкая(&lt;10%)",IF(P146&lt;0.2,"Средняя(10-20%)","Хорошая(&gt;20%)")))</f>
        <v/>
      </c>
      <c r="S146" s="39">
        <f>IF(OR(H146="",C146=""),"-",IF((H146-C146)/H146&lt;0.05,"КРИТИЧНО",IF((H146-C146)/H146&lt;0.15,"УМЕРЕННЫЙ","НИЗКИЙ")))</f>
        <v/>
      </c>
      <c r="T146" s="43" t="n"/>
      <c r="U146" s="40">
        <f>IF(T146&gt;0,T146*D146,"")</f>
        <v/>
      </c>
      <c r="V146" s="40">
        <f>IF(T146&gt;0,T146*Q146,"")</f>
        <v/>
      </c>
      <c r="W146" s="41">
        <f>IF(U146&gt;0,V146/U146,"")</f>
        <v/>
      </c>
      <c r="X146" s="40">
        <f>IF(F146&lt;&gt;"",F146,"")</f>
        <v/>
      </c>
      <c r="Y146" s="41">
        <f>IF(AND(X146&lt;&gt;"",C146&gt;0),(X146-C146)/C146,"")</f>
        <v/>
      </c>
      <c r="Z146" s="41">
        <f>IF(AND(X146&lt;&gt;"",X146&gt;0),(X146-C146)/X146,"")</f>
        <v/>
      </c>
      <c r="AA146" s="40">
        <f>IF(AND(X146&lt;&gt;"",C146&gt;0),X146-C146,"")</f>
        <v/>
      </c>
      <c r="AB146" s="41">
        <f>IF(AND(X146&lt;&gt;"",D146&gt;0),(X146-D146)/D146,"")</f>
        <v/>
      </c>
      <c r="AC146" s="41">
        <f>IF(AND(Z146&lt;&gt;"",P146&lt;&gt;""),(Z146-P146)/ABS(IF(P146=0,1,P146)),"")</f>
        <v/>
      </c>
      <c r="AD146" s="40">
        <f>IF(AND(AA146&lt;&gt;"",Q146&lt;&gt;""),AA146-Q146,"")</f>
        <v/>
      </c>
      <c r="AE146" s="40">
        <f>IF(G146&lt;&gt;"",G146,"")</f>
        <v/>
      </c>
      <c r="AF146" s="41">
        <f>IF(AND(AE146&lt;&gt;"",C146&gt;0),(AE146-C146)/C146,"")</f>
        <v/>
      </c>
      <c r="AG146" s="41">
        <f>IF(AND(AE146&lt;&gt;"",AE146&gt;0),(AE146-C146)/AE146,"")</f>
        <v/>
      </c>
      <c r="AH146" s="40">
        <f>IF(AND(AE146&lt;&gt;"",C146&gt;0),AE146-C146,"")</f>
        <v/>
      </c>
      <c r="AI146" s="41">
        <f>IF(AND(AE146&lt;&gt;"",D146&gt;0),(AE146-D146)/D146,"")</f>
        <v/>
      </c>
      <c r="AJ146" s="41">
        <f>IF(AND(AG146&lt;&gt;"",P146&lt;&gt;""),(AG146-P146)/ABS(IF(P146=0,1,P146)),"")</f>
        <v/>
      </c>
      <c r="AK146" s="40">
        <f>IF(AND(AH146&lt;&gt;"",Q146&lt;&gt;""),AH146-Q146,"")</f>
        <v/>
      </c>
      <c r="AL146" s="40">
        <f>IF(H146&lt;&gt;"",H146,"")</f>
        <v/>
      </c>
      <c r="AM146" s="41">
        <f>IF(AND(AL146&lt;&gt;"",C146&gt;0),(AL146-C146)/C146,"")</f>
        <v/>
      </c>
      <c r="AN146" s="41">
        <f>IF(AND(AL146&lt;&gt;"",AL146&gt;0),(AL146-C146)/AL146,"")</f>
        <v/>
      </c>
      <c r="AO146" s="40">
        <f>IF(AND(AL146&lt;&gt;"",C146&gt;0),AL146-C146,"")</f>
        <v/>
      </c>
      <c r="AP146" s="41">
        <f>IF(AND(AL146&lt;&gt;"",D146&gt;0),(AL146-D146)/D146,"")</f>
        <v/>
      </c>
      <c r="AQ146" s="41">
        <f>IF(AND(AN146&lt;&gt;"",P146&lt;&gt;""),(AN146-P146)/ABS(IF(P146=0,1,P146)),"")</f>
        <v/>
      </c>
      <c r="AR146" s="40">
        <f>IF(AND(AO146&lt;&gt;"",Q146&lt;&gt;""),AO146-Q146,"")</f>
        <v/>
      </c>
      <c r="AS146" s="44" t="n"/>
      <c r="AT146" s="41">
        <f>IF(AND(AS146&gt;0,C146&gt;0),(AS146-C146)/C146,"")</f>
        <v/>
      </c>
      <c r="AU146" s="41">
        <f>IF(AND(AS146&gt;0,AS146&gt;0),(AS146-C146)/AS146,"")</f>
        <v/>
      </c>
      <c r="AV146" s="40">
        <f>IF(AND(AS146&gt;0,C146&gt;0),AS146-C146,"")</f>
        <v/>
      </c>
      <c r="AW146" s="41">
        <f>IF(AND(AS146&gt;0,D146&gt;0),(AS146-D146)/D146,"")</f>
        <v/>
      </c>
      <c r="AX146" s="41">
        <f>IF(AND(AU146&lt;&gt;"",P146&lt;&gt;""),(AU146-P146)/ABS(IF(P146=0,1,P146)),"")</f>
        <v/>
      </c>
      <c r="AY146" s="40">
        <f>IF(AND(AV146&lt;&gt;"",Q146&lt;&gt;""),AV146-Q146,"")</f>
        <v/>
      </c>
      <c r="AZ146" s="45" t="n"/>
      <c r="BA146" s="40">
        <f>IF(AND(AZ146&gt;0,C146&gt;0),C146/(1-AZ146),"")</f>
        <v/>
      </c>
      <c r="BB146" s="41">
        <f>IF(AND(BA146&lt;&gt;"",C146&gt;0),(BA146-C146)/C146,"")</f>
        <v/>
      </c>
      <c r="BC146" s="41">
        <f>IF(BA146&lt;&gt;"",AZ146,"")</f>
        <v/>
      </c>
      <c r="BD146" s="40">
        <f>IF(AND(BA146&lt;&gt;"",C146&gt;0),BA146-C146,"")</f>
        <v/>
      </c>
      <c r="BE146" s="41">
        <f>IF(AND(BA146&lt;&gt;"",D146&gt;0),(BA146-D146)/D146,"")</f>
        <v/>
      </c>
      <c r="BF146" s="41">
        <f>IF(AND(BC146&lt;&gt;"",P146&lt;&gt;""),(BC146-P146)/ABS(IF(P146=0,1,P146)),"")</f>
        <v/>
      </c>
      <c r="BG146" s="40">
        <f>IF(AND(BD146&lt;&gt;"",Q146&lt;&gt;""),BD146-Q146,"")</f>
        <v/>
      </c>
      <c r="BH146" s="40">
        <f>IF(AND(T146&gt;0,X146&lt;&gt;""),T146*X146,"")</f>
        <v/>
      </c>
      <c r="BI146" s="40">
        <f>IF(AND(T146&gt;0,AA146&lt;&gt;""),T146*AA146,"")</f>
        <v/>
      </c>
      <c r="BJ146" s="40">
        <f>IF(AND(T146&gt;0,AE146&lt;&gt;""),T146*AE146,"")</f>
        <v/>
      </c>
      <c r="BK146" s="40">
        <f>IF(AND(T146&gt;0,AH146&lt;&gt;""),T146*AH146,"")</f>
        <v/>
      </c>
      <c r="BL146" s="40">
        <f>IF(AND(T146&gt;0,AL146&lt;&gt;""),T146*AL146,"")</f>
        <v/>
      </c>
      <c r="BM146" s="40">
        <f>IF(AND(T146&gt;0,AO146&lt;&gt;""),T146*AO146,"")</f>
        <v/>
      </c>
      <c r="BN146" s="40">
        <f>IF(AND(T146&gt;0,AS146&gt;0),T146*AS146,"")</f>
        <v/>
      </c>
      <c r="BO146" s="40">
        <f>IF(AND(T146&gt;0,AV146&lt;&gt;""),T146*AV146,"")</f>
        <v/>
      </c>
      <c r="BP146" s="40">
        <f>IF(AND(T146&gt;0,BA146&lt;&gt;""),T146*BA146,"")</f>
        <v/>
      </c>
      <c r="BQ146" s="40">
        <f>IF(AND(T146&gt;0,BD146&lt;&gt;""),T146*BD146,"")</f>
        <v/>
      </c>
      <c r="BR146" s="46">
        <f>IF(AND(T146&gt;0,V146&gt;0,AA146&lt;&gt;0),V146/AA146-T146,"")</f>
        <v/>
      </c>
      <c r="BS146" s="41">
        <f>IF(AND(BR146&lt;&gt;"",T146&gt;0),BR146/T146,"")</f>
        <v/>
      </c>
      <c r="BT146" s="46">
        <f>IF(AND(T146&gt;0,V146&gt;0,AO146&lt;&gt;0),V146/AO146-T146,"")</f>
        <v/>
      </c>
      <c r="BU146" s="41">
        <f>IF(AND(BT146&lt;&gt;"",T146&gt;0),BT146/T146,"")</f>
        <v/>
      </c>
    </row>
    <row r="147">
      <c r="A147" s="36">
        <f>'📊 Исходные данные'!A146</f>
        <v/>
      </c>
      <c r="B147" s="37">
        <f>'📊 Исходные данные'!B146</f>
        <v/>
      </c>
      <c r="C147" s="38">
        <f>'📊 Исходные данные'!C146</f>
        <v/>
      </c>
      <c r="D147" s="38">
        <f>'📊 Исходные данные'!D146</f>
        <v/>
      </c>
      <c r="E147" s="39">
        <f>IF(OR(D147="",F147=""),"-",IF(D147&gt;F147*1.05,"Выше рынка",IF(D147&lt;F147*0.95,"Ниже рынка","На уровне")))</f>
        <v/>
      </c>
      <c r="F147" s="40">
        <f>IFERROR(AVERAGE('📊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G147" s="40">
        <f>IFERROR(MEDIAN('📊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H147" s="40">
        <f>IFERROR(MIN('📊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I147" s="40">
        <f>IFERROR(MAX('📊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данные'!K146),"")</f>
        <v/>
      </c>
      <c r="J147" s="41">
        <f>IF(AND(D147&lt;&gt;"",F147&lt;&gt;""),(D147-F147)/F147,"")</f>
        <v/>
      </c>
      <c r="K147" s="41">
        <f>IF(AND(D147&lt;&gt;"",G147&lt;&gt;""),(D147-G147)/G147,"")</f>
        <v/>
      </c>
      <c r="L147" s="41">
        <f>IF(AND(D147&lt;&gt;"",H147&lt;&gt;""),(D147-H147)/H147,"")</f>
        <v/>
      </c>
      <c r="M147" s="42">
        <f>IFERROR(RANK(D147,('📊 Исходные данные'!E146,'📊 Исходные данные'!F146,'📊 Исходные данные'!G146,'📊 Исходные данные'!H146,'📊 Исходные данные'!I146,'📊 Исходные данные'!J146,'📊 Исходные данные'!K146)),"")</f>
        <v/>
      </c>
      <c r="N147" s="39">
        <f>IF(M147="","-",IF(M147=1,"Дороже всех",IF(M147=2,"2-й по цене",IF(M147&lt;=4,"Средний","Ниже конкурентов"))))</f>
        <v/>
      </c>
      <c r="O147" s="41">
        <f>IF(AND(C147&gt;0,D147&gt;0),(D147-C147)/C147,"")</f>
        <v/>
      </c>
      <c r="P147" s="41">
        <f>IF(AND(C147&gt;0,D147&gt;0),(D147-C147)/D147,"")</f>
        <v/>
      </c>
      <c r="Q147" s="40">
        <f>IF(AND(C147&gt;0,D147&gt;0),D147-C147,"")</f>
        <v/>
      </c>
      <c r="R147" s="39">
        <f>IF(P147="","-",IF(P147&lt;0.1,"Низкая(&lt;10%)",IF(P147&lt;0.2,"Средняя(10-20%)","Хорошая(&gt;20%)")))</f>
        <v/>
      </c>
      <c r="S147" s="39">
        <f>IF(OR(H147="",C147=""),"-",IF((H147-C147)/H147&lt;0.05,"КРИТИЧНО",IF((H147-C147)/H147&lt;0.15,"УМЕРЕННЫЙ","НИЗКИЙ")))</f>
        <v/>
      </c>
      <c r="T147" s="43" t="n"/>
      <c r="U147" s="40">
        <f>IF(T147&gt;0,T147*D147,"")</f>
        <v/>
      </c>
      <c r="V147" s="40">
        <f>IF(T147&gt;0,T147*Q147,"")</f>
        <v/>
      </c>
      <c r="W147" s="41">
        <f>IF(U147&gt;0,V147/U147,"")</f>
        <v/>
      </c>
      <c r="X147" s="40">
        <f>IF(F147&lt;&gt;"",F147,"")</f>
        <v/>
      </c>
      <c r="Y147" s="41">
        <f>IF(AND(X147&lt;&gt;"",C147&gt;0),(X147-C147)/C147,"")</f>
        <v/>
      </c>
      <c r="Z147" s="41">
        <f>IF(AND(X147&lt;&gt;"",X147&gt;0),(X147-C147)/X147,"")</f>
        <v/>
      </c>
      <c r="AA147" s="40">
        <f>IF(AND(X147&lt;&gt;"",C147&gt;0),X147-C147,"")</f>
        <v/>
      </c>
      <c r="AB147" s="41">
        <f>IF(AND(X147&lt;&gt;"",D147&gt;0),(X147-D147)/D147,"")</f>
        <v/>
      </c>
      <c r="AC147" s="41">
        <f>IF(AND(Z147&lt;&gt;"",P147&lt;&gt;""),(Z147-P147)/ABS(IF(P147=0,1,P147)),"")</f>
        <v/>
      </c>
      <c r="AD147" s="40">
        <f>IF(AND(AA147&lt;&gt;"",Q147&lt;&gt;""),AA147-Q147,"")</f>
        <v/>
      </c>
      <c r="AE147" s="40">
        <f>IF(G147&lt;&gt;"",G147,"")</f>
        <v/>
      </c>
      <c r="AF147" s="41">
        <f>IF(AND(AE147&lt;&gt;"",C147&gt;0),(AE147-C147)/C147,"")</f>
        <v/>
      </c>
      <c r="AG147" s="41">
        <f>IF(AND(AE147&lt;&gt;"",AE147&gt;0),(AE147-C147)/AE147,"")</f>
        <v/>
      </c>
      <c r="AH147" s="40">
        <f>IF(AND(AE147&lt;&gt;"",C147&gt;0),AE147-C147,"")</f>
        <v/>
      </c>
      <c r="AI147" s="41">
        <f>IF(AND(AE147&lt;&gt;"",D147&gt;0),(AE147-D147)/D147,"")</f>
        <v/>
      </c>
      <c r="AJ147" s="41">
        <f>IF(AND(AG147&lt;&gt;"",P147&lt;&gt;""),(AG147-P147)/ABS(IF(P147=0,1,P147)),"")</f>
        <v/>
      </c>
      <c r="AK147" s="40">
        <f>IF(AND(AH147&lt;&gt;"",Q147&lt;&gt;""),AH147-Q147,"")</f>
        <v/>
      </c>
      <c r="AL147" s="40">
        <f>IF(H147&lt;&gt;"",H147,"")</f>
        <v/>
      </c>
      <c r="AM147" s="41">
        <f>IF(AND(AL147&lt;&gt;"",C147&gt;0),(AL147-C147)/C147,"")</f>
        <v/>
      </c>
      <c r="AN147" s="41">
        <f>IF(AND(AL147&lt;&gt;"",AL147&gt;0),(AL147-C147)/AL147,"")</f>
        <v/>
      </c>
      <c r="AO147" s="40">
        <f>IF(AND(AL147&lt;&gt;"",C147&gt;0),AL147-C147,"")</f>
        <v/>
      </c>
      <c r="AP147" s="41">
        <f>IF(AND(AL147&lt;&gt;"",D147&gt;0),(AL147-D147)/D147,"")</f>
        <v/>
      </c>
      <c r="AQ147" s="41">
        <f>IF(AND(AN147&lt;&gt;"",P147&lt;&gt;""),(AN147-P147)/ABS(IF(P147=0,1,P147)),"")</f>
        <v/>
      </c>
      <c r="AR147" s="40">
        <f>IF(AND(AO147&lt;&gt;"",Q147&lt;&gt;""),AO147-Q147,"")</f>
        <v/>
      </c>
      <c r="AS147" s="44" t="n"/>
      <c r="AT147" s="41">
        <f>IF(AND(AS147&gt;0,C147&gt;0),(AS147-C147)/C147,"")</f>
        <v/>
      </c>
      <c r="AU147" s="41">
        <f>IF(AND(AS147&gt;0,AS147&gt;0),(AS147-C147)/AS147,"")</f>
        <v/>
      </c>
      <c r="AV147" s="40">
        <f>IF(AND(AS147&gt;0,C147&gt;0),AS147-C147,"")</f>
        <v/>
      </c>
      <c r="AW147" s="41">
        <f>IF(AND(AS147&gt;0,D147&gt;0),(AS147-D147)/D147,"")</f>
        <v/>
      </c>
      <c r="AX147" s="41">
        <f>IF(AND(AU147&lt;&gt;"",P147&lt;&gt;""),(AU147-P147)/ABS(IF(P147=0,1,P147)),"")</f>
        <v/>
      </c>
      <c r="AY147" s="40">
        <f>IF(AND(AV147&lt;&gt;"",Q147&lt;&gt;""),AV147-Q147,"")</f>
        <v/>
      </c>
      <c r="AZ147" s="45" t="n"/>
      <c r="BA147" s="40">
        <f>IF(AND(AZ147&gt;0,C147&gt;0),C147/(1-AZ147),"")</f>
        <v/>
      </c>
      <c r="BB147" s="41">
        <f>IF(AND(BA147&lt;&gt;"",C147&gt;0),(BA147-C147)/C147,"")</f>
        <v/>
      </c>
      <c r="BC147" s="41">
        <f>IF(BA147&lt;&gt;"",AZ147,"")</f>
        <v/>
      </c>
      <c r="BD147" s="40">
        <f>IF(AND(BA147&lt;&gt;"",C147&gt;0),BA147-C147,"")</f>
        <v/>
      </c>
      <c r="BE147" s="41">
        <f>IF(AND(BA147&lt;&gt;"",D147&gt;0),(BA147-D147)/D147,"")</f>
        <v/>
      </c>
      <c r="BF147" s="41">
        <f>IF(AND(BC147&lt;&gt;"",P147&lt;&gt;""),(BC147-P147)/ABS(IF(P147=0,1,P147)),"")</f>
        <v/>
      </c>
      <c r="BG147" s="40">
        <f>IF(AND(BD147&lt;&gt;"",Q147&lt;&gt;""),BD147-Q147,"")</f>
        <v/>
      </c>
      <c r="BH147" s="40">
        <f>IF(AND(T147&gt;0,X147&lt;&gt;""),T147*X147,"")</f>
        <v/>
      </c>
      <c r="BI147" s="40">
        <f>IF(AND(T147&gt;0,AA147&lt;&gt;""),T147*AA147,"")</f>
        <v/>
      </c>
      <c r="BJ147" s="40">
        <f>IF(AND(T147&gt;0,AE147&lt;&gt;""),T147*AE147,"")</f>
        <v/>
      </c>
      <c r="BK147" s="40">
        <f>IF(AND(T147&gt;0,AH147&lt;&gt;""),T147*AH147,"")</f>
        <v/>
      </c>
      <c r="BL147" s="40">
        <f>IF(AND(T147&gt;0,AL147&lt;&gt;""),T147*AL147,"")</f>
        <v/>
      </c>
      <c r="BM147" s="40">
        <f>IF(AND(T147&gt;0,AO147&lt;&gt;""),T147*AO147,"")</f>
        <v/>
      </c>
      <c r="BN147" s="40">
        <f>IF(AND(T147&gt;0,AS147&gt;0),T147*AS147,"")</f>
        <v/>
      </c>
      <c r="BO147" s="40">
        <f>IF(AND(T147&gt;0,AV147&lt;&gt;""),T147*AV147,"")</f>
        <v/>
      </c>
      <c r="BP147" s="40">
        <f>IF(AND(T147&gt;0,BA147&lt;&gt;""),T147*BA147,"")</f>
        <v/>
      </c>
      <c r="BQ147" s="40">
        <f>IF(AND(T147&gt;0,BD147&lt;&gt;""),T147*BD147,"")</f>
        <v/>
      </c>
      <c r="BR147" s="46">
        <f>IF(AND(T147&gt;0,V147&gt;0,AA147&lt;&gt;0),V147/AA147-T147,"")</f>
        <v/>
      </c>
      <c r="BS147" s="41">
        <f>IF(AND(BR147&lt;&gt;"",T147&gt;0),BR147/T147,"")</f>
        <v/>
      </c>
      <c r="BT147" s="46">
        <f>IF(AND(T147&gt;0,V147&gt;0,AO147&lt;&gt;0),V147/AO147-T147,"")</f>
        <v/>
      </c>
      <c r="BU147" s="41">
        <f>IF(AND(BT147&lt;&gt;"",T147&gt;0),BT147/T147,"")</f>
        <v/>
      </c>
    </row>
    <row r="148">
      <c r="A148" s="36">
        <f>'📊 Исходные данные'!A147</f>
        <v/>
      </c>
      <c r="B148" s="37">
        <f>'📊 Исходные данные'!B147</f>
        <v/>
      </c>
      <c r="C148" s="38">
        <f>'📊 Исходные данные'!C147</f>
        <v/>
      </c>
      <c r="D148" s="38">
        <f>'📊 Исходные данные'!D147</f>
        <v/>
      </c>
      <c r="E148" s="39">
        <f>IF(OR(D148="",F148=""),"-",IF(D148&gt;F148*1.05,"Выше рынка",IF(D148&lt;F148*0.95,"Ниже рынка","На уровне")))</f>
        <v/>
      </c>
      <c r="F148" s="40">
        <f>IFERROR(AVERAGE('📊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G148" s="40">
        <f>IFERROR(MEDIAN('📊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H148" s="40">
        <f>IFERROR(MIN('📊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I148" s="40">
        <f>IFERROR(MAX('📊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данные'!K147),"")</f>
        <v/>
      </c>
      <c r="J148" s="41">
        <f>IF(AND(D148&lt;&gt;"",F148&lt;&gt;""),(D148-F148)/F148,"")</f>
        <v/>
      </c>
      <c r="K148" s="41">
        <f>IF(AND(D148&lt;&gt;"",G148&lt;&gt;""),(D148-G148)/G148,"")</f>
        <v/>
      </c>
      <c r="L148" s="41">
        <f>IF(AND(D148&lt;&gt;"",H148&lt;&gt;""),(D148-H148)/H148,"")</f>
        <v/>
      </c>
      <c r="M148" s="42">
        <f>IFERROR(RANK(D148,('📊 Исходные данные'!E147,'📊 Исходные данные'!F147,'📊 Исходные данные'!G147,'📊 Исходные данные'!H147,'📊 Исходные данные'!I147,'📊 Исходные данные'!J147,'📊 Исходные данные'!K147)),"")</f>
        <v/>
      </c>
      <c r="N148" s="39">
        <f>IF(M148="","-",IF(M148=1,"Дороже всех",IF(M148=2,"2-й по цене",IF(M148&lt;=4,"Средний","Ниже конкурентов"))))</f>
        <v/>
      </c>
      <c r="O148" s="41">
        <f>IF(AND(C148&gt;0,D148&gt;0),(D148-C148)/C148,"")</f>
        <v/>
      </c>
      <c r="P148" s="41">
        <f>IF(AND(C148&gt;0,D148&gt;0),(D148-C148)/D148,"")</f>
        <v/>
      </c>
      <c r="Q148" s="40">
        <f>IF(AND(C148&gt;0,D148&gt;0),D148-C148,"")</f>
        <v/>
      </c>
      <c r="R148" s="39">
        <f>IF(P148="","-",IF(P148&lt;0.1,"Низкая(&lt;10%)",IF(P148&lt;0.2,"Средняя(10-20%)","Хорошая(&gt;20%)")))</f>
        <v/>
      </c>
      <c r="S148" s="39">
        <f>IF(OR(H148="",C148=""),"-",IF((H148-C148)/H148&lt;0.05,"КРИТИЧНО",IF((H148-C148)/H148&lt;0.15,"УМЕРЕННЫЙ","НИЗКИЙ")))</f>
        <v/>
      </c>
      <c r="T148" s="43" t="n"/>
      <c r="U148" s="40">
        <f>IF(T148&gt;0,T148*D148,"")</f>
        <v/>
      </c>
      <c r="V148" s="40">
        <f>IF(T148&gt;0,T148*Q148,"")</f>
        <v/>
      </c>
      <c r="W148" s="41">
        <f>IF(U148&gt;0,V148/U148,"")</f>
        <v/>
      </c>
      <c r="X148" s="40">
        <f>IF(F148&lt;&gt;"",F148,"")</f>
        <v/>
      </c>
      <c r="Y148" s="41">
        <f>IF(AND(X148&lt;&gt;"",C148&gt;0),(X148-C148)/C148,"")</f>
        <v/>
      </c>
      <c r="Z148" s="41">
        <f>IF(AND(X148&lt;&gt;"",X148&gt;0),(X148-C148)/X148,"")</f>
        <v/>
      </c>
      <c r="AA148" s="40">
        <f>IF(AND(X148&lt;&gt;"",C148&gt;0),X148-C148,"")</f>
        <v/>
      </c>
      <c r="AB148" s="41">
        <f>IF(AND(X148&lt;&gt;"",D148&gt;0),(X148-D148)/D148,"")</f>
        <v/>
      </c>
      <c r="AC148" s="41">
        <f>IF(AND(Z148&lt;&gt;"",P148&lt;&gt;""),(Z148-P148)/ABS(IF(P148=0,1,P148)),"")</f>
        <v/>
      </c>
      <c r="AD148" s="40">
        <f>IF(AND(AA148&lt;&gt;"",Q148&lt;&gt;""),AA148-Q148,"")</f>
        <v/>
      </c>
      <c r="AE148" s="40">
        <f>IF(G148&lt;&gt;"",G148,"")</f>
        <v/>
      </c>
      <c r="AF148" s="41">
        <f>IF(AND(AE148&lt;&gt;"",C148&gt;0),(AE148-C148)/C148,"")</f>
        <v/>
      </c>
      <c r="AG148" s="41">
        <f>IF(AND(AE148&lt;&gt;"",AE148&gt;0),(AE148-C148)/AE148,"")</f>
        <v/>
      </c>
      <c r="AH148" s="40">
        <f>IF(AND(AE148&lt;&gt;"",C148&gt;0),AE148-C148,"")</f>
        <v/>
      </c>
      <c r="AI148" s="41">
        <f>IF(AND(AE148&lt;&gt;"",D148&gt;0),(AE148-D148)/D148,"")</f>
        <v/>
      </c>
      <c r="AJ148" s="41">
        <f>IF(AND(AG148&lt;&gt;"",P148&lt;&gt;""),(AG148-P148)/ABS(IF(P148=0,1,P148)),"")</f>
        <v/>
      </c>
      <c r="AK148" s="40">
        <f>IF(AND(AH148&lt;&gt;"",Q148&lt;&gt;""),AH148-Q148,"")</f>
        <v/>
      </c>
      <c r="AL148" s="40">
        <f>IF(H148&lt;&gt;"",H148,"")</f>
        <v/>
      </c>
      <c r="AM148" s="41">
        <f>IF(AND(AL148&lt;&gt;"",C148&gt;0),(AL148-C148)/C148,"")</f>
        <v/>
      </c>
      <c r="AN148" s="41">
        <f>IF(AND(AL148&lt;&gt;"",AL148&gt;0),(AL148-C148)/AL148,"")</f>
        <v/>
      </c>
      <c r="AO148" s="40">
        <f>IF(AND(AL148&lt;&gt;"",C148&gt;0),AL148-C148,"")</f>
        <v/>
      </c>
      <c r="AP148" s="41">
        <f>IF(AND(AL148&lt;&gt;"",D148&gt;0),(AL148-D148)/D148,"")</f>
        <v/>
      </c>
      <c r="AQ148" s="41">
        <f>IF(AND(AN148&lt;&gt;"",P148&lt;&gt;""),(AN148-P148)/ABS(IF(P148=0,1,P148)),"")</f>
        <v/>
      </c>
      <c r="AR148" s="40">
        <f>IF(AND(AO148&lt;&gt;"",Q148&lt;&gt;""),AO148-Q148,"")</f>
        <v/>
      </c>
      <c r="AS148" s="44" t="n"/>
      <c r="AT148" s="41">
        <f>IF(AND(AS148&gt;0,C148&gt;0),(AS148-C148)/C148,"")</f>
        <v/>
      </c>
      <c r="AU148" s="41">
        <f>IF(AND(AS148&gt;0,AS148&gt;0),(AS148-C148)/AS148,"")</f>
        <v/>
      </c>
      <c r="AV148" s="40">
        <f>IF(AND(AS148&gt;0,C148&gt;0),AS148-C148,"")</f>
        <v/>
      </c>
      <c r="AW148" s="41">
        <f>IF(AND(AS148&gt;0,D148&gt;0),(AS148-D148)/D148,"")</f>
        <v/>
      </c>
      <c r="AX148" s="41">
        <f>IF(AND(AU148&lt;&gt;"",P148&lt;&gt;""),(AU148-P148)/ABS(IF(P148=0,1,P148)),"")</f>
        <v/>
      </c>
      <c r="AY148" s="40">
        <f>IF(AND(AV148&lt;&gt;"",Q148&lt;&gt;""),AV148-Q148,"")</f>
        <v/>
      </c>
      <c r="AZ148" s="45" t="n"/>
      <c r="BA148" s="40">
        <f>IF(AND(AZ148&gt;0,C148&gt;0),C148/(1-AZ148),"")</f>
        <v/>
      </c>
      <c r="BB148" s="41">
        <f>IF(AND(BA148&lt;&gt;"",C148&gt;0),(BA148-C148)/C148,"")</f>
        <v/>
      </c>
      <c r="BC148" s="41">
        <f>IF(BA148&lt;&gt;"",AZ148,"")</f>
        <v/>
      </c>
      <c r="BD148" s="40">
        <f>IF(AND(BA148&lt;&gt;"",C148&gt;0),BA148-C148,"")</f>
        <v/>
      </c>
      <c r="BE148" s="41">
        <f>IF(AND(BA148&lt;&gt;"",D148&gt;0),(BA148-D148)/D148,"")</f>
        <v/>
      </c>
      <c r="BF148" s="41">
        <f>IF(AND(BC148&lt;&gt;"",P148&lt;&gt;""),(BC148-P148)/ABS(IF(P148=0,1,P148)),"")</f>
        <v/>
      </c>
      <c r="BG148" s="40">
        <f>IF(AND(BD148&lt;&gt;"",Q148&lt;&gt;""),BD148-Q148,"")</f>
        <v/>
      </c>
      <c r="BH148" s="40">
        <f>IF(AND(T148&gt;0,X148&lt;&gt;""),T148*X148,"")</f>
        <v/>
      </c>
      <c r="BI148" s="40">
        <f>IF(AND(T148&gt;0,AA148&lt;&gt;""),T148*AA148,"")</f>
        <v/>
      </c>
      <c r="BJ148" s="40">
        <f>IF(AND(T148&gt;0,AE148&lt;&gt;""),T148*AE148,"")</f>
        <v/>
      </c>
      <c r="BK148" s="40">
        <f>IF(AND(T148&gt;0,AH148&lt;&gt;""),T148*AH148,"")</f>
        <v/>
      </c>
      <c r="BL148" s="40">
        <f>IF(AND(T148&gt;0,AL148&lt;&gt;""),T148*AL148,"")</f>
        <v/>
      </c>
      <c r="BM148" s="40">
        <f>IF(AND(T148&gt;0,AO148&lt;&gt;""),T148*AO148,"")</f>
        <v/>
      </c>
      <c r="BN148" s="40">
        <f>IF(AND(T148&gt;0,AS148&gt;0),T148*AS148,"")</f>
        <v/>
      </c>
      <c r="BO148" s="40">
        <f>IF(AND(T148&gt;0,AV148&lt;&gt;""),T148*AV148,"")</f>
        <v/>
      </c>
      <c r="BP148" s="40">
        <f>IF(AND(T148&gt;0,BA148&lt;&gt;""),T148*BA148,"")</f>
        <v/>
      </c>
      <c r="BQ148" s="40">
        <f>IF(AND(T148&gt;0,BD148&lt;&gt;""),T148*BD148,"")</f>
        <v/>
      </c>
      <c r="BR148" s="46">
        <f>IF(AND(T148&gt;0,V148&gt;0,AA148&lt;&gt;0),V148/AA148-T148,"")</f>
        <v/>
      </c>
      <c r="BS148" s="41">
        <f>IF(AND(BR148&lt;&gt;"",T148&gt;0),BR148/T148,"")</f>
        <v/>
      </c>
      <c r="BT148" s="46">
        <f>IF(AND(T148&gt;0,V148&gt;0,AO148&lt;&gt;0),V148/AO148-T148,"")</f>
        <v/>
      </c>
      <c r="BU148" s="41">
        <f>IF(AND(BT148&lt;&gt;"",T148&gt;0),BT148/T148,"")</f>
        <v/>
      </c>
    </row>
    <row r="149">
      <c r="A149" s="36">
        <f>'📊 Исходные данные'!A148</f>
        <v/>
      </c>
      <c r="B149" s="37">
        <f>'📊 Исходные данные'!B148</f>
        <v/>
      </c>
      <c r="C149" s="38">
        <f>'📊 Исходные данные'!C148</f>
        <v/>
      </c>
      <c r="D149" s="38">
        <f>'📊 Исходные данные'!D148</f>
        <v/>
      </c>
      <c r="E149" s="39">
        <f>IF(OR(D149="",F149=""),"-",IF(D149&gt;F149*1.05,"Выше рынка",IF(D149&lt;F149*0.95,"Ниже рынка","На уровне")))</f>
        <v/>
      </c>
      <c r="F149" s="40">
        <f>IFERROR(AVERAGE('📊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G149" s="40">
        <f>IFERROR(MEDIAN('📊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H149" s="40">
        <f>IFERROR(MIN('📊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I149" s="40">
        <f>IFERROR(MAX('📊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данные'!K148),"")</f>
        <v/>
      </c>
      <c r="J149" s="41">
        <f>IF(AND(D149&lt;&gt;"",F149&lt;&gt;""),(D149-F149)/F149,"")</f>
        <v/>
      </c>
      <c r="K149" s="41">
        <f>IF(AND(D149&lt;&gt;"",G149&lt;&gt;""),(D149-G149)/G149,"")</f>
        <v/>
      </c>
      <c r="L149" s="41">
        <f>IF(AND(D149&lt;&gt;"",H149&lt;&gt;""),(D149-H149)/H149,"")</f>
        <v/>
      </c>
      <c r="M149" s="42">
        <f>IFERROR(RANK(D149,('📊 Исходные данные'!E148,'📊 Исходные данные'!F148,'📊 Исходные данные'!G148,'📊 Исходные данные'!H148,'📊 Исходные данные'!I148,'📊 Исходные данные'!J148,'📊 Исходные данные'!K148)),"")</f>
        <v/>
      </c>
      <c r="N149" s="39">
        <f>IF(M149="","-",IF(M149=1,"Дороже всех",IF(M149=2,"2-й по цене",IF(M149&lt;=4,"Средний","Ниже конкурентов"))))</f>
        <v/>
      </c>
      <c r="O149" s="41">
        <f>IF(AND(C149&gt;0,D149&gt;0),(D149-C149)/C149,"")</f>
        <v/>
      </c>
      <c r="P149" s="41">
        <f>IF(AND(C149&gt;0,D149&gt;0),(D149-C149)/D149,"")</f>
        <v/>
      </c>
      <c r="Q149" s="40">
        <f>IF(AND(C149&gt;0,D149&gt;0),D149-C149,"")</f>
        <v/>
      </c>
      <c r="R149" s="39">
        <f>IF(P149="","-",IF(P149&lt;0.1,"Низкая(&lt;10%)",IF(P149&lt;0.2,"Средняя(10-20%)","Хорошая(&gt;20%)")))</f>
        <v/>
      </c>
      <c r="S149" s="39">
        <f>IF(OR(H149="",C149=""),"-",IF((H149-C149)/H149&lt;0.05,"КРИТИЧНО",IF((H149-C149)/H149&lt;0.15,"УМЕРЕННЫЙ","НИЗКИЙ")))</f>
        <v/>
      </c>
      <c r="T149" s="43" t="n"/>
      <c r="U149" s="40">
        <f>IF(T149&gt;0,T149*D149,"")</f>
        <v/>
      </c>
      <c r="V149" s="40">
        <f>IF(T149&gt;0,T149*Q149,"")</f>
        <v/>
      </c>
      <c r="W149" s="41">
        <f>IF(U149&gt;0,V149/U149,"")</f>
        <v/>
      </c>
      <c r="X149" s="40">
        <f>IF(F149&lt;&gt;"",F149,"")</f>
        <v/>
      </c>
      <c r="Y149" s="41">
        <f>IF(AND(X149&lt;&gt;"",C149&gt;0),(X149-C149)/C149,"")</f>
        <v/>
      </c>
      <c r="Z149" s="41">
        <f>IF(AND(X149&lt;&gt;"",X149&gt;0),(X149-C149)/X149,"")</f>
        <v/>
      </c>
      <c r="AA149" s="40">
        <f>IF(AND(X149&lt;&gt;"",C149&gt;0),X149-C149,"")</f>
        <v/>
      </c>
      <c r="AB149" s="41">
        <f>IF(AND(X149&lt;&gt;"",D149&gt;0),(X149-D149)/D149,"")</f>
        <v/>
      </c>
      <c r="AC149" s="41">
        <f>IF(AND(Z149&lt;&gt;"",P149&lt;&gt;""),(Z149-P149)/ABS(IF(P149=0,1,P149)),"")</f>
        <v/>
      </c>
      <c r="AD149" s="40">
        <f>IF(AND(AA149&lt;&gt;"",Q149&lt;&gt;""),AA149-Q149,"")</f>
        <v/>
      </c>
      <c r="AE149" s="40">
        <f>IF(G149&lt;&gt;"",G149,"")</f>
        <v/>
      </c>
      <c r="AF149" s="41">
        <f>IF(AND(AE149&lt;&gt;"",C149&gt;0),(AE149-C149)/C149,"")</f>
        <v/>
      </c>
      <c r="AG149" s="41">
        <f>IF(AND(AE149&lt;&gt;"",AE149&gt;0),(AE149-C149)/AE149,"")</f>
        <v/>
      </c>
      <c r="AH149" s="40">
        <f>IF(AND(AE149&lt;&gt;"",C149&gt;0),AE149-C149,"")</f>
        <v/>
      </c>
      <c r="AI149" s="41">
        <f>IF(AND(AE149&lt;&gt;"",D149&gt;0),(AE149-D149)/D149,"")</f>
        <v/>
      </c>
      <c r="AJ149" s="41">
        <f>IF(AND(AG149&lt;&gt;"",P149&lt;&gt;""),(AG149-P149)/ABS(IF(P149=0,1,P149)),"")</f>
        <v/>
      </c>
      <c r="AK149" s="40">
        <f>IF(AND(AH149&lt;&gt;"",Q149&lt;&gt;""),AH149-Q149,"")</f>
        <v/>
      </c>
      <c r="AL149" s="40">
        <f>IF(H149&lt;&gt;"",H149,"")</f>
        <v/>
      </c>
      <c r="AM149" s="41">
        <f>IF(AND(AL149&lt;&gt;"",C149&gt;0),(AL149-C149)/C149,"")</f>
        <v/>
      </c>
      <c r="AN149" s="41">
        <f>IF(AND(AL149&lt;&gt;"",AL149&gt;0),(AL149-C149)/AL149,"")</f>
        <v/>
      </c>
      <c r="AO149" s="40">
        <f>IF(AND(AL149&lt;&gt;"",C149&gt;0),AL149-C149,"")</f>
        <v/>
      </c>
      <c r="AP149" s="41">
        <f>IF(AND(AL149&lt;&gt;"",D149&gt;0),(AL149-D149)/D149,"")</f>
        <v/>
      </c>
      <c r="AQ149" s="41">
        <f>IF(AND(AN149&lt;&gt;"",P149&lt;&gt;""),(AN149-P149)/ABS(IF(P149=0,1,P149)),"")</f>
        <v/>
      </c>
      <c r="AR149" s="40">
        <f>IF(AND(AO149&lt;&gt;"",Q149&lt;&gt;""),AO149-Q149,"")</f>
        <v/>
      </c>
      <c r="AS149" s="44" t="n"/>
      <c r="AT149" s="41">
        <f>IF(AND(AS149&gt;0,C149&gt;0),(AS149-C149)/C149,"")</f>
        <v/>
      </c>
      <c r="AU149" s="41">
        <f>IF(AND(AS149&gt;0,AS149&gt;0),(AS149-C149)/AS149,"")</f>
        <v/>
      </c>
      <c r="AV149" s="40">
        <f>IF(AND(AS149&gt;0,C149&gt;0),AS149-C149,"")</f>
        <v/>
      </c>
      <c r="AW149" s="41">
        <f>IF(AND(AS149&gt;0,D149&gt;0),(AS149-D149)/D149,"")</f>
        <v/>
      </c>
      <c r="AX149" s="41">
        <f>IF(AND(AU149&lt;&gt;"",P149&lt;&gt;""),(AU149-P149)/ABS(IF(P149=0,1,P149)),"")</f>
        <v/>
      </c>
      <c r="AY149" s="40">
        <f>IF(AND(AV149&lt;&gt;"",Q149&lt;&gt;""),AV149-Q149,"")</f>
        <v/>
      </c>
      <c r="AZ149" s="45" t="n"/>
      <c r="BA149" s="40">
        <f>IF(AND(AZ149&gt;0,C149&gt;0),C149/(1-AZ149),"")</f>
        <v/>
      </c>
      <c r="BB149" s="41">
        <f>IF(AND(BA149&lt;&gt;"",C149&gt;0),(BA149-C149)/C149,"")</f>
        <v/>
      </c>
      <c r="BC149" s="41">
        <f>IF(BA149&lt;&gt;"",AZ149,"")</f>
        <v/>
      </c>
      <c r="BD149" s="40">
        <f>IF(AND(BA149&lt;&gt;"",C149&gt;0),BA149-C149,"")</f>
        <v/>
      </c>
      <c r="BE149" s="41">
        <f>IF(AND(BA149&lt;&gt;"",D149&gt;0),(BA149-D149)/D149,"")</f>
        <v/>
      </c>
      <c r="BF149" s="41">
        <f>IF(AND(BC149&lt;&gt;"",P149&lt;&gt;""),(BC149-P149)/ABS(IF(P149=0,1,P149)),"")</f>
        <v/>
      </c>
      <c r="BG149" s="40">
        <f>IF(AND(BD149&lt;&gt;"",Q149&lt;&gt;""),BD149-Q149,"")</f>
        <v/>
      </c>
      <c r="BH149" s="40">
        <f>IF(AND(T149&gt;0,X149&lt;&gt;""),T149*X149,"")</f>
        <v/>
      </c>
      <c r="BI149" s="40">
        <f>IF(AND(T149&gt;0,AA149&lt;&gt;""),T149*AA149,"")</f>
        <v/>
      </c>
      <c r="BJ149" s="40">
        <f>IF(AND(T149&gt;0,AE149&lt;&gt;""),T149*AE149,"")</f>
        <v/>
      </c>
      <c r="BK149" s="40">
        <f>IF(AND(T149&gt;0,AH149&lt;&gt;""),T149*AH149,"")</f>
        <v/>
      </c>
      <c r="BL149" s="40">
        <f>IF(AND(T149&gt;0,AL149&lt;&gt;""),T149*AL149,"")</f>
        <v/>
      </c>
      <c r="BM149" s="40">
        <f>IF(AND(T149&gt;0,AO149&lt;&gt;""),T149*AO149,"")</f>
        <v/>
      </c>
      <c r="BN149" s="40">
        <f>IF(AND(T149&gt;0,AS149&gt;0),T149*AS149,"")</f>
        <v/>
      </c>
      <c r="BO149" s="40">
        <f>IF(AND(T149&gt;0,AV149&lt;&gt;""),T149*AV149,"")</f>
        <v/>
      </c>
      <c r="BP149" s="40">
        <f>IF(AND(T149&gt;0,BA149&lt;&gt;""),T149*BA149,"")</f>
        <v/>
      </c>
      <c r="BQ149" s="40">
        <f>IF(AND(T149&gt;0,BD149&lt;&gt;""),T149*BD149,"")</f>
        <v/>
      </c>
      <c r="BR149" s="46">
        <f>IF(AND(T149&gt;0,V149&gt;0,AA149&lt;&gt;0),V149/AA149-T149,"")</f>
        <v/>
      </c>
      <c r="BS149" s="41">
        <f>IF(AND(BR149&lt;&gt;"",T149&gt;0),BR149/T149,"")</f>
        <v/>
      </c>
      <c r="BT149" s="46">
        <f>IF(AND(T149&gt;0,V149&gt;0,AO149&lt;&gt;0),V149/AO149-T149,"")</f>
        <v/>
      </c>
      <c r="BU149" s="41">
        <f>IF(AND(BT149&lt;&gt;"",T149&gt;0),BT149/T149,"")</f>
        <v/>
      </c>
    </row>
    <row r="150">
      <c r="A150" s="36">
        <f>'📊 Исходные данные'!A149</f>
        <v/>
      </c>
      <c r="B150" s="37">
        <f>'📊 Исходные данные'!B149</f>
        <v/>
      </c>
      <c r="C150" s="38">
        <f>'📊 Исходные данные'!C149</f>
        <v/>
      </c>
      <c r="D150" s="38">
        <f>'📊 Исходные данные'!D149</f>
        <v/>
      </c>
      <c r="E150" s="39">
        <f>IF(OR(D150="",F150=""),"-",IF(D150&gt;F150*1.05,"Выше рынка",IF(D150&lt;F150*0.95,"Ниже рынка","На уровне")))</f>
        <v/>
      </c>
      <c r="F150" s="40">
        <f>IFERROR(AVERAGE('📊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G150" s="40">
        <f>IFERROR(MEDIAN('📊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H150" s="40">
        <f>IFERROR(MIN('📊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I150" s="40">
        <f>IFERROR(MAX('📊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данные'!K149),"")</f>
        <v/>
      </c>
      <c r="J150" s="41">
        <f>IF(AND(D150&lt;&gt;"",F150&lt;&gt;""),(D150-F150)/F150,"")</f>
        <v/>
      </c>
      <c r="K150" s="41">
        <f>IF(AND(D150&lt;&gt;"",G150&lt;&gt;""),(D150-G150)/G150,"")</f>
        <v/>
      </c>
      <c r="L150" s="41">
        <f>IF(AND(D150&lt;&gt;"",H150&lt;&gt;""),(D150-H150)/H150,"")</f>
        <v/>
      </c>
      <c r="M150" s="42">
        <f>IFERROR(RANK(D150,('📊 Исходные данные'!E149,'📊 Исходные данные'!F149,'📊 Исходные данные'!G149,'📊 Исходные данные'!H149,'📊 Исходные данные'!I149,'📊 Исходные данные'!J149,'📊 Исходные данные'!K149)),"")</f>
        <v/>
      </c>
      <c r="N150" s="39">
        <f>IF(M150="","-",IF(M150=1,"Дороже всех",IF(M150=2,"2-й по цене",IF(M150&lt;=4,"Средний","Ниже конкурентов"))))</f>
        <v/>
      </c>
      <c r="O150" s="41">
        <f>IF(AND(C150&gt;0,D150&gt;0),(D150-C150)/C150,"")</f>
        <v/>
      </c>
      <c r="P150" s="41">
        <f>IF(AND(C150&gt;0,D150&gt;0),(D150-C150)/D150,"")</f>
        <v/>
      </c>
      <c r="Q150" s="40">
        <f>IF(AND(C150&gt;0,D150&gt;0),D150-C150,"")</f>
        <v/>
      </c>
      <c r="R150" s="39">
        <f>IF(P150="","-",IF(P150&lt;0.1,"Низкая(&lt;10%)",IF(P150&lt;0.2,"Средняя(10-20%)","Хорошая(&gt;20%)")))</f>
        <v/>
      </c>
      <c r="S150" s="39">
        <f>IF(OR(H150="",C150=""),"-",IF((H150-C150)/H150&lt;0.05,"КРИТИЧНО",IF((H150-C150)/H150&lt;0.15,"УМЕРЕННЫЙ","НИЗКИЙ")))</f>
        <v/>
      </c>
      <c r="T150" s="43" t="n"/>
      <c r="U150" s="40">
        <f>IF(T150&gt;0,T150*D150,"")</f>
        <v/>
      </c>
      <c r="V150" s="40">
        <f>IF(T150&gt;0,T150*Q150,"")</f>
        <v/>
      </c>
      <c r="W150" s="41">
        <f>IF(U150&gt;0,V150/U150,"")</f>
        <v/>
      </c>
      <c r="X150" s="40">
        <f>IF(F150&lt;&gt;"",F150,"")</f>
        <v/>
      </c>
      <c r="Y150" s="41">
        <f>IF(AND(X150&lt;&gt;"",C150&gt;0),(X150-C150)/C150,"")</f>
        <v/>
      </c>
      <c r="Z150" s="41">
        <f>IF(AND(X150&lt;&gt;"",X150&gt;0),(X150-C150)/X150,"")</f>
        <v/>
      </c>
      <c r="AA150" s="40">
        <f>IF(AND(X150&lt;&gt;"",C150&gt;0),X150-C150,"")</f>
        <v/>
      </c>
      <c r="AB150" s="41">
        <f>IF(AND(X150&lt;&gt;"",D150&gt;0),(X150-D150)/D150,"")</f>
        <v/>
      </c>
      <c r="AC150" s="41">
        <f>IF(AND(Z150&lt;&gt;"",P150&lt;&gt;""),(Z150-P150)/ABS(IF(P150=0,1,P150)),"")</f>
        <v/>
      </c>
      <c r="AD150" s="40">
        <f>IF(AND(AA150&lt;&gt;"",Q150&lt;&gt;""),AA150-Q150,"")</f>
        <v/>
      </c>
      <c r="AE150" s="40">
        <f>IF(G150&lt;&gt;"",G150,"")</f>
        <v/>
      </c>
      <c r="AF150" s="41">
        <f>IF(AND(AE150&lt;&gt;"",C150&gt;0),(AE150-C150)/C150,"")</f>
        <v/>
      </c>
      <c r="AG150" s="41">
        <f>IF(AND(AE150&lt;&gt;"",AE150&gt;0),(AE150-C150)/AE150,"")</f>
        <v/>
      </c>
      <c r="AH150" s="40">
        <f>IF(AND(AE150&lt;&gt;"",C150&gt;0),AE150-C150,"")</f>
        <v/>
      </c>
      <c r="AI150" s="41">
        <f>IF(AND(AE150&lt;&gt;"",D150&gt;0),(AE150-D150)/D150,"")</f>
        <v/>
      </c>
      <c r="AJ150" s="41">
        <f>IF(AND(AG150&lt;&gt;"",P150&lt;&gt;""),(AG150-P150)/ABS(IF(P150=0,1,P150)),"")</f>
        <v/>
      </c>
      <c r="AK150" s="40">
        <f>IF(AND(AH150&lt;&gt;"",Q150&lt;&gt;""),AH150-Q150,"")</f>
        <v/>
      </c>
      <c r="AL150" s="40">
        <f>IF(H150&lt;&gt;"",H150,"")</f>
        <v/>
      </c>
      <c r="AM150" s="41">
        <f>IF(AND(AL150&lt;&gt;"",C150&gt;0),(AL150-C150)/C150,"")</f>
        <v/>
      </c>
      <c r="AN150" s="41">
        <f>IF(AND(AL150&lt;&gt;"",AL150&gt;0),(AL150-C150)/AL150,"")</f>
        <v/>
      </c>
      <c r="AO150" s="40">
        <f>IF(AND(AL150&lt;&gt;"",C150&gt;0),AL150-C150,"")</f>
        <v/>
      </c>
      <c r="AP150" s="41">
        <f>IF(AND(AL150&lt;&gt;"",D150&gt;0),(AL150-D150)/D150,"")</f>
        <v/>
      </c>
      <c r="AQ150" s="41">
        <f>IF(AND(AN150&lt;&gt;"",P150&lt;&gt;""),(AN150-P150)/ABS(IF(P150=0,1,P150)),"")</f>
        <v/>
      </c>
      <c r="AR150" s="40">
        <f>IF(AND(AO150&lt;&gt;"",Q150&lt;&gt;""),AO150-Q150,"")</f>
        <v/>
      </c>
      <c r="AS150" s="44" t="n"/>
      <c r="AT150" s="41">
        <f>IF(AND(AS150&gt;0,C150&gt;0),(AS150-C150)/C150,"")</f>
        <v/>
      </c>
      <c r="AU150" s="41">
        <f>IF(AND(AS150&gt;0,AS150&gt;0),(AS150-C150)/AS150,"")</f>
        <v/>
      </c>
      <c r="AV150" s="40">
        <f>IF(AND(AS150&gt;0,C150&gt;0),AS150-C150,"")</f>
        <v/>
      </c>
      <c r="AW150" s="41">
        <f>IF(AND(AS150&gt;0,D150&gt;0),(AS150-D150)/D150,"")</f>
        <v/>
      </c>
      <c r="AX150" s="41">
        <f>IF(AND(AU150&lt;&gt;"",P150&lt;&gt;""),(AU150-P150)/ABS(IF(P150=0,1,P150)),"")</f>
        <v/>
      </c>
      <c r="AY150" s="40">
        <f>IF(AND(AV150&lt;&gt;"",Q150&lt;&gt;""),AV150-Q150,"")</f>
        <v/>
      </c>
      <c r="AZ150" s="45" t="n"/>
      <c r="BA150" s="40">
        <f>IF(AND(AZ150&gt;0,C150&gt;0),C150/(1-AZ150),"")</f>
        <v/>
      </c>
      <c r="BB150" s="41">
        <f>IF(AND(BA150&lt;&gt;"",C150&gt;0),(BA150-C150)/C150,"")</f>
        <v/>
      </c>
      <c r="BC150" s="41">
        <f>IF(BA150&lt;&gt;"",AZ150,"")</f>
        <v/>
      </c>
      <c r="BD150" s="40">
        <f>IF(AND(BA150&lt;&gt;"",C150&gt;0),BA150-C150,"")</f>
        <v/>
      </c>
      <c r="BE150" s="41">
        <f>IF(AND(BA150&lt;&gt;"",D150&gt;0),(BA150-D150)/D150,"")</f>
        <v/>
      </c>
      <c r="BF150" s="41">
        <f>IF(AND(BC150&lt;&gt;"",P150&lt;&gt;""),(BC150-P150)/ABS(IF(P150=0,1,P150)),"")</f>
        <v/>
      </c>
      <c r="BG150" s="40">
        <f>IF(AND(BD150&lt;&gt;"",Q150&lt;&gt;""),BD150-Q150,"")</f>
        <v/>
      </c>
      <c r="BH150" s="40">
        <f>IF(AND(T150&gt;0,X150&lt;&gt;""),T150*X150,"")</f>
        <v/>
      </c>
      <c r="BI150" s="40">
        <f>IF(AND(T150&gt;0,AA150&lt;&gt;""),T150*AA150,"")</f>
        <v/>
      </c>
      <c r="BJ150" s="40">
        <f>IF(AND(T150&gt;0,AE150&lt;&gt;""),T150*AE150,"")</f>
        <v/>
      </c>
      <c r="BK150" s="40">
        <f>IF(AND(T150&gt;0,AH150&lt;&gt;""),T150*AH150,"")</f>
        <v/>
      </c>
      <c r="BL150" s="40">
        <f>IF(AND(T150&gt;0,AL150&lt;&gt;""),T150*AL150,"")</f>
        <v/>
      </c>
      <c r="BM150" s="40">
        <f>IF(AND(T150&gt;0,AO150&lt;&gt;""),T150*AO150,"")</f>
        <v/>
      </c>
      <c r="BN150" s="40">
        <f>IF(AND(T150&gt;0,AS150&gt;0),T150*AS150,"")</f>
        <v/>
      </c>
      <c r="BO150" s="40">
        <f>IF(AND(T150&gt;0,AV150&lt;&gt;""),T150*AV150,"")</f>
        <v/>
      </c>
      <c r="BP150" s="40">
        <f>IF(AND(T150&gt;0,BA150&lt;&gt;""),T150*BA150,"")</f>
        <v/>
      </c>
      <c r="BQ150" s="40">
        <f>IF(AND(T150&gt;0,BD150&lt;&gt;""),T150*BD150,"")</f>
        <v/>
      </c>
      <c r="BR150" s="46">
        <f>IF(AND(T150&gt;0,V150&gt;0,AA150&lt;&gt;0),V150/AA150-T150,"")</f>
        <v/>
      </c>
      <c r="BS150" s="41">
        <f>IF(AND(BR150&lt;&gt;"",T150&gt;0),BR150/T150,"")</f>
        <v/>
      </c>
      <c r="BT150" s="46">
        <f>IF(AND(T150&gt;0,V150&gt;0,AO150&lt;&gt;0),V150/AO150-T150,"")</f>
        <v/>
      </c>
      <c r="BU150" s="41">
        <f>IF(AND(BT150&lt;&gt;"",T150&gt;0),BT150/T150,"")</f>
        <v/>
      </c>
    </row>
    <row r="151">
      <c r="A151" s="36">
        <f>'📊 Исходные данные'!A150</f>
        <v/>
      </c>
      <c r="B151" s="37">
        <f>'📊 Исходные данные'!B150</f>
        <v/>
      </c>
      <c r="C151" s="38">
        <f>'📊 Исходные данные'!C150</f>
        <v/>
      </c>
      <c r="D151" s="38">
        <f>'📊 Исходные данные'!D150</f>
        <v/>
      </c>
      <c r="E151" s="39">
        <f>IF(OR(D151="",F151=""),"-",IF(D151&gt;F151*1.05,"Выше рынка",IF(D151&lt;F151*0.95,"Ниже рынка","На уровне")))</f>
        <v/>
      </c>
      <c r="F151" s="40">
        <f>IFERROR(AVERAGE('📊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G151" s="40">
        <f>IFERROR(MEDIAN('📊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H151" s="40">
        <f>IFERROR(MIN('📊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I151" s="40">
        <f>IFERROR(MAX('📊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данные'!K150),"")</f>
        <v/>
      </c>
      <c r="J151" s="41">
        <f>IF(AND(D151&lt;&gt;"",F151&lt;&gt;""),(D151-F151)/F151,"")</f>
        <v/>
      </c>
      <c r="K151" s="41">
        <f>IF(AND(D151&lt;&gt;"",G151&lt;&gt;""),(D151-G151)/G151,"")</f>
        <v/>
      </c>
      <c r="L151" s="41">
        <f>IF(AND(D151&lt;&gt;"",H151&lt;&gt;""),(D151-H151)/H151,"")</f>
        <v/>
      </c>
      <c r="M151" s="42">
        <f>IFERROR(RANK(D151,('📊 Исходные данные'!E150,'📊 Исходные данные'!F150,'📊 Исходные данные'!G150,'📊 Исходные данные'!H150,'📊 Исходные данные'!I150,'📊 Исходные данные'!J150,'📊 Исходные данные'!K150)),"")</f>
        <v/>
      </c>
      <c r="N151" s="39">
        <f>IF(M151="","-",IF(M151=1,"Дороже всех",IF(M151=2,"2-й по цене",IF(M151&lt;=4,"Средний","Ниже конкурентов"))))</f>
        <v/>
      </c>
      <c r="O151" s="41">
        <f>IF(AND(C151&gt;0,D151&gt;0),(D151-C151)/C151,"")</f>
        <v/>
      </c>
      <c r="P151" s="41">
        <f>IF(AND(C151&gt;0,D151&gt;0),(D151-C151)/D151,"")</f>
        <v/>
      </c>
      <c r="Q151" s="40">
        <f>IF(AND(C151&gt;0,D151&gt;0),D151-C151,"")</f>
        <v/>
      </c>
      <c r="R151" s="39">
        <f>IF(P151="","-",IF(P151&lt;0.1,"Низкая(&lt;10%)",IF(P151&lt;0.2,"Средняя(10-20%)","Хорошая(&gt;20%)")))</f>
        <v/>
      </c>
      <c r="S151" s="39">
        <f>IF(OR(H151="",C151=""),"-",IF((H151-C151)/H151&lt;0.05,"КРИТИЧНО",IF((H151-C151)/H151&lt;0.15,"УМЕРЕННЫЙ","НИЗКИЙ")))</f>
        <v/>
      </c>
      <c r="T151" s="43" t="n"/>
      <c r="U151" s="40">
        <f>IF(T151&gt;0,T151*D151,"")</f>
        <v/>
      </c>
      <c r="V151" s="40">
        <f>IF(T151&gt;0,T151*Q151,"")</f>
        <v/>
      </c>
      <c r="W151" s="41">
        <f>IF(U151&gt;0,V151/U151,"")</f>
        <v/>
      </c>
      <c r="X151" s="40">
        <f>IF(F151&lt;&gt;"",F151,"")</f>
        <v/>
      </c>
      <c r="Y151" s="41">
        <f>IF(AND(X151&lt;&gt;"",C151&gt;0),(X151-C151)/C151,"")</f>
        <v/>
      </c>
      <c r="Z151" s="41">
        <f>IF(AND(X151&lt;&gt;"",X151&gt;0),(X151-C151)/X151,"")</f>
        <v/>
      </c>
      <c r="AA151" s="40">
        <f>IF(AND(X151&lt;&gt;"",C151&gt;0),X151-C151,"")</f>
        <v/>
      </c>
      <c r="AB151" s="41">
        <f>IF(AND(X151&lt;&gt;"",D151&gt;0),(X151-D151)/D151,"")</f>
        <v/>
      </c>
      <c r="AC151" s="41">
        <f>IF(AND(Z151&lt;&gt;"",P151&lt;&gt;""),(Z151-P151)/ABS(IF(P151=0,1,P151)),"")</f>
        <v/>
      </c>
      <c r="AD151" s="40">
        <f>IF(AND(AA151&lt;&gt;"",Q151&lt;&gt;""),AA151-Q151,"")</f>
        <v/>
      </c>
      <c r="AE151" s="40">
        <f>IF(G151&lt;&gt;"",G151,"")</f>
        <v/>
      </c>
      <c r="AF151" s="41">
        <f>IF(AND(AE151&lt;&gt;"",C151&gt;0),(AE151-C151)/C151,"")</f>
        <v/>
      </c>
      <c r="AG151" s="41">
        <f>IF(AND(AE151&lt;&gt;"",AE151&gt;0),(AE151-C151)/AE151,"")</f>
        <v/>
      </c>
      <c r="AH151" s="40">
        <f>IF(AND(AE151&lt;&gt;"",C151&gt;0),AE151-C151,"")</f>
        <v/>
      </c>
      <c r="AI151" s="41">
        <f>IF(AND(AE151&lt;&gt;"",D151&gt;0),(AE151-D151)/D151,"")</f>
        <v/>
      </c>
      <c r="AJ151" s="41">
        <f>IF(AND(AG151&lt;&gt;"",P151&lt;&gt;""),(AG151-P151)/ABS(IF(P151=0,1,P151)),"")</f>
        <v/>
      </c>
      <c r="AK151" s="40">
        <f>IF(AND(AH151&lt;&gt;"",Q151&lt;&gt;""),AH151-Q151,"")</f>
        <v/>
      </c>
      <c r="AL151" s="40">
        <f>IF(H151&lt;&gt;"",H151,"")</f>
        <v/>
      </c>
      <c r="AM151" s="41">
        <f>IF(AND(AL151&lt;&gt;"",C151&gt;0),(AL151-C151)/C151,"")</f>
        <v/>
      </c>
      <c r="AN151" s="41">
        <f>IF(AND(AL151&lt;&gt;"",AL151&gt;0),(AL151-C151)/AL151,"")</f>
        <v/>
      </c>
      <c r="AO151" s="40">
        <f>IF(AND(AL151&lt;&gt;"",C151&gt;0),AL151-C151,"")</f>
        <v/>
      </c>
      <c r="AP151" s="41">
        <f>IF(AND(AL151&lt;&gt;"",D151&gt;0),(AL151-D151)/D151,"")</f>
        <v/>
      </c>
      <c r="AQ151" s="41">
        <f>IF(AND(AN151&lt;&gt;"",P151&lt;&gt;""),(AN151-P151)/ABS(IF(P151=0,1,P151)),"")</f>
        <v/>
      </c>
      <c r="AR151" s="40">
        <f>IF(AND(AO151&lt;&gt;"",Q151&lt;&gt;""),AO151-Q151,"")</f>
        <v/>
      </c>
      <c r="AS151" s="44" t="n"/>
      <c r="AT151" s="41">
        <f>IF(AND(AS151&gt;0,C151&gt;0),(AS151-C151)/C151,"")</f>
        <v/>
      </c>
      <c r="AU151" s="41">
        <f>IF(AND(AS151&gt;0,AS151&gt;0),(AS151-C151)/AS151,"")</f>
        <v/>
      </c>
      <c r="AV151" s="40">
        <f>IF(AND(AS151&gt;0,C151&gt;0),AS151-C151,"")</f>
        <v/>
      </c>
      <c r="AW151" s="41">
        <f>IF(AND(AS151&gt;0,D151&gt;0),(AS151-D151)/D151,"")</f>
        <v/>
      </c>
      <c r="AX151" s="41">
        <f>IF(AND(AU151&lt;&gt;"",P151&lt;&gt;""),(AU151-P151)/ABS(IF(P151=0,1,P151)),"")</f>
        <v/>
      </c>
      <c r="AY151" s="40">
        <f>IF(AND(AV151&lt;&gt;"",Q151&lt;&gt;""),AV151-Q151,"")</f>
        <v/>
      </c>
      <c r="AZ151" s="45" t="n"/>
      <c r="BA151" s="40">
        <f>IF(AND(AZ151&gt;0,C151&gt;0),C151/(1-AZ151),"")</f>
        <v/>
      </c>
      <c r="BB151" s="41">
        <f>IF(AND(BA151&lt;&gt;"",C151&gt;0),(BA151-C151)/C151,"")</f>
        <v/>
      </c>
      <c r="BC151" s="41">
        <f>IF(BA151&lt;&gt;"",AZ151,"")</f>
        <v/>
      </c>
      <c r="BD151" s="40">
        <f>IF(AND(BA151&lt;&gt;"",C151&gt;0),BA151-C151,"")</f>
        <v/>
      </c>
      <c r="BE151" s="41">
        <f>IF(AND(BA151&lt;&gt;"",D151&gt;0),(BA151-D151)/D151,"")</f>
        <v/>
      </c>
      <c r="BF151" s="41">
        <f>IF(AND(BC151&lt;&gt;"",P151&lt;&gt;""),(BC151-P151)/ABS(IF(P151=0,1,P151)),"")</f>
        <v/>
      </c>
      <c r="BG151" s="40">
        <f>IF(AND(BD151&lt;&gt;"",Q151&lt;&gt;""),BD151-Q151,"")</f>
        <v/>
      </c>
      <c r="BH151" s="40">
        <f>IF(AND(T151&gt;0,X151&lt;&gt;""),T151*X151,"")</f>
        <v/>
      </c>
      <c r="BI151" s="40">
        <f>IF(AND(T151&gt;0,AA151&lt;&gt;""),T151*AA151,"")</f>
        <v/>
      </c>
      <c r="BJ151" s="40">
        <f>IF(AND(T151&gt;0,AE151&lt;&gt;""),T151*AE151,"")</f>
        <v/>
      </c>
      <c r="BK151" s="40">
        <f>IF(AND(T151&gt;0,AH151&lt;&gt;""),T151*AH151,"")</f>
        <v/>
      </c>
      <c r="BL151" s="40">
        <f>IF(AND(T151&gt;0,AL151&lt;&gt;""),T151*AL151,"")</f>
        <v/>
      </c>
      <c r="BM151" s="40">
        <f>IF(AND(T151&gt;0,AO151&lt;&gt;""),T151*AO151,"")</f>
        <v/>
      </c>
      <c r="BN151" s="40">
        <f>IF(AND(T151&gt;0,AS151&gt;0),T151*AS151,"")</f>
        <v/>
      </c>
      <c r="BO151" s="40">
        <f>IF(AND(T151&gt;0,AV151&lt;&gt;""),T151*AV151,"")</f>
        <v/>
      </c>
      <c r="BP151" s="40">
        <f>IF(AND(T151&gt;0,BA151&lt;&gt;""),T151*BA151,"")</f>
        <v/>
      </c>
      <c r="BQ151" s="40">
        <f>IF(AND(T151&gt;0,BD151&lt;&gt;""),T151*BD151,"")</f>
        <v/>
      </c>
      <c r="BR151" s="46">
        <f>IF(AND(T151&gt;0,V151&gt;0,AA151&lt;&gt;0),V151/AA151-T151,"")</f>
        <v/>
      </c>
      <c r="BS151" s="41">
        <f>IF(AND(BR151&lt;&gt;"",T151&gt;0),BR151/T151,"")</f>
        <v/>
      </c>
      <c r="BT151" s="46">
        <f>IF(AND(T151&gt;0,V151&gt;0,AO151&lt;&gt;0),V151/AO151-T151,"")</f>
        <v/>
      </c>
      <c r="BU151" s="41">
        <f>IF(AND(BT151&lt;&gt;"",T151&gt;0),BT151/T151,"")</f>
        <v/>
      </c>
    </row>
    <row r="152">
      <c r="A152" s="36">
        <f>'📊 Исходные данные'!A151</f>
        <v/>
      </c>
      <c r="B152" s="37">
        <f>'📊 Исходные данные'!B151</f>
        <v/>
      </c>
      <c r="C152" s="38">
        <f>'📊 Исходные данные'!C151</f>
        <v/>
      </c>
      <c r="D152" s="38">
        <f>'📊 Исходные данные'!D151</f>
        <v/>
      </c>
      <c r="E152" s="39">
        <f>IF(OR(D152="",F152=""),"-",IF(D152&gt;F152*1.05,"Выше рынка",IF(D152&lt;F152*0.95,"Ниже рынка","На уровне")))</f>
        <v/>
      </c>
      <c r="F152" s="40">
        <f>IFERROR(AVERAGE('📊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G152" s="40">
        <f>IFERROR(MEDIAN('📊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H152" s="40">
        <f>IFERROR(MIN('📊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I152" s="40">
        <f>IFERROR(MAX('📊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данные'!K151),"")</f>
        <v/>
      </c>
      <c r="J152" s="41">
        <f>IF(AND(D152&lt;&gt;"",F152&lt;&gt;""),(D152-F152)/F152,"")</f>
        <v/>
      </c>
      <c r="K152" s="41">
        <f>IF(AND(D152&lt;&gt;"",G152&lt;&gt;""),(D152-G152)/G152,"")</f>
        <v/>
      </c>
      <c r="L152" s="41">
        <f>IF(AND(D152&lt;&gt;"",H152&lt;&gt;""),(D152-H152)/H152,"")</f>
        <v/>
      </c>
      <c r="M152" s="42">
        <f>IFERROR(RANK(D152,('📊 Исходные данные'!E151,'📊 Исходные данные'!F151,'📊 Исходные данные'!G151,'📊 Исходные данные'!H151,'📊 Исходные данные'!I151,'📊 Исходные данные'!J151,'📊 Исходные данные'!K151)),"")</f>
        <v/>
      </c>
      <c r="N152" s="39">
        <f>IF(M152="","-",IF(M152=1,"Дороже всех",IF(M152=2,"2-й по цене",IF(M152&lt;=4,"Средний","Ниже конкурентов"))))</f>
        <v/>
      </c>
      <c r="O152" s="41">
        <f>IF(AND(C152&gt;0,D152&gt;0),(D152-C152)/C152,"")</f>
        <v/>
      </c>
      <c r="P152" s="41">
        <f>IF(AND(C152&gt;0,D152&gt;0),(D152-C152)/D152,"")</f>
        <v/>
      </c>
      <c r="Q152" s="40">
        <f>IF(AND(C152&gt;0,D152&gt;0),D152-C152,"")</f>
        <v/>
      </c>
      <c r="R152" s="39">
        <f>IF(P152="","-",IF(P152&lt;0.1,"Низкая(&lt;10%)",IF(P152&lt;0.2,"Средняя(10-20%)","Хорошая(&gt;20%)")))</f>
        <v/>
      </c>
      <c r="S152" s="39">
        <f>IF(OR(H152="",C152=""),"-",IF((H152-C152)/H152&lt;0.05,"КРИТИЧНО",IF((H152-C152)/H152&lt;0.15,"УМЕРЕННЫЙ","НИЗКИЙ")))</f>
        <v/>
      </c>
      <c r="T152" s="43" t="n"/>
      <c r="U152" s="40">
        <f>IF(T152&gt;0,T152*D152,"")</f>
        <v/>
      </c>
      <c r="V152" s="40">
        <f>IF(T152&gt;0,T152*Q152,"")</f>
        <v/>
      </c>
      <c r="W152" s="41">
        <f>IF(U152&gt;0,V152/U152,"")</f>
        <v/>
      </c>
      <c r="X152" s="40">
        <f>IF(F152&lt;&gt;"",F152,"")</f>
        <v/>
      </c>
      <c r="Y152" s="41">
        <f>IF(AND(X152&lt;&gt;"",C152&gt;0),(X152-C152)/C152,"")</f>
        <v/>
      </c>
      <c r="Z152" s="41">
        <f>IF(AND(X152&lt;&gt;"",X152&gt;0),(X152-C152)/X152,"")</f>
        <v/>
      </c>
      <c r="AA152" s="40">
        <f>IF(AND(X152&lt;&gt;"",C152&gt;0),X152-C152,"")</f>
        <v/>
      </c>
      <c r="AB152" s="41">
        <f>IF(AND(X152&lt;&gt;"",D152&gt;0),(X152-D152)/D152,"")</f>
        <v/>
      </c>
      <c r="AC152" s="41">
        <f>IF(AND(Z152&lt;&gt;"",P152&lt;&gt;""),(Z152-P152)/ABS(IF(P152=0,1,P152)),"")</f>
        <v/>
      </c>
      <c r="AD152" s="40">
        <f>IF(AND(AA152&lt;&gt;"",Q152&lt;&gt;""),AA152-Q152,"")</f>
        <v/>
      </c>
      <c r="AE152" s="40">
        <f>IF(G152&lt;&gt;"",G152,"")</f>
        <v/>
      </c>
      <c r="AF152" s="41">
        <f>IF(AND(AE152&lt;&gt;"",C152&gt;0),(AE152-C152)/C152,"")</f>
        <v/>
      </c>
      <c r="AG152" s="41">
        <f>IF(AND(AE152&lt;&gt;"",AE152&gt;0),(AE152-C152)/AE152,"")</f>
        <v/>
      </c>
      <c r="AH152" s="40">
        <f>IF(AND(AE152&lt;&gt;"",C152&gt;0),AE152-C152,"")</f>
        <v/>
      </c>
      <c r="AI152" s="41">
        <f>IF(AND(AE152&lt;&gt;"",D152&gt;0),(AE152-D152)/D152,"")</f>
        <v/>
      </c>
      <c r="AJ152" s="41">
        <f>IF(AND(AG152&lt;&gt;"",P152&lt;&gt;""),(AG152-P152)/ABS(IF(P152=0,1,P152)),"")</f>
        <v/>
      </c>
      <c r="AK152" s="40">
        <f>IF(AND(AH152&lt;&gt;"",Q152&lt;&gt;""),AH152-Q152,"")</f>
        <v/>
      </c>
      <c r="AL152" s="40">
        <f>IF(H152&lt;&gt;"",H152,"")</f>
        <v/>
      </c>
      <c r="AM152" s="41">
        <f>IF(AND(AL152&lt;&gt;"",C152&gt;0),(AL152-C152)/C152,"")</f>
        <v/>
      </c>
      <c r="AN152" s="41">
        <f>IF(AND(AL152&lt;&gt;"",AL152&gt;0),(AL152-C152)/AL152,"")</f>
        <v/>
      </c>
      <c r="AO152" s="40">
        <f>IF(AND(AL152&lt;&gt;"",C152&gt;0),AL152-C152,"")</f>
        <v/>
      </c>
      <c r="AP152" s="41">
        <f>IF(AND(AL152&lt;&gt;"",D152&gt;0),(AL152-D152)/D152,"")</f>
        <v/>
      </c>
      <c r="AQ152" s="41">
        <f>IF(AND(AN152&lt;&gt;"",P152&lt;&gt;""),(AN152-P152)/ABS(IF(P152=0,1,P152)),"")</f>
        <v/>
      </c>
      <c r="AR152" s="40">
        <f>IF(AND(AO152&lt;&gt;"",Q152&lt;&gt;""),AO152-Q152,"")</f>
        <v/>
      </c>
      <c r="AS152" s="44" t="n"/>
      <c r="AT152" s="41">
        <f>IF(AND(AS152&gt;0,C152&gt;0),(AS152-C152)/C152,"")</f>
        <v/>
      </c>
      <c r="AU152" s="41">
        <f>IF(AND(AS152&gt;0,AS152&gt;0),(AS152-C152)/AS152,"")</f>
        <v/>
      </c>
      <c r="AV152" s="40">
        <f>IF(AND(AS152&gt;0,C152&gt;0),AS152-C152,"")</f>
        <v/>
      </c>
      <c r="AW152" s="41">
        <f>IF(AND(AS152&gt;0,D152&gt;0),(AS152-D152)/D152,"")</f>
        <v/>
      </c>
      <c r="AX152" s="41">
        <f>IF(AND(AU152&lt;&gt;"",P152&lt;&gt;""),(AU152-P152)/ABS(IF(P152=0,1,P152)),"")</f>
        <v/>
      </c>
      <c r="AY152" s="40">
        <f>IF(AND(AV152&lt;&gt;"",Q152&lt;&gt;""),AV152-Q152,"")</f>
        <v/>
      </c>
      <c r="AZ152" s="45" t="n"/>
      <c r="BA152" s="40">
        <f>IF(AND(AZ152&gt;0,C152&gt;0),C152/(1-AZ152),"")</f>
        <v/>
      </c>
      <c r="BB152" s="41">
        <f>IF(AND(BA152&lt;&gt;"",C152&gt;0),(BA152-C152)/C152,"")</f>
        <v/>
      </c>
      <c r="BC152" s="41">
        <f>IF(BA152&lt;&gt;"",AZ152,"")</f>
        <v/>
      </c>
      <c r="BD152" s="40">
        <f>IF(AND(BA152&lt;&gt;"",C152&gt;0),BA152-C152,"")</f>
        <v/>
      </c>
      <c r="BE152" s="41">
        <f>IF(AND(BA152&lt;&gt;"",D152&gt;0),(BA152-D152)/D152,"")</f>
        <v/>
      </c>
      <c r="BF152" s="41">
        <f>IF(AND(BC152&lt;&gt;"",P152&lt;&gt;""),(BC152-P152)/ABS(IF(P152=0,1,P152)),"")</f>
        <v/>
      </c>
      <c r="BG152" s="40">
        <f>IF(AND(BD152&lt;&gt;"",Q152&lt;&gt;""),BD152-Q152,"")</f>
        <v/>
      </c>
      <c r="BH152" s="40">
        <f>IF(AND(T152&gt;0,X152&lt;&gt;""),T152*X152,"")</f>
        <v/>
      </c>
      <c r="BI152" s="40">
        <f>IF(AND(T152&gt;0,AA152&lt;&gt;""),T152*AA152,"")</f>
        <v/>
      </c>
      <c r="BJ152" s="40">
        <f>IF(AND(T152&gt;0,AE152&lt;&gt;""),T152*AE152,"")</f>
        <v/>
      </c>
      <c r="BK152" s="40">
        <f>IF(AND(T152&gt;0,AH152&lt;&gt;""),T152*AH152,"")</f>
        <v/>
      </c>
      <c r="BL152" s="40">
        <f>IF(AND(T152&gt;0,AL152&lt;&gt;""),T152*AL152,"")</f>
        <v/>
      </c>
      <c r="BM152" s="40">
        <f>IF(AND(T152&gt;0,AO152&lt;&gt;""),T152*AO152,"")</f>
        <v/>
      </c>
      <c r="BN152" s="40">
        <f>IF(AND(T152&gt;0,AS152&gt;0),T152*AS152,"")</f>
        <v/>
      </c>
      <c r="BO152" s="40">
        <f>IF(AND(T152&gt;0,AV152&lt;&gt;""),T152*AV152,"")</f>
        <v/>
      </c>
      <c r="BP152" s="40">
        <f>IF(AND(T152&gt;0,BA152&lt;&gt;""),T152*BA152,"")</f>
        <v/>
      </c>
      <c r="BQ152" s="40">
        <f>IF(AND(T152&gt;0,BD152&lt;&gt;""),T152*BD152,"")</f>
        <v/>
      </c>
      <c r="BR152" s="46">
        <f>IF(AND(T152&gt;0,V152&gt;0,AA152&lt;&gt;0),V152/AA152-T152,"")</f>
        <v/>
      </c>
      <c r="BS152" s="41">
        <f>IF(AND(BR152&lt;&gt;"",T152&gt;0),BR152/T152,"")</f>
        <v/>
      </c>
      <c r="BT152" s="46">
        <f>IF(AND(T152&gt;0,V152&gt;0,AO152&lt;&gt;0),V152/AO152-T152,"")</f>
        <v/>
      </c>
      <c r="BU152" s="41">
        <f>IF(AND(BT152&lt;&gt;"",T152&gt;0),BT152/T152,"")</f>
        <v/>
      </c>
    </row>
    <row r="153">
      <c r="A153" s="36">
        <f>'📊 Исходные данные'!A152</f>
        <v/>
      </c>
      <c r="B153" s="37">
        <f>'📊 Исходные данные'!B152</f>
        <v/>
      </c>
      <c r="C153" s="38">
        <f>'📊 Исходные данные'!C152</f>
        <v/>
      </c>
      <c r="D153" s="38">
        <f>'📊 Исходные данные'!D152</f>
        <v/>
      </c>
      <c r="E153" s="39">
        <f>IF(OR(D153="",F153=""),"-",IF(D153&gt;F153*1.05,"Выше рынка",IF(D153&lt;F153*0.95,"Ниже рынка","На уровне")))</f>
        <v/>
      </c>
      <c r="F153" s="40">
        <f>IFERROR(AVERAGE('📊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G153" s="40">
        <f>IFERROR(MEDIAN('📊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H153" s="40">
        <f>IFERROR(MIN('📊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I153" s="40">
        <f>IFERROR(MAX('📊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данные'!K152),"")</f>
        <v/>
      </c>
      <c r="J153" s="41">
        <f>IF(AND(D153&lt;&gt;"",F153&lt;&gt;""),(D153-F153)/F153,"")</f>
        <v/>
      </c>
      <c r="K153" s="41">
        <f>IF(AND(D153&lt;&gt;"",G153&lt;&gt;""),(D153-G153)/G153,"")</f>
        <v/>
      </c>
      <c r="L153" s="41">
        <f>IF(AND(D153&lt;&gt;"",H153&lt;&gt;""),(D153-H153)/H153,"")</f>
        <v/>
      </c>
      <c r="M153" s="42">
        <f>IFERROR(RANK(D153,('📊 Исходные данные'!E152,'📊 Исходные данные'!F152,'📊 Исходные данные'!G152,'📊 Исходные данные'!H152,'📊 Исходные данные'!I152,'📊 Исходные данные'!J152,'📊 Исходные данные'!K152)),"")</f>
        <v/>
      </c>
      <c r="N153" s="39">
        <f>IF(M153="","-",IF(M153=1,"Дороже всех",IF(M153=2,"2-й по цене",IF(M153&lt;=4,"Средний","Ниже конкурентов"))))</f>
        <v/>
      </c>
      <c r="O153" s="41">
        <f>IF(AND(C153&gt;0,D153&gt;0),(D153-C153)/C153,"")</f>
        <v/>
      </c>
      <c r="P153" s="41">
        <f>IF(AND(C153&gt;0,D153&gt;0),(D153-C153)/D153,"")</f>
        <v/>
      </c>
      <c r="Q153" s="40">
        <f>IF(AND(C153&gt;0,D153&gt;0),D153-C153,"")</f>
        <v/>
      </c>
      <c r="R153" s="39">
        <f>IF(P153="","-",IF(P153&lt;0.1,"Низкая(&lt;10%)",IF(P153&lt;0.2,"Средняя(10-20%)","Хорошая(&gt;20%)")))</f>
        <v/>
      </c>
      <c r="S153" s="39">
        <f>IF(OR(H153="",C153=""),"-",IF((H153-C153)/H153&lt;0.05,"КРИТИЧНО",IF((H153-C153)/H153&lt;0.15,"УМЕРЕННЫЙ","НИЗКИЙ")))</f>
        <v/>
      </c>
      <c r="T153" s="43" t="n"/>
      <c r="U153" s="40">
        <f>IF(T153&gt;0,T153*D153,"")</f>
        <v/>
      </c>
      <c r="V153" s="40">
        <f>IF(T153&gt;0,T153*Q153,"")</f>
        <v/>
      </c>
      <c r="W153" s="41">
        <f>IF(U153&gt;0,V153/U153,"")</f>
        <v/>
      </c>
      <c r="X153" s="40">
        <f>IF(F153&lt;&gt;"",F153,"")</f>
        <v/>
      </c>
      <c r="Y153" s="41">
        <f>IF(AND(X153&lt;&gt;"",C153&gt;0),(X153-C153)/C153,"")</f>
        <v/>
      </c>
      <c r="Z153" s="41">
        <f>IF(AND(X153&lt;&gt;"",X153&gt;0),(X153-C153)/X153,"")</f>
        <v/>
      </c>
      <c r="AA153" s="40">
        <f>IF(AND(X153&lt;&gt;"",C153&gt;0),X153-C153,"")</f>
        <v/>
      </c>
      <c r="AB153" s="41">
        <f>IF(AND(X153&lt;&gt;"",D153&gt;0),(X153-D153)/D153,"")</f>
        <v/>
      </c>
      <c r="AC153" s="41">
        <f>IF(AND(Z153&lt;&gt;"",P153&lt;&gt;""),(Z153-P153)/ABS(IF(P153=0,1,P153)),"")</f>
        <v/>
      </c>
      <c r="AD153" s="40">
        <f>IF(AND(AA153&lt;&gt;"",Q153&lt;&gt;""),AA153-Q153,"")</f>
        <v/>
      </c>
      <c r="AE153" s="40">
        <f>IF(G153&lt;&gt;"",G153,"")</f>
        <v/>
      </c>
      <c r="AF153" s="41">
        <f>IF(AND(AE153&lt;&gt;"",C153&gt;0),(AE153-C153)/C153,"")</f>
        <v/>
      </c>
      <c r="AG153" s="41">
        <f>IF(AND(AE153&lt;&gt;"",AE153&gt;0),(AE153-C153)/AE153,"")</f>
        <v/>
      </c>
      <c r="AH153" s="40">
        <f>IF(AND(AE153&lt;&gt;"",C153&gt;0),AE153-C153,"")</f>
        <v/>
      </c>
      <c r="AI153" s="41">
        <f>IF(AND(AE153&lt;&gt;"",D153&gt;0),(AE153-D153)/D153,"")</f>
        <v/>
      </c>
      <c r="AJ153" s="41">
        <f>IF(AND(AG153&lt;&gt;"",P153&lt;&gt;""),(AG153-P153)/ABS(IF(P153=0,1,P153)),"")</f>
        <v/>
      </c>
      <c r="AK153" s="40">
        <f>IF(AND(AH153&lt;&gt;"",Q153&lt;&gt;""),AH153-Q153,"")</f>
        <v/>
      </c>
      <c r="AL153" s="40">
        <f>IF(H153&lt;&gt;"",H153,"")</f>
        <v/>
      </c>
      <c r="AM153" s="41">
        <f>IF(AND(AL153&lt;&gt;"",C153&gt;0),(AL153-C153)/C153,"")</f>
        <v/>
      </c>
      <c r="AN153" s="41">
        <f>IF(AND(AL153&lt;&gt;"",AL153&gt;0),(AL153-C153)/AL153,"")</f>
        <v/>
      </c>
      <c r="AO153" s="40">
        <f>IF(AND(AL153&lt;&gt;"",C153&gt;0),AL153-C153,"")</f>
        <v/>
      </c>
      <c r="AP153" s="41">
        <f>IF(AND(AL153&lt;&gt;"",D153&gt;0),(AL153-D153)/D153,"")</f>
        <v/>
      </c>
      <c r="AQ153" s="41">
        <f>IF(AND(AN153&lt;&gt;"",P153&lt;&gt;""),(AN153-P153)/ABS(IF(P153=0,1,P153)),"")</f>
        <v/>
      </c>
      <c r="AR153" s="40">
        <f>IF(AND(AO153&lt;&gt;"",Q153&lt;&gt;""),AO153-Q153,"")</f>
        <v/>
      </c>
      <c r="AS153" s="44" t="n"/>
      <c r="AT153" s="41">
        <f>IF(AND(AS153&gt;0,C153&gt;0),(AS153-C153)/C153,"")</f>
        <v/>
      </c>
      <c r="AU153" s="41">
        <f>IF(AND(AS153&gt;0,AS153&gt;0),(AS153-C153)/AS153,"")</f>
        <v/>
      </c>
      <c r="AV153" s="40">
        <f>IF(AND(AS153&gt;0,C153&gt;0),AS153-C153,"")</f>
        <v/>
      </c>
      <c r="AW153" s="41">
        <f>IF(AND(AS153&gt;0,D153&gt;0),(AS153-D153)/D153,"")</f>
        <v/>
      </c>
      <c r="AX153" s="41">
        <f>IF(AND(AU153&lt;&gt;"",P153&lt;&gt;""),(AU153-P153)/ABS(IF(P153=0,1,P153)),"")</f>
        <v/>
      </c>
      <c r="AY153" s="40">
        <f>IF(AND(AV153&lt;&gt;"",Q153&lt;&gt;""),AV153-Q153,"")</f>
        <v/>
      </c>
      <c r="AZ153" s="45" t="n"/>
      <c r="BA153" s="40">
        <f>IF(AND(AZ153&gt;0,C153&gt;0),C153/(1-AZ153),"")</f>
        <v/>
      </c>
      <c r="BB153" s="41">
        <f>IF(AND(BA153&lt;&gt;"",C153&gt;0),(BA153-C153)/C153,"")</f>
        <v/>
      </c>
      <c r="BC153" s="41">
        <f>IF(BA153&lt;&gt;"",AZ153,"")</f>
        <v/>
      </c>
      <c r="BD153" s="40">
        <f>IF(AND(BA153&lt;&gt;"",C153&gt;0),BA153-C153,"")</f>
        <v/>
      </c>
      <c r="BE153" s="41">
        <f>IF(AND(BA153&lt;&gt;"",D153&gt;0),(BA153-D153)/D153,"")</f>
        <v/>
      </c>
      <c r="BF153" s="41">
        <f>IF(AND(BC153&lt;&gt;"",P153&lt;&gt;""),(BC153-P153)/ABS(IF(P153=0,1,P153)),"")</f>
        <v/>
      </c>
      <c r="BG153" s="40">
        <f>IF(AND(BD153&lt;&gt;"",Q153&lt;&gt;""),BD153-Q153,"")</f>
        <v/>
      </c>
      <c r="BH153" s="40">
        <f>IF(AND(T153&gt;0,X153&lt;&gt;""),T153*X153,"")</f>
        <v/>
      </c>
      <c r="BI153" s="40">
        <f>IF(AND(T153&gt;0,AA153&lt;&gt;""),T153*AA153,"")</f>
        <v/>
      </c>
      <c r="BJ153" s="40">
        <f>IF(AND(T153&gt;0,AE153&lt;&gt;""),T153*AE153,"")</f>
        <v/>
      </c>
      <c r="BK153" s="40">
        <f>IF(AND(T153&gt;0,AH153&lt;&gt;""),T153*AH153,"")</f>
        <v/>
      </c>
      <c r="BL153" s="40">
        <f>IF(AND(T153&gt;0,AL153&lt;&gt;""),T153*AL153,"")</f>
        <v/>
      </c>
      <c r="BM153" s="40">
        <f>IF(AND(T153&gt;0,AO153&lt;&gt;""),T153*AO153,"")</f>
        <v/>
      </c>
      <c r="BN153" s="40">
        <f>IF(AND(T153&gt;0,AS153&gt;0),T153*AS153,"")</f>
        <v/>
      </c>
      <c r="BO153" s="40">
        <f>IF(AND(T153&gt;0,AV153&lt;&gt;""),T153*AV153,"")</f>
        <v/>
      </c>
      <c r="BP153" s="40">
        <f>IF(AND(T153&gt;0,BA153&lt;&gt;""),T153*BA153,"")</f>
        <v/>
      </c>
      <c r="BQ153" s="40">
        <f>IF(AND(T153&gt;0,BD153&lt;&gt;""),T153*BD153,"")</f>
        <v/>
      </c>
      <c r="BR153" s="46">
        <f>IF(AND(T153&gt;0,V153&gt;0,AA153&lt;&gt;0),V153/AA153-T153,"")</f>
        <v/>
      </c>
      <c r="BS153" s="41">
        <f>IF(AND(BR153&lt;&gt;"",T153&gt;0),BR153/T153,"")</f>
        <v/>
      </c>
      <c r="BT153" s="46">
        <f>IF(AND(T153&gt;0,V153&gt;0,AO153&lt;&gt;0),V153/AO153-T153,"")</f>
        <v/>
      </c>
      <c r="BU153" s="41">
        <f>IF(AND(BT153&lt;&gt;"",T153&gt;0),BT153/T153,"")</f>
        <v/>
      </c>
    </row>
    <row r="154">
      <c r="A154" s="36">
        <f>'📊 Исходные данные'!A153</f>
        <v/>
      </c>
      <c r="B154" s="37">
        <f>'📊 Исходные данные'!B153</f>
        <v/>
      </c>
      <c r="C154" s="38">
        <f>'📊 Исходные данные'!C153</f>
        <v/>
      </c>
      <c r="D154" s="38">
        <f>'📊 Исходные данные'!D153</f>
        <v/>
      </c>
      <c r="E154" s="39">
        <f>IF(OR(D154="",F154=""),"-",IF(D154&gt;F154*1.05,"Выше рынка",IF(D154&lt;F154*0.95,"Ниже рынка","На уровне")))</f>
        <v/>
      </c>
      <c r="F154" s="40">
        <f>IFERROR(AVERAGE('📊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G154" s="40">
        <f>IFERROR(MEDIAN('📊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H154" s="40">
        <f>IFERROR(MIN('📊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I154" s="40">
        <f>IFERROR(MAX('📊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данные'!K153),"")</f>
        <v/>
      </c>
      <c r="J154" s="41">
        <f>IF(AND(D154&lt;&gt;"",F154&lt;&gt;""),(D154-F154)/F154,"")</f>
        <v/>
      </c>
      <c r="K154" s="41">
        <f>IF(AND(D154&lt;&gt;"",G154&lt;&gt;""),(D154-G154)/G154,"")</f>
        <v/>
      </c>
      <c r="L154" s="41">
        <f>IF(AND(D154&lt;&gt;"",H154&lt;&gt;""),(D154-H154)/H154,"")</f>
        <v/>
      </c>
      <c r="M154" s="42">
        <f>IFERROR(RANK(D154,('📊 Исходные данные'!E153,'📊 Исходные данные'!F153,'📊 Исходные данные'!G153,'📊 Исходные данные'!H153,'📊 Исходные данные'!I153,'📊 Исходные данные'!J153,'📊 Исходные данные'!K153)),"")</f>
        <v/>
      </c>
      <c r="N154" s="39">
        <f>IF(M154="","-",IF(M154=1,"Дороже всех",IF(M154=2,"2-й по цене",IF(M154&lt;=4,"Средний","Ниже конкурентов"))))</f>
        <v/>
      </c>
      <c r="O154" s="41">
        <f>IF(AND(C154&gt;0,D154&gt;0),(D154-C154)/C154,"")</f>
        <v/>
      </c>
      <c r="P154" s="41">
        <f>IF(AND(C154&gt;0,D154&gt;0),(D154-C154)/D154,"")</f>
        <v/>
      </c>
      <c r="Q154" s="40">
        <f>IF(AND(C154&gt;0,D154&gt;0),D154-C154,"")</f>
        <v/>
      </c>
      <c r="R154" s="39">
        <f>IF(P154="","-",IF(P154&lt;0.1,"Низкая(&lt;10%)",IF(P154&lt;0.2,"Средняя(10-20%)","Хорошая(&gt;20%)")))</f>
        <v/>
      </c>
      <c r="S154" s="39">
        <f>IF(OR(H154="",C154=""),"-",IF((H154-C154)/H154&lt;0.05,"КРИТИЧНО",IF((H154-C154)/H154&lt;0.15,"УМЕРЕННЫЙ","НИЗКИЙ")))</f>
        <v/>
      </c>
      <c r="T154" s="43" t="n"/>
      <c r="U154" s="40">
        <f>IF(T154&gt;0,T154*D154,"")</f>
        <v/>
      </c>
      <c r="V154" s="40">
        <f>IF(T154&gt;0,T154*Q154,"")</f>
        <v/>
      </c>
      <c r="W154" s="41">
        <f>IF(U154&gt;0,V154/U154,"")</f>
        <v/>
      </c>
      <c r="X154" s="40">
        <f>IF(F154&lt;&gt;"",F154,"")</f>
        <v/>
      </c>
      <c r="Y154" s="41">
        <f>IF(AND(X154&lt;&gt;"",C154&gt;0),(X154-C154)/C154,"")</f>
        <v/>
      </c>
      <c r="Z154" s="41">
        <f>IF(AND(X154&lt;&gt;"",X154&gt;0),(X154-C154)/X154,"")</f>
        <v/>
      </c>
      <c r="AA154" s="40">
        <f>IF(AND(X154&lt;&gt;"",C154&gt;0),X154-C154,"")</f>
        <v/>
      </c>
      <c r="AB154" s="41">
        <f>IF(AND(X154&lt;&gt;"",D154&gt;0),(X154-D154)/D154,"")</f>
        <v/>
      </c>
      <c r="AC154" s="41">
        <f>IF(AND(Z154&lt;&gt;"",P154&lt;&gt;""),(Z154-P154)/ABS(IF(P154=0,1,P154)),"")</f>
        <v/>
      </c>
      <c r="AD154" s="40">
        <f>IF(AND(AA154&lt;&gt;"",Q154&lt;&gt;""),AA154-Q154,"")</f>
        <v/>
      </c>
      <c r="AE154" s="40">
        <f>IF(G154&lt;&gt;"",G154,"")</f>
        <v/>
      </c>
      <c r="AF154" s="41">
        <f>IF(AND(AE154&lt;&gt;"",C154&gt;0),(AE154-C154)/C154,"")</f>
        <v/>
      </c>
      <c r="AG154" s="41">
        <f>IF(AND(AE154&lt;&gt;"",AE154&gt;0),(AE154-C154)/AE154,"")</f>
        <v/>
      </c>
      <c r="AH154" s="40">
        <f>IF(AND(AE154&lt;&gt;"",C154&gt;0),AE154-C154,"")</f>
        <v/>
      </c>
      <c r="AI154" s="41">
        <f>IF(AND(AE154&lt;&gt;"",D154&gt;0),(AE154-D154)/D154,"")</f>
        <v/>
      </c>
      <c r="AJ154" s="41">
        <f>IF(AND(AG154&lt;&gt;"",P154&lt;&gt;""),(AG154-P154)/ABS(IF(P154=0,1,P154)),"")</f>
        <v/>
      </c>
      <c r="AK154" s="40">
        <f>IF(AND(AH154&lt;&gt;"",Q154&lt;&gt;""),AH154-Q154,"")</f>
        <v/>
      </c>
      <c r="AL154" s="40">
        <f>IF(H154&lt;&gt;"",H154,"")</f>
        <v/>
      </c>
      <c r="AM154" s="41">
        <f>IF(AND(AL154&lt;&gt;"",C154&gt;0),(AL154-C154)/C154,"")</f>
        <v/>
      </c>
      <c r="AN154" s="41">
        <f>IF(AND(AL154&lt;&gt;"",AL154&gt;0),(AL154-C154)/AL154,"")</f>
        <v/>
      </c>
      <c r="AO154" s="40">
        <f>IF(AND(AL154&lt;&gt;"",C154&gt;0),AL154-C154,"")</f>
        <v/>
      </c>
      <c r="AP154" s="41">
        <f>IF(AND(AL154&lt;&gt;"",D154&gt;0),(AL154-D154)/D154,"")</f>
        <v/>
      </c>
      <c r="AQ154" s="41">
        <f>IF(AND(AN154&lt;&gt;"",P154&lt;&gt;""),(AN154-P154)/ABS(IF(P154=0,1,P154)),"")</f>
        <v/>
      </c>
      <c r="AR154" s="40">
        <f>IF(AND(AO154&lt;&gt;"",Q154&lt;&gt;""),AO154-Q154,"")</f>
        <v/>
      </c>
      <c r="AS154" s="44" t="n"/>
      <c r="AT154" s="41">
        <f>IF(AND(AS154&gt;0,C154&gt;0),(AS154-C154)/C154,"")</f>
        <v/>
      </c>
      <c r="AU154" s="41">
        <f>IF(AND(AS154&gt;0,AS154&gt;0),(AS154-C154)/AS154,"")</f>
        <v/>
      </c>
      <c r="AV154" s="40">
        <f>IF(AND(AS154&gt;0,C154&gt;0),AS154-C154,"")</f>
        <v/>
      </c>
      <c r="AW154" s="41">
        <f>IF(AND(AS154&gt;0,D154&gt;0),(AS154-D154)/D154,"")</f>
        <v/>
      </c>
      <c r="AX154" s="41">
        <f>IF(AND(AU154&lt;&gt;"",P154&lt;&gt;""),(AU154-P154)/ABS(IF(P154=0,1,P154)),"")</f>
        <v/>
      </c>
      <c r="AY154" s="40">
        <f>IF(AND(AV154&lt;&gt;"",Q154&lt;&gt;""),AV154-Q154,"")</f>
        <v/>
      </c>
      <c r="AZ154" s="45" t="n"/>
      <c r="BA154" s="40">
        <f>IF(AND(AZ154&gt;0,C154&gt;0),C154/(1-AZ154),"")</f>
        <v/>
      </c>
      <c r="BB154" s="41">
        <f>IF(AND(BA154&lt;&gt;"",C154&gt;0),(BA154-C154)/C154,"")</f>
        <v/>
      </c>
      <c r="BC154" s="41">
        <f>IF(BA154&lt;&gt;"",AZ154,"")</f>
        <v/>
      </c>
      <c r="BD154" s="40">
        <f>IF(AND(BA154&lt;&gt;"",C154&gt;0),BA154-C154,"")</f>
        <v/>
      </c>
      <c r="BE154" s="41">
        <f>IF(AND(BA154&lt;&gt;"",D154&gt;0),(BA154-D154)/D154,"")</f>
        <v/>
      </c>
      <c r="BF154" s="41">
        <f>IF(AND(BC154&lt;&gt;"",P154&lt;&gt;""),(BC154-P154)/ABS(IF(P154=0,1,P154)),"")</f>
        <v/>
      </c>
      <c r="BG154" s="40">
        <f>IF(AND(BD154&lt;&gt;"",Q154&lt;&gt;""),BD154-Q154,"")</f>
        <v/>
      </c>
      <c r="BH154" s="40">
        <f>IF(AND(T154&gt;0,X154&lt;&gt;""),T154*X154,"")</f>
        <v/>
      </c>
      <c r="BI154" s="40">
        <f>IF(AND(T154&gt;0,AA154&lt;&gt;""),T154*AA154,"")</f>
        <v/>
      </c>
      <c r="BJ154" s="40">
        <f>IF(AND(T154&gt;0,AE154&lt;&gt;""),T154*AE154,"")</f>
        <v/>
      </c>
      <c r="BK154" s="40">
        <f>IF(AND(T154&gt;0,AH154&lt;&gt;""),T154*AH154,"")</f>
        <v/>
      </c>
      <c r="BL154" s="40">
        <f>IF(AND(T154&gt;0,AL154&lt;&gt;""),T154*AL154,"")</f>
        <v/>
      </c>
      <c r="BM154" s="40">
        <f>IF(AND(T154&gt;0,AO154&lt;&gt;""),T154*AO154,"")</f>
        <v/>
      </c>
      <c r="BN154" s="40">
        <f>IF(AND(T154&gt;0,AS154&gt;0),T154*AS154,"")</f>
        <v/>
      </c>
      <c r="BO154" s="40">
        <f>IF(AND(T154&gt;0,AV154&lt;&gt;""),T154*AV154,"")</f>
        <v/>
      </c>
      <c r="BP154" s="40">
        <f>IF(AND(T154&gt;0,BA154&lt;&gt;""),T154*BA154,"")</f>
        <v/>
      </c>
      <c r="BQ154" s="40">
        <f>IF(AND(T154&gt;0,BD154&lt;&gt;""),T154*BD154,"")</f>
        <v/>
      </c>
      <c r="BR154" s="46">
        <f>IF(AND(T154&gt;0,V154&gt;0,AA154&lt;&gt;0),V154/AA154-T154,"")</f>
        <v/>
      </c>
      <c r="BS154" s="41">
        <f>IF(AND(BR154&lt;&gt;"",T154&gt;0),BR154/T154,"")</f>
        <v/>
      </c>
      <c r="BT154" s="46">
        <f>IF(AND(T154&gt;0,V154&gt;0,AO154&lt;&gt;0),V154/AO154-T154,"")</f>
        <v/>
      </c>
      <c r="BU154" s="41">
        <f>IF(AND(BT154&lt;&gt;"",T154&gt;0),BT154/T154,"")</f>
        <v/>
      </c>
    </row>
    <row r="155">
      <c r="A155" s="36">
        <f>'📊 Исходные данные'!A154</f>
        <v/>
      </c>
      <c r="B155" s="37">
        <f>'📊 Исходные данные'!B154</f>
        <v/>
      </c>
      <c r="C155" s="38">
        <f>'📊 Исходные данные'!C154</f>
        <v/>
      </c>
      <c r="D155" s="38">
        <f>'📊 Исходные данные'!D154</f>
        <v/>
      </c>
      <c r="E155" s="39">
        <f>IF(OR(D155="",F155=""),"-",IF(D155&gt;F155*1.05,"Выше рынка",IF(D155&lt;F155*0.95,"Ниже рынка","На уровне")))</f>
        <v/>
      </c>
      <c r="F155" s="40">
        <f>IFERROR(AVERAGE('📊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G155" s="40">
        <f>IFERROR(MEDIAN('📊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H155" s="40">
        <f>IFERROR(MIN('📊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I155" s="40">
        <f>IFERROR(MAX('📊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данные'!K154),"")</f>
        <v/>
      </c>
      <c r="J155" s="41">
        <f>IF(AND(D155&lt;&gt;"",F155&lt;&gt;""),(D155-F155)/F155,"")</f>
        <v/>
      </c>
      <c r="K155" s="41">
        <f>IF(AND(D155&lt;&gt;"",G155&lt;&gt;""),(D155-G155)/G155,"")</f>
        <v/>
      </c>
      <c r="L155" s="41">
        <f>IF(AND(D155&lt;&gt;"",H155&lt;&gt;""),(D155-H155)/H155,"")</f>
        <v/>
      </c>
      <c r="M155" s="42">
        <f>IFERROR(RANK(D155,('📊 Исходные данные'!E154,'📊 Исходные данные'!F154,'📊 Исходные данные'!G154,'📊 Исходные данные'!H154,'📊 Исходные данные'!I154,'📊 Исходные данные'!J154,'📊 Исходные данные'!K154)),"")</f>
        <v/>
      </c>
      <c r="N155" s="39">
        <f>IF(M155="","-",IF(M155=1,"Дороже всех",IF(M155=2,"2-й по цене",IF(M155&lt;=4,"Средний","Ниже конкурентов"))))</f>
        <v/>
      </c>
      <c r="O155" s="41">
        <f>IF(AND(C155&gt;0,D155&gt;0),(D155-C155)/C155,"")</f>
        <v/>
      </c>
      <c r="P155" s="41">
        <f>IF(AND(C155&gt;0,D155&gt;0),(D155-C155)/D155,"")</f>
        <v/>
      </c>
      <c r="Q155" s="40">
        <f>IF(AND(C155&gt;0,D155&gt;0),D155-C155,"")</f>
        <v/>
      </c>
      <c r="R155" s="39">
        <f>IF(P155="","-",IF(P155&lt;0.1,"Низкая(&lt;10%)",IF(P155&lt;0.2,"Средняя(10-20%)","Хорошая(&gt;20%)")))</f>
        <v/>
      </c>
      <c r="S155" s="39">
        <f>IF(OR(H155="",C155=""),"-",IF((H155-C155)/H155&lt;0.05,"КРИТИЧНО",IF((H155-C155)/H155&lt;0.15,"УМЕРЕННЫЙ","НИЗКИЙ")))</f>
        <v/>
      </c>
      <c r="T155" s="43" t="n"/>
      <c r="U155" s="40">
        <f>IF(T155&gt;0,T155*D155,"")</f>
        <v/>
      </c>
      <c r="V155" s="40">
        <f>IF(T155&gt;0,T155*Q155,"")</f>
        <v/>
      </c>
      <c r="W155" s="41">
        <f>IF(U155&gt;0,V155/U155,"")</f>
        <v/>
      </c>
      <c r="X155" s="40">
        <f>IF(F155&lt;&gt;"",F155,"")</f>
        <v/>
      </c>
      <c r="Y155" s="41">
        <f>IF(AND(X155&lt;&gt;"",C155&gt;0),(X155-C155)/C155,"")</f>
        <v/>
      </c>
      <c r="Z155" s="41">
        <f>IF(AND(X155&lt;&gt;"",X155&gt;0),(X155-C155)/X155,"")</f>
        <v/>
      </c>
      <c r="AA155" s="40">
        <f>IF(AND(X155&lt;&gt;"",C155&gt;0),X155-C155,"")</f>
        <v/>
      </c>
      <c r="AB155" s="41">
        <f>IF(AND(X155&lt;&gt;"",D155&gt;0),(X155-D155)/D155,"")</f>
        <v/>
      </c>
      <c r="AC155" s="41">
        <f>IF(AND(Z155&lt;&gt;"",P155&lt;&gt;""),(Z155-P155)/ABS(IF(P155=0,1,P155)),"")</f>
        <v/>
      </c>
      <c r="AD155" s="40">
        <f>IF(AND(AA155&lt;&gt;"",Q155&lt;&gt;""),AA155-Q155,"")</f>
        <v/>
      </c>
      <c r="AE155" s="40">
        <f>IF(G155&lt;&gt;"",G155,"")</f>
        <v/>
      </c>
      <c r="AF155" s="41">
        <f>IF(AND(AE155&lt;&gt;"",C155&gt;0),(AE155-C155)/C155,"")</f>
        <v/>
      </c>
      <c r="AG155" s="41">
        <f>IF(AND(AE155&lt;&gt;"",AE155&gt;0),(AE155-C155)/AE155,"")</f>
        <v/>
      </c>
      <c r="AH155" s="40">
        <f>IF(AND(AE155&lt;&gt;"",C155&gt;0),AE155-C155,"")</f>
        <v/>
      </c>
      <c r="AI155" s="41">
        <f>IF(AND(AE155&lt;&gt;"",D155&gt;0),(AE155-D155)/D155,"")</f>
        <v/>
      </c>
      <c r="AJ155" s="41">
        <f>IF(AND(AG155&lt;&gt;"",P155&lt;&gt;""),(AG155-P155)/ABS(IF(P155=0,1,P155)),"")</f>
        <v/>
      </c>
      <c r="AK155" s="40">
        <f>IF(AND(AH155&lt;&gt;"",Q155&lt;&gt;""),AH155-Q155,"")</f>
        <v/>
      </c>
      <c r="AL155" s="40">
        <f>IF(H155&lt;&gt;"",H155,"")</f>
        <v/>
      </c>
      <c r="AM155" s="41">
        <f>IF(AND(AL155&lt;&gt;"",C155&gt;0),(AL155-C155)/C155,"")</f>
        <v/>
      </c>
      <c r="AN155" s="41">
        <f>IF(AND(AL155&lt;&gt;"",AL155&gt;0),(AL155-C155)/AL155,"")</f>
        <v/>
      </c>
      <c r="AO155" s="40">
        <f>IF(AND(AL155&lt;&gt;"",C155&gt;0),AL155-C155,"")</f>
        <v/>
      </c>
      <c r="AP155" s="41">
        <f>IF(AND(AL155&lt;&gt;"",D155&gt;0),(AL155-D155)/D155,"")</f>
        <v/>
      </c>
      <c r="AQ155" s="41">
        <f>IF(AND(AN155&lt;&gt;"",P155&lt;&gt;""),(AN155-P155)/ABS(IF(P155=0,1,P155)),"")</f>
        <v/>
      </c>
      <c r="AR155" s="40">
        <f>IF(AND(AO155&lt;&gt;"",Q155&lt;&gt;""),AO155-Q155,"")</f>
        <v/>
      </c>
      <c r="AS155" s="44" t="n"/>
      <c r="AT155" s="41">
        <f>IF(AND(AS155&gt;0,C155&gt;0),(AS155-C155)/C155,"")</f>
        <v/>
      </c>
      <c r="AU155" s="41">
        <f>IF(AND(AS155&gt;0,AS155&gt;0),(AS155-C155)/AS155,"")</f>
        <v/>
      </c>
      <c r="AV155" s="40">
        <f>IF(AND(AS155&gt;0,C155&gt;0),AS155-C155,"")</f>
        <v/>
      </c>
      <c r="AW155" s="41">
        <f>IF(AND(AS155&gt;0,D155&gt;0),(AS155-D155)/D155,"")</f>
        <v/>
      </c>
      <c r="AX155" s="41">
        <f>IF(AND(AU155&lt;&gt;"",P155&lt;&gt;""),(AU155-P155)/ABS(IF(P155=0,1,P155)),"")</f>
        <v/>
      </c>
      <c r="AY155" s="40">
        <f>IF(AND(AV155&lt;&gt;"",Q155&lt;&gt;""),AV155-Q155,"")</f>
        <v/>
      </c>
      <c r="AZ155" s="45" t="n"/>
      <c r="BA155" s="40">
        <f>IF(AND(AZ155&gt;0,C155&gt;0),C155/(1-AZ155),"")</f>
        <v/>
      </c>
      <c r="BB155" s="41">
        <f>IF(AND(BA155&lt;&gt;"",C155&gt;0),(BA155-C155)/C155,"")</f>
        <v/>
      </c>
      <c r="BC155" s="41">
        <f>IF(BA155&lt;&gt;"",AZ155,"")</f>
        <v/>
      </c>
      <c r="BD155" s="40">
        <f>IF(AND(BA155&lt;&gt;"",C155&gt;0),BA155-C155,"")</f>
        <v/>
      </c>
      <c r="BE155" s="41">
        <f>IF(AND(BA155&lt;&gt;"",D155&gt;0),(BA155-D155)/D155,"")</f>
        <v/>
      </c>
      <c r="BF155" s="41">
        <f>IF(AND(BC155&lt;&gt;"",P155&lt;&gt;""),(BC155-P155)/ABS(IF(P155=0,1,P155)),"")</f>
        <v/>
      </c>
      <c r="BG155" s="40">
        <f>IF(AND(BD155&lt;&gt;"",Q155&lt;&gt;""),BD155-Q155,"")</f>
        <v/>
      </c>
      <c r="BH155" s="40">
        <f>IF(AND(T155&gt;0,X155&lt;&gt;""),T155*X155,"")</f>
        <v/>
      </c>
      <c r="BI155" s="40">
        <f>IF(AND(T155&gt;0,AA155&lt;&gt;""),T155*AA155,"")</f>
        <v/>
      </c>
      <c r="BJ155" s="40">
        <f>IF(AND(T155&gt;0,AE155&lt;&gt;""),T155*AE155,"")</f>
        <v/>
      </c>
      <c r="BK155" s="40">
        <f>IF(AND(T155&gt;0,AH155&lt;&gt;""),T155*AH155,"")</f>
        <v/>
      </c>
      <c r="BL155" s="40">
        <f>IF(AND(T155&gt;0,AL155&lt;&gt;""),T155*AL155,"")</f>
        <v/>
      </c>
      <c r="BM155" s="40">
        <f>IF(AND(T155&gt;0,AO155&lt;&gt;""),T155*AO155,"")</f>
        <v/>
      </c>
      <c r="BN155" s="40">
        <f>IF(AND(T155&gt;0,AS155&gt;0),T155*AS155,"")</f>
        <v/>
      </c>
      <c r="BO155" s="40">
        <f>IF(AND(T155&gt;0,AV155&lt;&gt;""),T155*AV155,"")</f>
        <v/>
      </c>
      <c r="BP155" s="40">
        <f>IF(AND(T155&gt;0,BA155&lt;&gt;""),T155*BA155,"")</f>
        <v/>
      </c>
      <c r="BQ155" s="40">
        <f>IF(AND(T155&gt;0,BD155&lt;&gt;""),T155*BD155,"")</f>
        <v/>
      </c>
      <c r="BR155" s="46">
        <f>IF(AND(T155&gt;0,V155&gt;0,AA155&lt;&gt;0),V155/AA155-T155,"")</f>
        <v/>
      </c>
      <c r="BS155" s="41">
        <f>IF(AND(BR155&lt;&gt;"",T155&gt;0),BR155/T155,"")</f>
        <v/>
      </c>
      <c r="BT155" s="46">
        <f>IF(AND(T155&gt;0,V155&gt;0,AO155&lt;&gt;0),V155/AO155-T155,"")</f>
        <v/>
      </c>
      <c r="BU155" s="41">
        <f>IF(AND(BT155&lt;&gt;"",T155&gt;0),BT155/T155,"")</f>
        <v/>
      </c>
    </row>
    <row r="156">
      <c r="A156" s="36">
        <f>'📊 Исходные данные'!A155</f>
        <v/>
      </c>
      <c r="B156" s="37">
        <f>'📊 Исходные данные'!B155</f>
        <v/>
      </c>
      <c r="C156" s="38">
        <f>'📊 Исходные данные'!C155</f>
        <v/>
      </c>
      <c r="D156" s="38">
        <f>'📊 Исходные данные'!D155</f>
        <v/>
      </c>
      <c r="E156" s="39">
        <f>IF(OR(D156="",F156=""),"-",IF(D156&gt;F156*1.05,"Выше рынка",IF(D156&lt;F156*0.95,"Ниже рынка","На уровне")))</f>
        <v/>
      </c>
      <c r="F156" s="40">
        <f>IFERROR(AVERAGE('📊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G156" s="40">
        <f>IFERROR(MEDIAN('📊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H156" s="40">
        <f>IFERROR(MIN('📊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I156" s="40">
        <f>IFERROR(MAX('📊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данные'!K155),"")</f>
        <v/>
      </c>
      <c r="J156" s="41">
        <f>IF(AND(D156&lt;&gt;"",F156&lt;&gt;""),(D156-F156)/F156,"")</f>
        <v/>
      </c>
      <c r="K156" s="41">
        <f>IF(AND(D156&lt;&gt;"",G156&lt;&gt;""),(D156-G156)/G156,"")</f>
        <v/>
      </c>
      <c r="L156" s="41">
        <f>IF(AND(D156&lt;&gt;"",H156&lt;&gt;""),(D156-H156)/H156,"")</f>
        <v/>
      </c>
      <c r="M156" s="42">
        <f>IFERROR(RANK(D156,('📊 Исходные данные'!E155,'📊 Исходные данные'!F155,'📊 Исходные данные'!G155,'📊 Исходные данные'!H155,'📊 Исходные данные'!I155,'📊 Исходные данные'!J155,'📊 Исходные данные'!K155)),"")</f>
        <v/>
      </c>
      <c r="N156" s="39">
        <f>IF(M156="","-",IF(M156=1,"Дороже всех",IF(M156=2,"2-й по цене",IF(M156&lt;=4,"Средний","Ниже конкурентов"))))</f>
        <v/>
      </c>
      <c r="O156" s="41">
        <f>IF(AND(C156&gt;0,D156&gt;0),(D156-C156)/C156,"")</f>
        <v/>
      </c>
      <c r="P156" s="41">
        <f>IF(AND(C156&gt;0,D156&gt;0),(D156-C156)/D156,"")</f>
        <v/>
      </c>
      <c r="Q156" s="40">
        <f>IF(AND(C156&gt;0,D156&gt;0),D156-C156,"")</f>
        <v/>
      </c>
      <c r="R156" s="39">
        <f>IF(P156="","-",IF(P156&lt;0.1,"Низкая(&lt;10%)",IF(P156&lt;0.2,"Средняя(10-20%)","Хорошая(&gt;20%)")))</f>
        <v/>
      </c>
      <c r="S156" s="39">
        <f>IF(OR(H156="",C156=""),"-",IF((H156-C156)/H156&lt;0.05,"КРИТИЧНО",IF((H156-C156)/H156&lt;0.15,"УМЕРЕННЫЙ","НИЗКИЙ")))</f>
        <v/>
      </c>
      <c r="T156" s="43" t="n"/>
      <c r="U156" s="40">
        <f>IF(T156&gt;0,T156*D156,"")</f>
        <v/>
      </c>
      <c r="V156" s="40">
        <f>IF(T156&gt;0,T156*Q156,"")</f>
        <v/>
      </c>
      <c r="W156" s="41">
        <f>IF(U156&gt;0,V156/U156,"")</f>
        <v/>
      </c>
      <c r="X156" s="40">
        <f>IF(F156&lt;&gt;"",F156,"")</f>
        <v/>
      </c>
      <c r="Y156" s="41">
        <f>IF(AND(X156&lt;&gt;"",C156&gt;0),(X156-C156)/C156,"")</f>
        <v/>
      </c>
      <c r="Z156" s="41">
        <f>IF(AND(X156&lt;&gt;"",X156&gt;0),(X156-C156)/X156,"")</f>
        <v/>
      </c>
      <c r="AA156" s="40">
        <f>IF(AND(X156&lt;&gt;"",C156&gt;0),X156-C156,"")</f>
        <v/>
      </c>
      <c r="AB156" s="41">
        <f>IF(AND(X156&lt;&gt;"",D156&gt;0),(X156-D156)/D156,"")</f>
        <v/>
      </c>
      <c r="AC156" s="41">
        <f>IF(AND(Z156&lt;&gt;"",P156&lt;&gt;""),(Z156-P156)/ABS(IF(P156=0,1,P156)),"")</f>
        <v/>
      </c>
      <c r="AD156" s="40">
        <f>IF(AND(AA156&lt;&gt;"",Q156&lt;&gt;""),AA156-Q156,"")</f>
        <v/>
      </c>
      <c r="AE156" s="40">
        <f>IF(G156&lt;&gt;"",G156,"")</f>
        <v/>
      </c>
      <c r="AF156" s="41">
        <f>IF(AND(AE156&lt;&gt;"",C156&gt;0),(AE156-C156)/C156,"")</f>
        <v/>
      </c>
      <c r="AG156" s="41">
        <f>IF(AND(AE156&lt;&gt;"",AE156&gt;0),(AE156-C156)/AE156,"")</f>
        <v/>
      </c>
      <c r="AH156" s="40">
        <f>IF(AND(AE156&lt;&gt;"",C156&gt;0),AE156-C156,"")</f>
        <v/>
      </c>
      <c r="AI156" s="41">
        <f>IF(AND(AE156&lt;&gt;"",D156&gt;0),(AE156-D156)/D156,"")</f>
        <v/>
      </c>
      <c r="AJ156" s="41">
        <f>IF(AND(AG156&lt;&gt;"",P156&lt;&gt;""),(AG156-P156)/ABS(IF(P156=0,1,P156)),"")</f>
        <v/>
      </c>
      <c r="AK156" s="40">
        <f>IF(AND(AH156&lt;&gt;"",Q156&lt;&gt;""),AH156-Q156,"")</f>
        <v/>
      </c>
      <c r="AL156" s="40">
        <f>IF(H156&lt;&gt;"",H156,"")</f>
        <v/>
      </c>
      <c r="AM156" s="41">
        <f>IF(AND(AL156&lt;&gt;"",C156&gt;0),(AL156-C156)/C156,"")</f>
        <v/>
      </c>
      <c r="AN156" s="41">
        <f>IF(AND(AL156&lt;&gt;"",AL156&gt;0),(AL156-C156)/AL156,"")</f>
        <v/>
      </c>
      <c r="AO156" s="40">
        <f>IF(AND(AL156&lt;&gt;"",C156&gt;0),AL156-C156,"")</f>
        <v/>
      </c>
      <c r="AP156" s="41">
        <f>IF(AND(AL156&lt;&gt;"",D156&gt;0),(AL156-D156)/D156,"")</f>
        <v/>
      </c>
      <c r="AQ156" s="41">
        <f>IF(AND(AN156&lt;&gt;"",P156&lt;&gt;""),(AN156-P156)/ABS(IF(P156=0,1,P156)),"")</f>
        <v/>
      </c>
      <c r="AR156" s="40">
        <f>IF(AND(AO156&lt;&gt;"",Q156&lt;&gt;""),AO156-Q156,"")</f>
        <v/>
      </c>
      <c r="AS156" s="44" t="n"/>
      <c r="AT156" s="41">
        <f>IF(AND(AS156&gt;0,C156&gt;0),(AS156-C156)/C156,"")</f>
        <v/>
      </c>
      <c r="AU156" s="41">
        <f>IF(AND(AS156&gt;0,AS156&gt;0),(AS156-C156)/AS156,"")</f>
        <v/>
      </c>
      <c r="AV156" s="40">
        <f>IF(AND(AS156&gt;0,C156&gt;0),AS156-C156,"")</f>
        <v/>
      </c>
      <c r="AW156" s="41">
        <f>IF(AND(AS156&gt;0,D156&gt;0),(AS156-D156)/D156,"")</f>
        <v/>
      </c>
      <c r="AX156" s="41">
        <f>IF(AND(AU156&lt;&gt;"",P156&lt;&gt;""),(AU156-P156)/ABS(IF(P156=0,1,P156)),"")</f>
        <v/>
      </c>
      <c r="AY156" s="40">
        <f>IF(AND(AV156&lt;&gt;"",Q156&lt;&gt;""),AV156-Q156,"")</f>
        <v/>
      </c>
      <c r="AZ156" s="45" t="n"/>
      <c r="BA156" s="40">
        <f>IF(AND(AZ156&gt;0,C156&gt;0),C156/(1-AZ156),"")</f>
        <v/>
      </c>
      <c r="BB156" s="41">
        <f>IF(AND(BA156&lt;&gt;"",C156&gt;0),(BA156-C156)/C156,"")</f>
        <v/>
      </c>
      <c r="BC156" s="41">
        <f>IF(BA156&lt;&gt;"",AZ156,"")</f>
        <v/>
      </c>
      <c r="BD156" s="40">
        <f>IF(AND(BA156&lt;&gt;"",C156&gt;0),BA156-C156,"")</f>
        <v/>
      </c>
      <c r="BE156" s="41">
        <f>IF(AND(BA156&lt;&gt;"",D156&gt;0),(BA156-D156)/D156,"")</f>
        <v/>
      </c>
      <c r="BF156" s="41">
        <f>IF(AND(BC156&lt;&gt;"",P156&lt;&gt;""),(BC156-P156)/ABS(IF(P156=0,1,P156)),"")</f>
        <v/>
      </c>
      <c r="BG156" s="40">
        <f>IF(AND(BD156&lt;&gt;"",Q156&lt;&gt;""),BD156-Q156,"")</f>
        <v/>
      </c>
      <c r="BH156" s="40">
        <f>IF(AND(T156&gt;0,X156&lt;&gt;""),T156*X156,"")</f>
        <v/>
      </c>
      <c r="BI156" s="40">
        <f>IF(AND(T156&gt;0,AA156&lt;&gt;""),T156*AA156,"")</f>
        <v/>
      </c>
      <c r="BJ156" s="40">
        <f>IF(AND(T156&gt;0,AE156&lt;&gt;""),T156*AE156,"")</f>
        <v/>
      </c>
      <c r="BK156" s="40">
        <f>IF(AND(T156&gt;0,AH156&lt;&gt;""),T156*AH156,"")</f>
        <v/>
      </c>
      <c r="BL156" s="40">
        <f>IF(AND(T156&gt;0,AL156&lt;&gt;""),T156*AL156,"")</f>
        <v/>
      </c>
      <c r="BM156" s="40">
        <f>IF(AND(T156&gt;0,AO156&lt;&gt;""),T156*AO156,"")</f>
        <v/>
      </c>
      <c r="BN156" s="40">
        <f>IF(AND(T156&gt;0,AS156&gt;0),T156*AS156,"")</f>
        <v/>
      </c>
      <c r="BO156" s="40">
        <f>IF(AND(T156&gt;0,AV156&lt;&gt;""),T156*AV156,"")</f>
        <v/>
      </c>
      <c r="BP156" s="40">
        <f>IF(AND(T156&gt;0,BA156&lt;&gt;""),T156*BA156,"")</f>
        <v/>
      </c>
      <c r="BQ156" s="40">
        <f>IF(AND(T156&gt;0,BD156&lt;&gt;""),T156*BD156,"")</f>
        <v/>
      </c>
      <c r="BR156" s="46">
        <f>IF(AND(T156&gt;0,V156&gt;0,AA156&lt;&gt;0),V156/AA156-T156,"")</f>
        <v/>
      </c>
      <c r="BS156" s="41">
        <f>IF(AND(BR156&lt;&gt;"",T156&gt;0),BR156/T156,"")</f>
        <v/>
      </c>
      <c r="BT156" s="46">
        <f>IF(AND(T156&gt;0,V156&gt;0,AO156&lt;&gt;0),V156/AO156-T156,"")</f>
        <v/>
      </c>
      <c r="BU156" s="41">
        <f>IF(AND(BT156&lt;&gt;"",T156&gt;0),BT156/T156,"")</f>
        <v/>
      </c>
    </row>
    <row r="157">
      <c r="A157" s="36">
        <f>'📊 Исходные данные'!A156</f>
        <v/>
      </c>
      <c r="B157" s="37">
        <f>'📊 Исходные данные'!B156</f>
        <v/>
      </c>
      <c r="C157" s="38">
        <f>'📊 Исходные данные'!C156</f>
        <v/>
      </c>
      <c r="D157" s="38">
        <f>'📊 Исходные данные'!D156</f>
        <v/>
      </c>
      <c r="E157" s="39">
        <f>IF(OR(D157="",F157=""),"-",IF(D157&gt;F157*1.05,"Выше рынка",IF(D157&lt;F157*0.95,"Ниже рынка","На уровне")))</f>
        <v/>
      </c>
      <c r="F157" s="40">
        <f>IFERROR(AVERAGE('📊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G157" s="40">
        <f>IFERROR(MEDIAN('📊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H157" s="40">
        <f>IFERROR(MIN('📊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I157" s="40">
        <f>IFERROR(MAX('📊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данные'!K156),"")</f>
        <v/>
      </c>
      <c r="J157" s="41">
        <f>IF(AND(D157&lt;&gt;"",F157&lt;&gt;""),(D157-F157)/F157,"")</f>
        <v/>
      </c>
      <c r="K157" s="41">
        <f>IF(AND(D157&lt;&gt;"",G157&lt;&gt;""),(D157-G157)/G157,"")</f>
        <v/>
      </c>
      <c r="L157" s="41">
        <f>IF(AND(D157&lt;&gt;"",H157&lt;&gt;""),(D157-H157)/H157,"")</f>
        <v/>
      </c>
      <c r="M157" s="42">
        <f>IFERROR(RANK(D157,('📊 Исходные данные'!E156,'📊 Исходные данные'!F156,'📊 Исходные данные'!G156,'📊 Исходные данные'!H156,'📊 Исходные данные'!I156,'📊 Исходные данные'!J156,'📊 Исходные данные'!K156)),"")</f>
        <v/>
      </c>
      <c r="N157" s="39">
        <f>IF(M157="","-",IF(M157=1,"Дороже всех",IF(M157=2,"2-й по цене",IF(M157&lt;=4,"Средний","Ниже конкурентов"))))</f>
        <v/>
      </c>
      <c r="O157" s="41">
        <f>IF(AND(C157&gt;0,D157&gt;0),(D157-C157)/C157,"")</f>
        <v/>
      </c>
      <c r="P157" s="41">
        <f>IF(AND(C157&gt;0,D157&gt;0),(D157-C157)/D157,"")</f>
        <v/>
      </c>
      <c r="Q157" s="40">
        <f>IF(AND(C157&gt;0,D157&gt;0),D157-C157,"")</f>
        <v/>
      </c>
      <c r="R157" s="39">
        <f>IF(P157="","-",IF(P157&lt;0.1,"Низкая(&lt;10%)",IF(P157&lt;0.2,"Средняя(10-20%)","Хорошая(&gt;20%)")))</f>
        <v/>
      </c>
      <c r="S157" s="39">
        <f>IF(OR(H157="",C157=""),"-",IF((H157-C157)/H157&lt;0.05,"КРИТИЧНО",IF((H157-C157)/H157&lt;0.15,"УМЕРЕННЫЙ","НИЗКИЙ")))</f>
        <v/>
      </c>
      <c r="T157" s="43" t="n"/>
      <c r="U157" s="40">
        <f>IF(T157&gt;0,T157*D157,"")</f>
        <v/>
      </c>
      <c r="V157" s="40">
        <f>IF(T157&gt;0,T157*Q157,"")</f>
        <v/>
      </c>
      <c r="W157" s="41">
        <f>IF(U157&gt;0,V157/U157,"")</f>
        <v/>
      </c>
      <c r="X157" s="40">
        <f>IF(F157&lt;&gt;"",F157,"")</f>
        <v/>
      </c>
      <c r="Y157" s="41">
        <f>IF(AND(X157&lt;&gt;"",C157&gt;0),(X157-C157)/C157,"")</f>
        <v/>
      </c>
      <c r="Z157" s="41">
        <f>IF(AND(X157&lt;&gt;"",X157&gt;0),(X157-C157)/X157,"")</f>
        <v/>
      </c>
      <c r="AA157" s="40">
        <f>IF(AND(X157&lt;&gt;"",C157&gt;0),X157-C157,"")</f>
        <v/>
      </c>
      <c r="AB157" s="41">
        <f>IF(AND(X157&lt;&gt;"",D157&gt;0),(X157-D157)/D157,"")</f>
        <v/>
      </c>
      <c r="AC157" s="41">
        <f>IF(AND(Z157&lt;&gt;"",P157&lt;&gt;""),(Z157-P157)/ABS(IF(P157=0,1,P157)),"")</f>
        <v/>
      </c>
      <c r="AD157" s="40">
        <f>IF(AND(AA157&lt;&gt;"",Q157&lt;&gt;""),AA157-Q157,"")</f>
        <v/>
      </c>
      <c r="AE157" s="40">
        <f>IF(G157&lt;&gt;"",G157,"")</f>
        <v/>
      </c>
      <c r="AF157" s="41">
        <f>IF(AND(AE157&lt;&gt;"",C157&gt;0),(AE157-C157)/C157,"")</f>
        <v/>
      </c>
      <c r="AG157" s="41">
        <f>IF(AND(AE157&lt;&gt;"",AE157&gt;0),(AE157-C157)/AE157,"")</f>
        <v/>
      </c>
      <c r="AH157" s="40">
        <f>IF(AND(AE157&lt;&gt;"",C157&gt;0),AE157-C157,"")</f>
        <v/>
      </c>
      <c r="AI157" s="41">
        <f>IF(AND(AE157&lt;&gt;"",D157&gt;0),(AE157-D157)/D157,"")</f>
        <v/>
      </c>
      <c r="AJ157" s="41">
        <f>IF(AND(AG157&lt;&gt;"",P157&lt;&gt;""),(AG157-P157)/ABS(IF(P157=0,1,P157)),"")</f>
        <v/>
      </c>
      <c r="AK157" s="40">
        <f>IF(AND(AH157&lt;&gt;"",Q157&lt;&gt;""),AH157-Q157,"")</f>
        <v/>
      </c>
      <c r="AL157" s="40">
        <f>IF(H157&lt;&gt;"",H157,"")</f>
        <v/>
      </c>
      <c r="AM157" s="41">
        <f>IF(AND(AL157&lt;&gt;"",C157&gt;0),(AL157-C157)/C157,"")</f>
        <v/>
      </c>
      <c r="AN157" s="41">
        <f>IF(AND(AL157&lt;&gt;"",AL157&gt;0),(AL157-C157)/AL157,"")</f>
        <v/>
      </c>
      <c r="AO157" s="40">
        <f>IF(AND(AL157&lt;&gt;"",C157&gt;0),AL157-C157,"")</f>
        <v/>
      </c>
      <c r="AP157" s="41">
        <f>IF(AND(AL157&lt;&gt;"",D157&gt;0),(AL157-D157)/D157,"")</f>
        <v/>
      </c>
      <c r="AQ157" s="41">
        <f>IF(AND(AN157&lt;&gt;"",P157&lt;&gt;""),(AN157-P157)/ABS(IF(P157=0,1,P157)),"")</f>
        <v/>
      </c>
      <c r="AR157" s="40">
        <f>IF(AND(AO157&lt;&gt;"",Q157&lt;&gt;""),AO157-Q157,"")</f>
        <v/>
      </c>
      <c r="AS157" s="44" t="n"/>
      <c r="AT157" s="41">
        <f>IF(AND(AS157&gt;0,C157&gt;0),(AS157-C157)/C157,"")</f>
        <v/>
      </c>
      <c r="AU157" s="41">
        <f>IF(AND(AS157&gt;0,AS157&gt;0),(AS157-C157)/AS157,"")</f>
        <v/>
      </c>
      <c r="AV157" s="40">
        <f>IF(AND(AS157&gt;0,C157&gt;0),AS157-C157,"")</f>
        <v/>
      </c>
      <c r="AW157" s="41">
        <f>IF(AND(AS157&gt;0,D157&gt;0),(AS157-D157)/D157,"")</f>
        <v/>
      </c>
      <c r="AX157" s="41">
        <f>IF(AND(AU157&lt;&gt;"",P157&lt;&gt;""),(AU157-P157)/ABS(IF(P157=0,1,P157)),"")</f>
        <v/>
      </c>
      <c r="AY157" s="40">
        <f>IF(AND(AV157&lt;&gt;"",Q157&lt;&gt;""),AV157-Q157,"")</f>
        <v/>
      </c>
      <c r="AZ157" s="45" t="n"/>
      <c r="BA157" s="40">
        <f>IF(AND(AZ157&gt;0,C157&gt;0),C157/(1-AZ157),"")</f>
        <v/>
      </c>
      <c r="BB157" s="41">
        <f>IF(AND(BA157&lt;&gt;"",C157&gt;0),(BA157-C157)/C157,"")</f>
        <v/>
      </c>
      <c r="BC157" s="41">
        <f>IF(BA157&lt;&gt;"",AZ157,"")</f>
        <v/>
      </c>
      <c r="BD157" s="40">
        <f>IF(AND(BA157&lt;&gt;"",C157&gt;0),BA157-C157,"")</f>
        <v/>
      </c>
      <c r="BE157" s="41">
        <f>IF(AND(BA157&lt;&gt;"",D157&gt;0),(BA157-D157)/D157,"")</f>
        <v/>
      </c>
      <c r="BF157" s="41">
        <f>IF(AND(BC157&lt;&gt;"",P157&lt;&gt;""),(BC157-P157)/ABS(IF(P157=0,1,P157)),"")</f>
        <v/>
      </c>
      <c r="BG157" s="40">
        <f>IF(AND(BD157&lt;&gt;"",Q157&lt;&gt;""),BD157-Q157,"")</f>
        <v/>
      </c>
      <c r="BH157" s="40">
        <f>IF(AND(T157&gt;0,X157&lt;&gt;""),T157*X157,"")</f>
        <v/>
      </c>
      <c r="BI157" s="40">
        <f>IF(AND(T157&gt;0,AA157&lt;&gt;""),T157*AA157,"")</f>
        <v/>
      </c>
      <c r="BJ157" s="40">
        <f>IF(AND(T157&gt;0,AE157&lt;&gt;""),T157*AE157,"")</f>
        <v/>
      </c>
      <c r="BK157" s="40">
        <f>IF(AND(T157&gt;0,AH157&lt;&gt;""),T157*AH157,"")</f>
        <v/>
      </c>
      <c r="BL157" s="40">
        <f>IF(AND(T157&gt;0,AL157&lt;&gt;""),T157*AL157,"")</f>
        <v/>
      </c>
      <c r="BM157" s="40">
        <f>IF(AND(T157&gt;0,AO157&lt;&gt;""),T157*AO157,"")</f>
        <v/>
      </c>
      <c r="BN157" s="40">
        <f>IF(AND(T157&gt;0,AS157&gt;0),T157*AS157,"")</f>
        <v/>
      </c>
      <c r="BO157" s="40">
        <f>IF(AND(T157&gt;0,AV157&lt;&gt;""),T157*AV157,"")</f>
        <v/>
      </c>
      <c r="BP157" s="40">
        <f>IF(AND(T157&gt;0,BA157&lt;&gt;""),T157*BA157,"")</f>
        <v/>
      </c>
      <c r="BQ157" s="40">
        <f>IF(AND(T157&gt;0,BD157&lt;&gt;""),T157*BD157,"")</f>
        <v/>
      </c>
      <c r="BR157" s="46">
        <f>IF(AND(T157&gt;0,V157&gt;0,AA157&lt;&gt;0),V157/AA157-T157,"")</f>
        <v/>
      </c>
      <c r="BS157" s="41">
        <f>IF(AND(BR157&lt;&gt;"",T157&gt;0),BR157/T157,"")</f>
        <v/>
      </c>
      <c r="BT157" s="46">
        <f>IF(AND(T157&gt;0,V157&gt;0,AO157&lt;&gt;0),V157/AO157-T157,"")</f>
        <v/>
      </c>
      <c r="BU157" s="41">
        <f>IF(AND(BT157&lt;&gt;"",T157&gt;0),BT157/T157,"")</f>
        <v/>
      </c>
    </row>
    <row r="158">
      <c r="A158" s="36">
        <f>'📊 Исходные данные'!A157</f>
        <v/>
      </c>
      <c r="B158" s="37">
        <f>'📊 Исходные данные'!B157</f>
        <v/>
      </c>
      <c r="C158" s="38">
        <f>'📊 Исходные данные'!C157</f>
        <v/>
      </c>
      <c r="D158" s="38">
        <f>'📊 Исходные данные'!D157</f>
        <v/>
      </c>
      <c r="E158" s="39">
        <f>IF(OR(D158="",F158=""),"-",IF(D158&gt;F158*1.05,"Выше рынка",IF(D158&lt;F158*0.95,"Ниже рынка","На уровне")))</f>
        <v/>
      </c>
      <c r="F158" s="40">
        <f>IFERROR(AVERAGE('📊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G158" s="40">
        <f>IFERROR(MEDIAN('📊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H158" s="40">
        <f>IFERROR(MIN('📊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I158" s="40">
        <f>IFERROR(MAX('📊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данные'!K157),"")</f>
        <v/>
      </c>
      <c r="J158" s="41">
        <f>IF(AND(D158&lt;&gt;"",F158&lt;&gt;""),(D158-F158)/F158,"")</f>
        <v/>
      </c>
      <c r="K158" s="41">
        <f>IF(AND(D158&lt;&gt;"",G158&lt;&gt;""),(D158-G158)/G158,"")</f>
        <v/>
      </c>
      <c r="L158" s="41">
        <f>IF(AND(D158&lt;&gt;"",H158&lt;&gt;""),(D158-H158)/H158,"")</f>
        <v/>
      </c>
      <c r="M158" s="42">
        <f>IFERROR(RANK(D158,('📊 Исходные данные'!E157,'📊 Исходные данные'!F157,'📊 Исходные данные'!G157,'📊 Исходные данные'!H157,'📊 Исходные данные'!I157,'📊 Исходные данные'!J157,'📊 Исходные данные'!K157)),"")</f>
        <v/>
      </c>
      <c r="N158" s="39">
        <f>IF(M158="","-",IF(M158=1,"Дороже всех",IF(M158=2,"2-й по цене",IF(M158&lt;=4,"Средний","Ниже конкурентов"))))</f>
        <v/>
      </c>
      <c r="O158" s="41">
        <f>IF(AND(C158&gt;0,D158&gt;0),(D158-C158)/C158,"")</f>
        <v/>
      </c>
      <c r="P158" s="41">
        <f>IF(AND(C158&gt;0,D158&gt;0),(D158-C158)/D158,"")</f>
        <v/>
      </c>
      <c r="Q158" s="40">
        <f>IF(AND(C158&gt;0,D158&gt;0),D158-C158,"")</f>
        <v/>
      </c>
      <c r="R158" s="39">
        <f>IF(P158="","-",IF(P158&lt;0.1,"Низкая(&lt;10%)",IF(P158&lt;0.2,"Средняя(10-20%)","Хорошая(&gt;20%)")))</f>
        <v/>
      </c>
      <c r="S158" s="39">
        <f>IF(OR(H158="",C158=""),"-",IF((H158-C158)/H158&lt;0.05,"КРИТИЧНО",IF((H158-C158)/H158&lt;0.15,"УМЕРЕННЫЙ","НИЗКИЙ")))</f>
        <v/>
      </c>
      <c r="T158" s="43" t="n"/>
      <c r="U158" s="40">
        <f>IF(T158&gt;0,T158*D158,"")</f>
        <v/>
      </c>
      <c r="V158" s="40">
        <f>IF(T158&gt;0,T158*Q158,"")</f>
        <v/>
      </c>
      <c r="W158" s="41">
        <f>IF(U158&gt;0,V158/U158,"")</f>
        <v/>
      </c>
      <c r="X158" s="40">
        <f>IF(F158&lt;&gt;"",F158,"")</f>
        <v/>
      </c>
      <c r="Y158" s="41">
        <f>IF(AND(X158&lt;&gt;"",C158&gt;0),(X158-C158)/C158,"")</f>
        <v/>
      </c>
      <c r="Z158" s="41">
        <f>IF(AND(X158&lt;&gt;"",X158&gt;0),(X158-C158)/X158,"")</f>
        <v/>
      </c>
      <c r="AA158" s="40">
        <f>IF(AND(X158&lt;&gt;"",C158&gt;0),X158-C158,"")</f>
        <v/>
      </c>
      <c r="AB158" s="41">
        <f>IF(AND(X158&lt;&gt;"",D158&gt;0),(X158-D158)/D158,"")</f>
        <v/>
      </c>
      <c r="AC158" s="41">
        <f>IF(AND(Z158&lt;&gt;"",P158&lt;&gt;""),(Z158-P158)/ABS(IF(P158=0,1,P158)),"")</f>
        <v/>
      </c>
      <c r="AD158" s="40">
        <f>IF(AND(AA158&lt;&gt;"",Q158&lt;&gt;""),AA158-Q158,"")</f>
        <v/>
      </c>
      <c r="AE158" s="40">
        <f>IF(G158&lt;&gt;"",G158,"")</f>
        <v/>
      </c>
      <c r="AF158" s="41">
        <f>IF(AND(AE158&lt;&gt;"",C158&gt;0),(AE158-C158)/C158,"")</f>
        <v/>
      </c>
      <c r="AG158" s="41">
        <f>IF(AND(AE158&lt;&gt;"",AE158&gt;0),(AE158-C158)/AE158,"")</f>
        <v/>
      </c>
      <c r="AH158" s="40">
        <f>IF(AND(AE158&lt;&gt;"",C158&gt;0),AE158-C158,"")</f>
        <v/>
      </c>
      <c r="AI158" s="41">
        <f>IF(AND(AE158&lt;&gt;"",D158&gt;0),(AE158-D158)/D158,"")</f>
        <v/>
      </c>
      <c r="AJ158" s="41">
        <f>IF(AND(AG158&lt;&gt;"",P158&lt;&gt;""),(AG158-P158)/ABS(IF(P158=0,1,P158)),"")</f>
        <v/>
      </c>
      <c r="AK158" s="40">
        <f>IF(AND(AH158&lt;&gt;"",Q158&lt;&gt;""),AH158-Q158,"")</f>
        <v/>
      </c>
      <c r="AL158" s="40">
        <f>IF(H158&lt;&gt;"",H158,"")</f>
        <v/>
      </c>
      <c r="AM158" s="41">
        <f>IF(AND(AL158&lt;&gt;"",C158&gt;0),(AL158-C158)/C158,"")</f>
        <v/>
      </c>
      <c r="AN158" s="41">
        <f>IF(AND(AL158&lt;&gt;"",AL158&gt;0),(AL158-C158)/AL158,"")</f>
        <v/>
      </c>
      <c r="AO158" s="40">
        <f>IF(AND(AL158&lt;&gt;"",C158&gt;0),AL158-C158,"")</f>
        <v/>
      </c>
      <c r="AP158" s="41">
        <f>IF(AND(AL158&lt;&gt;"",D158&gt;0),(AL158-D158)/D158,"")</f>
        <v/>
      </c>
      <c r="AQ158" s="41">
        <f>IF(AND(AN158&lt;&gt;"",P158&lt;&gt;""),(AN158-P158)/ABS(IF(P158=0,1,P158)),"")</f>
        <v/>
      </c>
      <c r="AR158" s="40">
        <f>IF(AND(AO158&lt;&gt;"",Q158&lt;&gt;""),AO158-Q158,"")</f>
        <v/>
      </c>
      <c r="AS158" s="44" t="n"/>
      <c r="AT158" s="41">
        <f>IF(AND(AS158&gt;0,C158&gt;0),(AS158-C158)/C158,"")</f>
        <v/>
      </c>
      <c r="AU158" s="41">
        <f>IF(AND(AS158&gt;0,AS158&gt;0),(AS158-C158)/AS158,"")</f>
        <v/>
      </c>
      <c r="AV158" s="40">
        <f>IF(AND(AS158&gt;0,C158&gt;0),AS158-C158,"")</f>
        <v/>
      </c>
      <c r="AW158" s="41">
        <f>IF(AND(AS158&gt;0,D158&gt;0),(AS158-D158)/D158,"")</f>
        <v/>
      </c>
      <c r="AX158" s="41">
        <f>IF(AND(AU158&lt;&gt;"",P158&lt;&gt;""),(AU158-P158)/ABS(IF(P158=0,1,P158)),"")</f>
        <v/>
      </c>
      <c r="AY158" s="40">
        <f>IF(AND(AV158&lt;&gt;"",Q158&lt;&gt;""),AV158-Q158,"")</f>
        <v/>
      </c>
      <c r="AZ158" s="45" t="n"/>
      <c r="BA158" s="40">
        <f>IF(AND(AZ158&gt;0,C158&gt;0),C158/(1-AZ158),"")</f>
        <v/>
      </c>
      <c r="BB158" s="41">
        <f>IF(AND(BA158&lt;&gt;"",C158&gt;0),(BA158-C158)/C158,"")</f>
        <v/>
      </c>
      <c r="BC158" s="41">
        <f>IF(BA158&lt;&gt;"",AZ158,"")</f>
        <v/>
      </c>
      <c r="BD158" s="40">
        <f>IF(AND(BA158&lt;&gt;"",C158&gt;0),BA158-C158,"")</f>
        <v/>
      </c>
      <c r="BE158" s="41">
        <f>IF(AND(BA158&lt;&gt;"",D158&gt;0),(BA158-D158)/D158,"")</f>
        <v/>
      </c>
      <c r="BF158" s="41">
        <f>IF(AND(BC158&lt;&gt;"",P158&lt;&gt;""),(BC158-P158)/ABS(IF(P158=0,1,P158)),"")</f>
        <v/>
      </c>
      <c r="BG158" s="40">
        <f>IF(AND(BD158&lt;&gt;"",Q158&lt;&gt;""),BD158-Q158,"")</f>
        <v/>
      </c>
      <c r="BH158" s="40">
        <f>IF(AND(T158&gt;0,X158&lt;&gt;""),T158*X158,"")</f>
        <v/>
      </c>
      <c r="BI158" s="40">
        <f>IF(AND(T158&gt;0,AA158&lt;&gt;""),T158*AA158,"")</f>
        <v/>
      </c>
      <c r="BJ158" s="40">
        <f>IF(AND(T158&gt;0,AE158&lt;&gt;""),T158*AE158,"")</f>
        <v/>
      </c>
      <c r="BK158" s="40">
        <f>IF(AND(T158&gt;0,AH158&lt;&gt;""),T158*AH158,"")</f>
        <v/>
      </c>
      <c r="BL158" s="40">
        <f>IF(AND(T158&gt;0,AL158&lt;&gt;""),T158*AL158,"")</f>
        <v/>
      </c>
      <c r="BM158" s="40">
        <f>IF(AND(T158&gt;0,AO158&lt;&gt;""),T158*AO158,"")</f>
        <v/>
      </c>
      <c r="BN158" s="40">
        <f>IF(AND(T158&gt;0,AS158&gt;0),T158*AS158,"")</f>
        <v/>
      </c>
      <c r="BO158" s="40">
        <f>IF(AND(T158&gt;0,AV158&lt;&gt;""),T158*AV158,"")</f>
        <v/>
      </c>
      <c r="BP158" s="40">
        <f>IF(AND(T158&gt;0,BA158&lt;&gt;""),T158*BA158,"")</f>
        <v/>
      </c>
      <c r="BQ158" s="40">
        <f>IF(AND(T158&gt;0,BD158&lt;&gt;""),T158*BD158,"")</f>
        <v/>
      </c>
      <c r="BR158" s="46">
        <f>IF(AND(T158&gt;0,V158&gt;0,AA158&lt;&gt;0),V158/AA158-T158,"")</f>
        <v/>
      </c>
      <c r="BS158" s="41">
        <f>IF(AND(BR158&lt;&gt;"",T158&gt;0),BR158/T158,"")</f>
        <v/>
      </c>
      <c r="BT158" s="46">
        <f>IF(AND(T158&gt;0,V158&gt;0,AO158&lt;&gt;0),V158/AO158-T158,"")</f>
        <v/>
      </c>
      <c r="BU158" s="41">
        <f>IF(AND(BT158&lt;&gt;"",T158&gt;0),BT158/T158,"")</f>
        <v/>
      </c>
    </row>
    <row r="159">
      <c r="A159" s="36">
        <f>'📊 Исходные данные'!A158</f>
        <v/>
      </c>
      <c r="B159" s="37">
        <f>'📊 Исходные данные'!B158</f>
        <v/>
      </c>
      <c r="C159" s="38">
        <f>'📊 Исходные данные'!C158</f>
        <v/>
      </c>
      <c r="D159" s="38">
        <f>'📊 Исходные данные'!D158</f>
        <v/>
      </c>
      <c r="E159" s="39">
        <f>IF(OR(D159="",F159=""),"-",IF(D159&gt;F159*1.05,"Выше рынка",IF(D159&lt;F159*0.95,"Ниже рынка","На уровне")))</f>
        <v/>
      </c>
      <c r="F159" s="40">
        <f>IFERROR(AVERAGE('📊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G159" s="40">
        <f>IFERROR(MEDIAN('📊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H159" s="40">
        <f>IFERROR(MIN('📊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I159" s="40">
        <f>IFERROR(MAX('📊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данные'!K158),"")</f>
        <v/>
      </c>
      <c r="J159" s="41">
        <f>IF(AND(D159&lt;&gt;"",F159&lt;&gt;""),(D159-F159)/F159,"")</f>
        <v/>
      </c>
      <c r="K159" s="41">
        <f>IF(AND(D159&lt;&gt;"",G159&lt;&gt;""),(D159-G159)/G159,"")</f>
        <v/>
      </c>
      <c r="L159" s="41">
        <f>IF(AND(D159&lt;&gt;"",H159&lt;&gt;""),(D159-H159)/H159,"")</f>
        <v/>
      </c>
      <c r="M159" s="42">
        <f>IFERROR(RANK(D159,('📊 Исходные данные'!E158,'📊 Исходные данные'!F158,'📊 Исходные данные'!G158,'📊 Исходные данные'!H158,'📊 Исходные данные'!I158,'📊 Исходные данные'!J158,'📊 Исходные данные'!K158)),"")</f>
        <v/>
      </c>
      <c r="N159" s="39">
        <f>IF(M159="","-",IF(M159=1,"Дороже всех",IF(M159=2,"2-й по цене",IF(M159&lt;=4,"Средний","Ниже конкурентов"))))</f>
        <v/>
      </c>
      <c r="O159" s="41">
        <f>IF(AND(C159&gt;0,D159&gt;0),(D159-C159)/C159,"")</f>
        <v/>
      </c>
      <c r="P159" s="41">
        <f>IF(AND(C159&gt;0,D159&gt;0),(D159-C159)/D159,"")</f>
        <v/>
      </c>
      <c r="Q159" s="40">
        <f>IF(AND(C159&gt;0,D159&gt;0),D159-C159,"")</f>
        <v/>
      </c>
      <c r="R159" s="39">
        <f>IF(P159="","-",IF(P159&lt;0.1,"Низкая(&lt;10%)",IF(P159&lt;0.2,"Средняя(10-20%)","Хорошая(&gt;20%)")))</f>
        <v/>
      </c>
      <c r="S159" s="39">
        <f>IF(OR(H159="",C159=""),"-",IF((H159-C159)/H159&lt;0.05,"КРИТИЧНО",IF((H159-C159)/H159&lt;0.15,"УМЕРЕННЫЙ","НИЗКИЙ")))</f>
        <v/>
      </c>
      <c r="T159" s="43" t="n"/>
      <c r="U159" s="40">
        <f>IF(T159&gt;0,T159*D159,"")</f>
        <v/>
      </c>
      <c r="V159" s="40">
        <f>IF(T159&gt;0,T159*Q159,"")</f>
        <v/>
      </c>
      <c r="W159" s="41">
        <f>IF(U159&gt;0,V159/U159,"")</f>
        <v/>
      </c>
      <c r="X159" s="40">
        <f>IF(F159&lt;&gt;"",F159,"")</f>
        <v/>
      </c>
      <c r="Y159" s="41">
        <f>IF(AND(X159&lt;&gt;"",C159&gt;0),(X159-C159)/C159,"")</f>
        <v/>
      </c>
      <c r="Z159" s="41">
        <f>IF(AND(X159&lt;&gt;"",X159&gt;0),(X159-C159)/X159,"")</f>
        <v/>
      </c>
      <c r="AA159" s="40">
        <f>IF(AND(X159&lt;&gt;"",C159&gt;0),X159-C159,"")</f>
        <v/>
      </c>
      <c r="AB159" s="41">
        <f>IF(AND(X159&lt;&gt;"",D159&gt;0),(X159-D159)/D159,"")</f>
        <v/>
      </c>
      <c r="AC159" s="41">
        <f>IF(AND(Z159&lt;&gt;"",P159&lt;&gt;""),(Z159-P159)/ABS(IF(P159=0,1,P159)),"")</f>
        <v/>
      </c>
      <c r="AD159" s="40">
        <f>IF(AND(AA159&lt;&gt;"",Q159&lt;&gt;""),AA159-Q159,"")</f>
        <v/>
      </c>
      <c r="AE159" s="40">
        <f>IF(G159&lt;&gt;"",G159,"")</f>
        <v/>
      </c>
      <c r="AF159" s="41">
        <f>IF(AND(AE159&lt;&gt;"",C159&gt;0),(AE159-C159)/C159,"")</f>
        <v/>
      </c>
      <c r="AG159" s="41">
        <f>IF(AND(AE159&lt;&gt;"",AE159&gt;0),(AE159-C159)/AE159,"")</f>
        <v/>
      </c>
      <c r="AH159" s="40">
        <f>IF(AND(AE159&lt;&gt;"",C159&gt;0),AE159-C159,"")</f>
        <v/>
      </c>
      <c r="AI159" s="41">
        <f>IF(AND(AE159&lt;&gt;"",D159&gt;0),(AE159-D159)/D159,"")</f>
        <v/>
      </c>
      <c r="AJ159" s="41">
        <f>IF(AND(AG159&lt;&gt;"",P159&lt;&gt;""),(AG159-P159)/ABS(IF(P159=0,1,P159)),"")</f>
        <v/>
      </c>
      <c r="AK159" s="40">
        <f>IF(AND(AH159&lt;&gt;"",Q159&lt;&gt;""),AH159-Q159,"")</f>
        <v/>
      </c>
      <c r="AL159" s="40">
        <f>IF(H159&lt;&gt;"",H159,"")</f>
        <v/>
      </c>
      <c r="AM159" s="41">
        <f>IF(AND(AL159&lt;&gt;"",C159&gt;0),(AL159-C159)/C159,"")</f>
        <v/>
      </c>
      <c r="AN159" s="41">
        <f>IF(AND(AL159&lt;&gt;"",AL159&gt;0),(AL159-C159)/AL159,"")</f>
        <v/>
      </c>
      <c r="AO159" s="40">
        <f>IF(AND(AL159&lt;&gt;"",C159&gt;0),AL159-C159,"")</f>
        <v/>
      </c>
      <c r="AP159" s="41">
        <f>IF(AND(AL159&lt;&gt;"",D159&gt;0),(AL159-D159)/D159,"")</f>
        <v/>
      </c>
      <c r="AQ159" s="41">
        <f>IF(AND(AN159&lt;&gt;"",P159&lt;&gt;""),(AN159-P159)/ABS(IF(P159=0,1,P159)),"")</f>
        <v/>
      </c>
      <c r="AR159" s="40">
        <f>IF(AND(AO159&lt;&gt;"",Q159&lt;&gt;""),AO159-Q159,"")</f>
        <v/>
      </c>
      <c r="AS159" s="44" t="n"/>
      <c r="AT159" s="41">
        <f>IF(AND(AS159&gt;0,C159&gt;0),(AS159-C159)/C159,"")</f>
        <v/>
      </c>
      <c r="AU159" s="41">
        <f>IF(AND(AS159&gt;0,AS159&gt;0),(AS159-C159)/AS159,"")</f>
        <v/>
      </c>
      <c r="AV159" s="40">
        <f>IF(AND(AS159&gt;0,C159&gt;0),AS159-C159,"")</f>
        <v/>
      </c>
      <c r="AW159" s="41">
        <f>IF(AND(AS159&gt;0,D159&gt;0),(AS159-D159)/D159,"")</f>
        <v/>
      </c>
      <c r="AX159" s="41">
        <f>IF(AND(AU159&lt;&gt;"",P159&lt;&gt;""),(AU159-P159)/ABS(IF(P159=0,1,P159)),"")</f>
        <v/>
      </c>
      <c r="AY159" s="40">
        <f>IF(AND(AV159&lt;&gt;"",Q159&lt;&gt;""),AV159-Q159,"")</f>
        <v/>
      </c>
      <c r="AZ159" s="45" t="n"/>
      <c r="BA159" s="40">
        <f>IF(AND(AZ159&gt;0,C159&gt;0),C159/(1-AZ159),"")</f>
        <v/>
      </c>
      <c r="BB159" s="41">
        <f>IF(AND(BA159&lt;&gt;"",C159&gt;0),(BA159-C159)/C159,"")</f>
        <v/>
      </c>
      <c r="BC159" s="41">
        <f>IF(BA159&lt;&gt;"",AZ159,"")</f>
        <v/>
      </c>
      <c r="BD159" s="40">
        <f>IF(AND(BA159&lt;&gt;"",C159&gt;0),BA159-C159,"")</f>
        <v/>
      </c>
      <c r="BE159" s="41">
        <f>IF(AND(BA159&lt;&gt;"",D159&gt;0),(BA159-D159)/D159,"")</f>
        <v/>
      </c>
      <c r="BF159" s="41">
        <f>IF(AND(BC159&lt;&gt;"",P159&lt;&gt;""),(BC159-P159)/ABS(IF(P159=0,1,P159)),"")</f>
        <v/>
      </c>
      <c r="BG159" s="40">
        <f>IF(AND(BD159&lt;&gt;"",Q159&lt;&gt;""),BD159-Q159,"")</f>
        <v/>
      </c>
      <c r="BH159" s="40">
        <f>IF(AND(T159&gt;0,X159&lt;&gt;""),T159*X159,"")</f>
        <v/>
      </c>
      <c r="BI159" s="40">
        <f>IF(AND(T159&gt;0,AA159&lt;&gt;""),T159*AA159,"")</f>
        <v/>
      </c>
      <c r="BJ159" s="40">
        <f>IF(AND(T159&gt;0,AE159&lt;&gt;""),T159*AE159,"")</f>
        <v/>
      </c>
      <c r="BK159" s="40">
        <f>IF(AND(T159&gt;0,AH159&lt;&gt;""),T159*AH159,"")</f>
        <v/>
      </c>
      <c r="BL159" s="40">
        <f>IF(AND(T159&gt;0,AL159&lt;&gt;""),T159*AL159,"")</f>
        <v/>
      </c>
      <c r="BM159" s="40">
        <f>IF(AND(T159&gt;0,AO159&lt;&gt;""),T159*AO159,"")</f>
        <v/>
      </c>
      <c r="BN159" s="40">
        <f>IF(AND(T159&gt;0,AS159&gt;0),T159*AS159,"")</f>
        <v/>
      </c>
      <c r="BO159" s="40">
        <f>IF(AND(T159&gt;0,AV159&lt;&gt;""),T159*AV159,"")</f>
        <v/>
      </c>
      <c r="BP159" s="40">
        <f>IF(AND(T159&gt;0,BA159&lt;&gt;""),T159*BA159,"")</f>
        <v/>
      </c>
      <c r="BQ159" s="40">
        <f>IF(AND(T159&gt;0,BD159&lt;&gt;""),T159*BD159,"")</f>
        <v/>
      </c>
      <c r="BR159" s="46">
        <f>IF(AND(T159&gt;0,V159&gt;0,AA159&lt;&gt;0),V159/AA159-T159,"")</f>
        <v/>
      </c>
      <c r="BS159" s="41">
        <f>IF(AND(BR159&lt;&gt;"",T159&gt;0),BR159/T159,"")</f>
        <v/>
      </c>
      <c r="BT159" s="46">
        <f>IF(AND(T159&gt;0,V159&gt;0,AO159&lt;&gt;0),V159/AO159-T159,"")</f>
        <v/>
      </c>
      <c r="BU159" s="41">
        <f>IF(AND(BT159&lt;&gt;"",T159&gt;0),BT159/T159,"")</f>
        <v/>
      </c>
    </row>
    <row r="160">
      <c r="A160" s="36">
        <f>'📊 Исходные данные'!A159</f>
        <v/>
      </c>
      <c r="B160" s="37">
        <f>'📊 Исходные данные'!B159</f>
        <v/>
      </c>
      <c r="C160" s="38">
        <f>'📊 Исходные данные'!C159</f>
        <v/>
      </c>
      <c r="D160" s="38">
        <f>'📊 Исходные данные'!D159</f>
        <v/>
      </c>
      <c r="E160" s="39">
        <f>IF(OR(D160="",F160=""),"-",IF(D160&gt;F160*1.05,"Выше рынка",IF(D160&lt;F160*0.95,"Ниже рынка","На уровне")))</f>
        <v/>
      </c>
      <c r="F160" s="40">
        <f>IFERROR(AVERAGE('📊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G160" s="40">
        <f>IFERROR(MEDIAN('📊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H160" s="40">
        <f>IFERROR(MIN('📊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I160" s="40">
        <f>IFERROR(MAX('📊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данные'!K159),"")</f>
        <v/>
      </c>
      <c r="J160" s="41">
        <f>IF(AND(D160&lt;&gt;"",F160&lt;&gt;""),(D160-F160)/F160,"")</f>
        <v/>
      </c>
      <c r="K160" s="41">
        <f>IF(AND(D160&lt;&gt;"",G160&lt;&gt;""),(D160-G160)/G160,"")</f>
        <v/>
      </c>
      <c r="L160" s="41">
        <f>IF(AND(D160&lt;&gt;"",H160&lt;&gt;""),(D160-H160)/H160,"")</f>
        <v/>
      </c>
      <c r="M160" s="42">
        <f>IFERROR(RANK(D160,('📊 Исходные данные'!E159,'📊 Исходные данные'!F159,'📊 Исходные данные'!G159,'📊 Исходные данные'!H159,'📊 Исходные данные'!I159,'📊 Исходные данные'!J159,'📊 Исходные данные'!K159)),"")</f>
        <v/>
      </c>
      <c r="N160" s="39">
        <f>IF(M160="","-",IF(M160=1,"Дороже всех",IF(M160=2,"2-й по цене",IF(M160&lt;=4,"Средний","Ниже конкурентов"))))</f>
        <v/>
      </c>
      <c r="O160" s="41">
        <f>IF(AND(C160&gt;0,D160&gt;0),(D160-C160)/C160,"")</f>
        <v/>
      </c>
      <c r="P160" s="41">
        <f>IF(AND(C160&gt;0,D160&gt;0),(D160-C160)/D160,"")</f>
        <v/>
      </c>
      <c r="Q160" s="40">
        <f>IF(AND(C160&gt;0,D160&gt;0),D160-C160,"")</f>
        <v/>
      </c>
      <c r="R160" s="39">
        <f>IF(P160="","-",IF(P160&lt;0.1,"Низкая(&lt;10%)",IF(P160&lt;0.2,"Средняя(10-20%)","Хорошая(&gt;20%)")))</f>
        <v/>
      </c>
      <c r="S160" s="39">
        <f>IF(OR(H160="",C160=""),"-",IF((H160-C160)/H160&lt;0.05,"КРИТИЧНО",IF((H160-C160)/H160&lt;0.15,"УМЕРЕННЫЙ","НИЗКИЙ")))</f>
        <v/>
      </c>
      <c r="T160" s="43" t="n"/>
      <c r="U160" s="40">
        <f>IF(T160&gt;0,T160*D160,"")</f>
        <v/>
      </c>
      <c r="V160" s="40">
        <f>IF(T160&gt;0,T160*Q160,"")</f>
        <v/>
      </c>
      <c r="W160" s="41">
        <f>IF(U160&gt;0,V160/U160,"")</f>
        <v/>
      </c>
      <c r="X160" s="40">
        <f>IF(F160&lt;&gt;"",F160,"")</f>
        <v/>
      </c>
      <c r="Y160" s="41">
        <f>IF(AND(X160&lt;&gt;"",C160&gt;0),(X160-C160)/C160,"")</f>
        <v/>
      </c>
      <c r="Z160" s="41">
        <f>IF(AND(X160&lt;&gt;"",X160&gt;0),(X160-C160)/X160,"")</f>
        <v/>
      </c>
      <c r="AA160" s="40">
        <f>IF(AND(X160&lt;&gt;"",C160&gt;0),X160-C160,"")</f>
        <v/>
      </c>
      <c r="AB160" s="41">
        <f>IF(AND(X160&lt;&gt;"",D160&gt;0),(X160-D160)/D160,"")</f>
        <v/>
      </c>
      <c r="AC160" s="41">
        <f>IF(AND(Z160&lt;&gt;"",P160&lt;&gt;""),(Z160-P160)/ABS(IF(P160=0,1,P160)),"")</f>
        <v/>
      </c>
      <c r="AD160" s="40">
        <f>IF(AND(AA160&lt;&gt;"",Q160&lt;&gt;""),AA160-Q160,"")</f>
        <v/>
      </c>
      <c r="AE160" s="40">
        <f>IF(G160&lt;&gt;"",G160,"")</f>
        <v/>
      </c>
      <c r="AF160" s="41">
        <f>IF(AND(AE160&lt;&gt;"",C160&gt;0),(AE160-C160)/C160,"")</f>
        <v/>
      </c>
      <c r="AG160" s="41">
        <f>IF(AND(AE160&lt;&gt;"",AE160&gt;0),(AE160-C160)/AE160,"")</f>
        <v/>
      </c>
      <c r="AH160" s="40">
        <f>IF(AND(AE160&lt;&gt;"",C160&gt;0),AE160-C160,"")</f>
        <v/>
      </c>
      <c r="AI160" s="41">
        <f>IF(AND(AE160&lt;&gt;"",D160&gt;0),(AE160-D160)/D160,"")</f>
        <v/>
      </c>
      <c r="AJ160" s="41">
        <f>IF(AND(AG160&lt;&gt;"",P160&lt;&gt;""),(AG160-P160)/ABS(IF(P160=0,1,P160)),"")</f>
        <v/>
      </c>
      <c r="AK160" s="40">
        <f>IF(AND(AH160&lt;&gt;"",Q160&lt;&gt;""),AH160-Q160,"")</f>
        <v/>
      </c>
      <c r="AL160" s="40">
        <f>IF(H160&lt;&gt;"",H160,"")</f>
        <v/>
      </c>
      <c r="AM160" s="41">
        <f>IF(AND(AL160&lt;&gt;"",C160&gt;0),(AL160-C160)/C160,"")</f>
        <v/>
      </c>
      <c r="AN160" s="41">
        <f>IF(AND(AL160&lt;&gt;"",AL160&gt;0),(AL160-C160)/AL160,"")</f>
        <v/>
      </c>
      <c r="AO160" s="40">
        <f>IF(AND(AL160&lt;&gt;"",C160&gt;0),AL160-C160,"")</f>
        <v/>
      </c>
      <c r="AP160" s="41">
        <f>IF(AND(AL160&lt;&gt;"",D160&gt;0),(AL160-D160)/D160,"")</f>
        <v/>
      </c>
      <c r="AQ160" s="41">
        <f>IF(AND(AN160&lt;&gt;"",P160&lt;&gt;""),(AN160-P160)/ABS(IF(P160=0,1,P160)),"")</f>
        <v/>
      </c>
      <c r="AR160" s="40">
        <f>IF(AND(AO160&lt;&gt;"",Q160&lt;&gt;""),AO160-Q160,"")</f>
        <v/>
      </c>
      <c r="AS160" s="44" t="n"/>
      <c r="AT160" s="41">
        <f>IF(AND(AS160&gt;0,C160&gt;0),(AS160-C160)/C160,"")</f>
        <v/>
      </c>
      <c r="AU160" s="41">
        <f>IF(AND(AS160&gt;0,AS160&gt;0),(AS160-C160)/AS160,"")</f>
        <v/>
      </c>
      <c r="AV160" s="40">
        <f>IF(AND(AS160&gt;0,C160&gt;0),AS160-C160,"")</f>
        <v/>
      </c>
      <c r="AW160" s="41">
        <f>IF(AND(AS160&gt;0,D160&gt;0),(AS160-D160)/D160,"")</f>
        <v/>
      </c>
      <c r="AX160" s="41">
        <f>IF(AND(AU160&lt;&gt;"",P160&lt;&gt;""),(AU160-P160)/ABS(IF(P160=0,1,P160)),"")</f>
        <v/>
      </c>
      <c r="AY160" s="40">
        <f>IF(AND(AV160&lt;&gt;"",Q160&lt;&gt;""),AV160-Q160,"")</f>
        <v/>
      </c>
      <c r="AZ160" s="45" t="n"/>
      <c r="BA160" s="40">
        <f>IF(AND(AZ160&gt;0,C160&gt;0),C160/(1-AZ160),"")</f>
        <v/>
      </c>
      <c r="BB160" s="41">
        <f>IF(AND(BA160&lt;&gt;"",C160&gt;0),(BA160-C160)/C160,"")</f>
        <v/>
      </c>
      <c r="BC160" s="41">
        <f>IF(BA160&lt;&gt;"",AZ160,"")</f>
        <v/>
      </c>
      <c r="BD160" s="40">
        <f>IF(AND(BA160&lt;&gt;"",C160&gt;0),BA160-C160,"")</f>
        <v/>
      </c>
      <c r="BE160" s="41">
        <f>IF(AND(BA160&lt;&gt;"",D160&gt;0),(BA160-D160)/D160,"")</f>
        <v/>
      </c>
      <c r="BF160" s="41">
        <f>IF(AND(BC160&lt;&gt;"",P160&lt;&gt;""),(BC160-P160)/ABS(IF(P160=0,1,P160)),"")</f>
        <v/>
      </c>
      <c r="BG160" s="40">
        <f>IF(AND(BD160&lt;&gt;"",Q160&lt;&gt;""),BD160-Q160,"")</f>
        <v/>
      </c>
      <c r="BH160" s="40">
        <f>IF(AND(T160&gt;0,X160&lt;&gt;""),T160*X160,"")</f>
        <v/>
      </c>
      <c r="BI160" s="40">
        <f>IF(AND(T160&gt;0,AA160&lt;&gt;""),T160*AA160,"")</f>
        <v/>
      </c>
      <c r="BJ160" s="40">
        <f>IF(AND(T160&gt;0,AE160&lt;&gt;""),T160*AE160,"")</f>
        <v/>
      </c>
      <c r="BK160" s="40">
        <f>IF(AND(T160&gt;0,AH160&lt;&gt;""),T160*AH160,"")</f>
        <v/>
      </c>
      <c r="BL160" s="40">
        <f>IF(AND(T160&gt;0,AL160&lt;&gt;""),T160*AL160,"")</f>
        <v/>
      </c>
      <c r="BM160" s="40">
        <f>IF(AND(T160&gt;0,AO160&lt;&gt;""),T160*AO160,"")</f>
        <v/>
      </c>
      <c r="BN160" s="40">
        <f>IF(AND(T160&gt;0,AS160&gt;0),T160*AS160,"")</f>
        <v/>
      </c>
      <c r="BO160" s="40">
        <f>IF(AND(T160&gt;0,AV160&lt;&gt;""),T160*AV160,"")</f>
        <v/>
      </c>
      <c r="BP160" s="40">
        <f>IF(AND(T160&gt;0,BA160&lt;&gt;""),T160*BA160,"")</f>
        <v/>
      </c>
      <c r="BQ160" s="40">
        <f>IF(AND(T160&gt;0,BD160&lt;&gt;""),T160*BD160,"")</f>
        <v/>
      </c>
      <c r="BR160" s="46">
        <f>IF(AND(T160&gt;0,V160&gt;0,AA160&lt;&gt;0),V160/AA160-T160,"")</f>
        <v/>
      </c>
      <c r="BS160" s="41">
        <f>IF(AND(BR160&lt;&gt;"",T160&gt;0),BR160/T160,"")</f>
        <v/>
      </c>
      <c r="BT160" s="46">
        <f>IF(AND(T160&gt;0,V160&gt;0,AO160&lt;&gt;0),V160/AO160-T160,"")</f>
        <v/>
      </c>
      <c r="BU160" s="41">
        <f>IF(AND(BT160&lt;&gt;"",T160&gt;0),BT160/T160,"")</f>
        <v/>
      </c>
    </row>
    <row r="161">
      <c r="A161" s="36">
        <f>'📊 Исходные данные'!A160</f>
        <v/>
      </c>
      <c r="B161" s="37">
        <f>'📊 Исходные данные'!B160</f>
        <v/>
      </c>
      <c r="C161" s="38">
        <f>'📊 Исходные данные'!C160</f>
        <v/>
      </c>
      <c r="D161" s="38">
        <f>'📊 Исходные данные'!D160</f>
        <v/>
      </c>
      <c r="E161" s="39">
        <f>IF(OR(D161="",F161=""),"-",IF(D161&gt;F161*1.05,"Выше рынка",IF(D161&lt;F161*0.95,"Ниже рынка","На уровне")))</f>
        <v/>
      </c>
      <c r="F161" s="40">
        <f>IFERROR(AVERAGE('📊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G161" s="40">
        <f>IFERROR(MEDIAN('📊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H161" s="40">
        <f>IFERROR(MIN('📊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I161" s="40">
        <f>IFERROR(MAX('📊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данные'!K160),"")</f>
        <v/>
      </c>
      <c r="J161" s="41">
        <f>IF(AND(D161&lt;&gt;"",F161&lt;&gt;""),(D161-F161)/F161,"")</f>
        <v/>
      </c>
      <c r="K161" s="41">
        <f>IF(AND(D161&lt;&gt;"",G161&lt;&gt;""),(D161-G161)/G161,"")</f>
        <v/>
      </c>
      <c r="L161" s="41">
        <f>IF(AND(D161&lt;&gt;"",H161&lt;&gt;""),(D161-H161)/H161,"")</f>
        <v/>
      </c>
      <c r="M161" s="42">
        <f>IFERROR(RANK(D161,('📊 Исходные данные'!E160,'📊 Исходные данные'!F160,'📊 Исходные данные'!G160,'📊 Исходные данные'!H160,'📊 Исходные данные'!I160,'📊 Исходные данные'!J160,'📊 Исходные данные'!K160)),"")</f>
        <v/>
      </c>
      <c r="N161" s="39">
        <f>IF(M161="","-",IF(M161=1,"Дороже всех",IF(M161=2,"2-й по цене",IF(M161&lt;=4,"Средний","Ниже конкурентов"))))</f>
        <v/>
      </c>
      <c r="O161" s="41">
        <f>IF(AND(C161&gt;0,D161&gt;0),(D161-C161)/C161,"")</f>
        <v/>
      </c>
      <c r="P161" s="41">
        <f>IF(AND(C161&gt;0,D161&gt;0),(D161-C161)/D161,"")</f>
        <v/>
      </c>
      <c r="Q161" s="40">
        <f>IF(AND(C161&gt;0,D161&gt;0),D161-C161,"")</f>
        <v/>
      </c>
      <c r="R161" s="39">
        <f>IF(P161="","-",IF(P161&lt;0.1,"Низкая(&lt;10%)",IF(P161&lt;0.2,"Средняя(10-20%)","Хорошая(&gt;20%)")))</f>
        <v/>
      </c>
      <c r="S161" s="39">
        <f>IF(OR(H161="",C161=""),"-",IF((H161-C161)/H161&lt;0.05,"КРИТИЧНО",IF((H161-C161)/H161&lt;0.15,"УМЕРЕННЫЙ","НИЗКИЙ")))</f>
        <v/>
      </c>
      <c r="T161" s="43" t="n"/>
      <c r="U161" s="40">
        <f>IF(T161&gt;0,T161*D161,"")</f>
        <v/>
      </c>
      <c r="V161" s="40">
        <f>IF(T161&gt;0,T161*Q161,"")</f>
        <v/>
      </c>
      <c r="W161" s="41">
        <f>IF(U161&gt;0,V161/U161,"")</f>
        <v/>
      </c>
      <c r="X161" s="40">
        <f>IF(F161&lt;&gt;"",F161,"")</f>
        <v/>
      </c>
      <c r="Y161" s="41">
        <f>IF(AND(X161&lt;&gt;"",C161&gt;0),(X161-C161)/C161,"")</f>
        <v/>
      </c>
      <c r="Z161" s="41">
        <f>IF(AND(X161&lt;&gt;"",X161&gt;0),(X161-C161)/X161,"")</f>
        <v/>
      </c>
      <c r="AA161" s="40">
        <f>IF(AND(X161&lt;&gt;"",C161&gt;0),X161-C161,"")</f>
        <v/>
      </c>
      <c r="AB161" s="41">
        <f>IF(AND(X161&lt;&gt;"",D161&gt;0),(X161-D161)/D161,"")</f>
        <v/>
      </c>
      <c r="AC161" s="41">
        <f>IF(AND(Z161&lt;&gt;"",P161&lt;&gt;""),(Z161-P161)/ABS(IF(P161=0,1,P161)),"")</f>
        <v/>
      </c>
      <c r="AD161" s="40">
        <f>IF(AND(AA161&lt;&gt;"",Q161&lt;&gt;""),AA161-Q161,"")</f>
        <v/>
      </c>
      <c r="AE161" s="40">
        <f>IF(G161&lt;&gt;"",G161,"")</f>
        <v/>
      </c>
      <c r="AF161" s="41">
        <f>IF(AND(AE161&lt;&gt;"",C161&gt;0),(AE161-C161)/C161,"")</f>
        <v/>
      </c>
      <c r="AG161" s="41">
        <f>IF(AND(AE161&lt;&gt;"",AE161&gt;0),(AE161-C161)/AE161,"")</f>
        <v/>
      </c>
      <c r="AH161" s="40">
        <f>IF(AND(AE161&lt;&gt;"",C161&gt;0),AE161-C161,"")</f>
        <v/>
      </c>
      <c r="AI161" s="41">
        <f>IF(AND(AE161&lt;&gt;"",D161&gt;0),(AE161-D161)/D161,"")</f>
        <v/>
      </c>
      <c r="AJ161" s="41">
        <f>IF(AND(AG161&lt;&gt;"",P161&lt;&gt;""),(AG161-P161)/ABS(IF(P161=0,1,P161)),"")</f>
        <v/>
      </c>
      <c r="AK161" s="40">
        <f>IF(AND(AH161&lt;&gt;"",Q161&lt;&gt;""),AH161-Q161,"")</f>
        <v/>
      </c>
      <c r="AL161" s="40">
        <f>IF(H161&lt;&gt;"",H161,"")</f>
        <v/>
      </c>
      <c r="AM161" s="41">
        <f>IF(AND(AL161&lt;&gt;"",C161&gt;0),(AL161-C161)/C161,"")</f>
        <v/>
      </c>
      <c r="AN161" s="41">
        <f>IF(AND(AL161&lt;&gt;"",AL161&gt;0),(AL161-C161)/AL161,"")</f>
        <v/>
      </c>
      <c r="AO161" s="40">
        <f>IF(AND(AL161&lt;&gt;"",C161&gt;0),AL161-C161,"")</f>
        <v/>
      </c>
      <c r="AP161" s="41">
        <f>IF(AND(AL161&lt;&gt;"",D161&gt;0),(AL161-D161)/D161,"")</f>
        <v/>
      </c>
      <c r="AQ161" s="41">
        <f>IF(AND(AN161&lt;&gt;"",P161&lt;&gt;""),(AN161-P161)/ABS(IF(P161=0,1,P161)),"")</f>
        <v/>
      </c>
      <c r="AR161" s="40">
        <f>IF(AND(AO161&lt;&gt;"",Q161&lt;&gt;""),AO161-Q161,"")</f>
        <v/>
      </c>
      <c r="AS161" s="44" t="n"/>
      <c r="AT161" s="41">
        <f>IF(AND(AS161&gt;0,C161&gt;0),(AS161-C161)/C161,"")</f>
        <v/>
      </c>
      <c r="AU161" s="41">
        <f>IF(AND(AS161&gt;0,AS161&gt;0),(AS161-C161)/AS161,"")</f>
        <v/>
      </c>
      <c r="AV161" s="40">
        <f>IF(AND(AS161&gt;0,C161&gt;0),AS161-C161,"")</f>
        <v/>
      </c>
      <c r="AW161" s="41">
        <f>IF(AND(AS161&gt;0,D161&gt;0),(AS161-D161)/D161,"")</f>
        <v/>
      </c>
      <c r="AX161" s="41">
        <f>IF(AND(AU161&lt;&gt;"",P161&lt;&gt;""),(AU161-P161)/ABS(IF(P161=0,1,P161)),"")</f>
        <v/>
      </c>
      <c r="AY161" s="40">
        <f>IF(AND(AV161&lt;&gt;"",Q161&lt;&gt;""),AV161-Q161,"")</f>
        <v/>
      </c>
      <c r="AZ161" s="45" t="n"/>
      <c r="BA161" s="40">
        <f>IF(AND(AZ161&gt;0,C161&gt;0),C161/(1-AZ161),"")</f>
        <v/>
      </c>
      <c r="BB161" s="41">
        <f>IF(AND(BA161&lt;&gt;"",C161&gt;0),(BA161-C161)/C161,"")</f>
        <v/>
      </c>
      <c r="BC161" s="41">
        <f>IF(BA161&lt;&gt;"",AZ161,"")</f>
        <v/>
      </c>
      <c r="BD161" s="40">
        <f>IF(AND(BA161&lt;&gt;"",C161&gt;0),BA161-C161,"")</f>
        <v/>
      </c>
      <c r="BE161" s="41">
        <f>IF(AND(BA161&lt;&gt;"",D161&gt;0),(BA161-D161)/D161,"")</f>
        <v/>
      </c>
      <c r="BF161" s="41">
        <f>IF(AND(BC161&lt;&gt;"",P161&lt;&gt;""),(BC161-P161)/ABS(IF(P161=0,1,P161)),"")</f>
        <v/>
      </c>
      <c r="BG161" s="40">
        <f>IF(AND(BD161&lt;&gt;"",Q161&lt;&gt;""),BD161-Q161,"")</f>
        <v/>
      </c>
      <c r="BH161" s="40">
        <f>IF(AND(T161&gt;0,X161&lt;&gt;""),T161*X161,"")</f>
        <v/>
      </c>
      <c r="BI161" s="40">
        <f>IF(AND(T161&gt;0,AA161&lt;&gt;""),T161*AA161,"")</f>
        <v/>
      </c>
      <c r="BJ161" s="40">
        <f>IF(AND(T161&gt;0,AE161&lt;&gt;""),T161*AE161,"")</f>
        <v/>
      </c>
      <c r="BK161" s="40">
        <f>IF(AND(T161&gt;0,AH161&lt;&gt;""),T161*AH161,"")</f>
        <v/>
      </c>
      <c r="BL161" s="40">
        <f>IF(AND(T161&gt;0,AL161&lt;&gt;""),T161*AL161,"")</f>
        <v/>
      </c>
      <c r="BM161" s="40">
        <f>IF(AND(T161&gt;0,AO161&lt;&gt;""),T161*AO161,"")</f>
        <v/>
      </c>
      <c r="BN161" s="40">
        <f>IF(AND(T161&gt;0,AS161&gt;0),T161*AS161,"")</f>
        <v/>
      </c>
      <c r="BO161" s="40">
        <f>IF(AND(T161&gt;0,AV161&lt;&gt;""),T161*AV161,"")</f>
        <v/>
      </c>
      <c r="BP161" s="40">
        <f>IF(AND(T161&gt;0,BA161&lt;&gt;""),T161*BA161,"")</f>
        <v/>
      </c>
      <c r="BQ161" s="40">
        <f>IF(AND(T161&gt;0,BD161&lt;&gt;""),T161*BD161,"")</f>
        <v/>
      </c>
      <c r="BR161" s="46">
        <f>IF(AND(T161&gt;0,V161&gt;0,AA161&lt;&gt;0),V161/AA161-T161,"")</f>
        <v/>
      </c>
      <c r="BS161" s="41">
        <f>IF(AND(BR161&lt;&gt;"",T161&gt;0),BR161/T161,"")</f>
        <v/>
      </c>
      <c r="BT161" s="46">
        <f>IF(AND(T161&gt;0,V161&gt;0,AO161&lt;&gt;0),V161/AO161-T161,"")</f>
        <v/>
      </c>
      <c r="BU161" s="41">
        <f>IF(AND(BT161&lt;&gt;"",T161&gt;0),BT161/T161,"")</f>
        <v/>
      </c>
    </row>
    <row r="162">
      <c r="A162" s="36">
        <f>'📊 Исходные данные'!A161</f>
        <v/>
      </c>
      <c r="B162" s="37">
        <f>'📊 Исходные данные'!B161</f>
        <v/>
      </c>
      <c r="C162" s="38">
        <f>'📊 Исходные данные'!C161</f>
        <v/>
      </c>
      <c r="D162" s="38">
        <f>'📊 Исходные данные'!D161</f>
        <v/>
      </c>
      <c r="E162" s="39">
        <f>IF(OR(D162="",F162=""),"-",IF(D162&gt;F162*1.05,"Выше рынка",IF(D162&lt;F162*0.95,"Ниже рынка","На уровне")))</f>
        <v/>
      </c>
      <c r="F162" s="40">
        <f>IFERROR(AVERAGE('📊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G162" s="40">
        <f>IFERROR(MEDIAN('📊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H162" s="40">
        <f>IFERROR(MIN('📊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I162" s="40">
        <f>IFERROR(MAX('📊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данные'!K161),"")</f>
        <v/>
      </c>
      <c r="J162" s="41">
        <f>IF(AND(D162&lt;&gt;"",F162&lt;&gt;""),(D162-F162)/F162,"")</f>
        <v/>
      </c>
      <c r="K162" s="41">
        <f>IF(AND(D162&lt;&gt;"",G162&lt;&gt;""),(D162-G162)/G162,"")</f>
        <v/>
      </c>
      <c r="L162" s="41">
        <f>IF(AND(D162&lt;&gt;"",H162&lt;&gt;""),(D162-H162)/H162,"")</f>
        <v/>
      </c>
      <c r="M162" s="42">
        <f>IFERROR(RANK(D162,('📊 Исходные данные'!E161,'📊 Исходные данные'!F161,'📊 Исходные данные'!G161,'📊 Исходные данные'!H161,'📊 Исходные данные'!I161,'📊 Исходные данные'!J161,'📊 Исходные данные'!K161)),"")</f>
        <v/>
      </c>
      <c r="N162" s="39">
        <f>IF(M162="","-",IF(M162=1,"Дороже всех",IF(M162=2,"2-й по цене",IF(M162&lt;=4,"Средний","Ниже конкурентов"))))</f>
        <v/>
      </c>
      <c r="O162" s="41">
        <f>IF(AND(C162&gt;0,D162&gt;0),(D162-C162)/C162,"")</f>
        <v/>
      </c>
      <c r="P162" s="41">
        <f>IF(AND(C162&gt;0,D162&gt;0),(D162-C162)/D162,"")</f>
        <v/>
      </c>
      <c r="Q162" s="40">
        <f>IF(AND(C162&gt;0,D162&gt;0),D162-C162,"")</f>
        <v/>
      </c>
      <c r="R162" s="39">
        <f>IF(P162="","-",IF(P162&lt;0.1,"Низкая(&lt;10%)",IF(P162&lt;0.2,"Средняя(10-20%)","Хорошая(&gt;20%)")))</f>
        <v/>
      </c>
      <c r="S162" s="39">
        <f>IF(OR(H162="",C162=""),"-",IF((H162-C162)/H162&lt;0.05,"КРИТИЧНО",IF((H162-C162)/H162&lt;0.15,"УМЕРЕННЫЙ","НИЗКИЙ")))</f>
        <v/>
      </c>
      <c r="T162" s="43" t="n"/>
      <c r="U162" s="40">
        <f>IF(T162&gt;0,T162*D162,"")</f>
        <v/>
      </c>
      <c r="V162" s="40">
        <f>IF(T162&gt;0,T162*Q162,"")</f>
        <v/>
      </c>
      <c r="W162" s="41">
        <f>IF(U162&gt;0,V162/U162,"")</f>
        <v/>
      </c>
      <c r="X162" s="40">
        <f>IF(F162&lt;&gt;"",F162,"")</f>
        <v/>
      </c>
      <c r="Y162" s="41">
        <f>IF(AND(X162&lt;&gt;"",C162&gt;0),(X162-C162)/C162,"")</f>
        <v/>
      </c>
      <c r="Z162" s="41">
        <f>IF(AND(X162&lt;&gt;"",X162&gt;0),(X162-C162)/X162,"")</f>
        <v/>
      </c>
      <c r="AA162" s="40">
        <f>IF(AND(X162&lt;&gt;"",C162&gt;0),X162-C162,"")</f>
        <v/>
      </c>
      <c r="AB162" s="41">
        <f>IF(AND(X162&lt;&gt;"",D162&gt;0),(X162-D162)/D162,"")</f>
        <v/>
      </c>
      <c r="AC162" s="41">
        <f>IF(AND(Z162&lt;&gt;"",P162&lt;&gt;""),(Z162-P162)/ABS(IF(P162=0,1,P162)),"")</f>
        <v/>
      </c>
      <c r="AD162" s="40">
        <f>IF(AND(AA162&lt;&gt;"",Q162&lt;&gt;""),AA162-Q162,"")</f>
        <v/>
      </c>
      <c r="AE162" s="40">
        <f>IF(G162&lt;&gt;"",G162,"")</f>
        <v/>
      </c>
      <c r="AF162" s="41">
        <f>IF(AND(AE162&lt;&gt;"",C162&gt;0),(AE162-C162)/C162,"")</f>
        <v/>
      </c>
      <c r="AG162" s="41">
        <f>IF(AND(AE162&lt;&gt;"",AE162&gt;0),(AE162-C162)/AE162,"")</f>
        <v/>
      </c>
      <c r="AH162" s="40">
        <f>IF(AND(AE162&lt;&gt;"",C162&gt;0),AE162-C162,"")</f>
        <v/>
      </c>
      <c r="AI162" s="41">
        <f>IF(AND(AE162&lt;&gt;"",D162&gt;0),(AE162-D162)/D162,"")</f>
        <v/>
      </c>
      <c r="AJ162" s="41">
        <f>IF(AND(AG162&lt;&gt;"",P162&lt;&gt;""),(AG162-P162)/ABS(IF(P162=0,1,P162)),"")</f>
        <v/>
      </c>
      <c r="AK162" s="40">
        <f>IF(AND(AH162&lt;&gt;"",Q162&lt;&gt;""),AH162-Q162,"")</f>
        <v/>
      </c>
      <c r="AL162" s="40">
        <f>IF(H162&lt;&gt;"",H162,"")</f>
        <v/>
      </c>
      <c r="AM162" s="41">
        <f>IF(AND(AL162&lt;&gt;"",C162&gt;0),(AL162-C162)/C162,"")</f>
        <v/>
      </c>
      <c r="AN162" s="41">
        <f>IF(AND(AL162&lt;&gt;"",AL162&gt;0),(AL162-C162)/AL162,"")</f>
        <v/>
      </c>
      <c r="AO162" s="40">
        <f>IF(AND(AL162&lt;&gt;"",C162&gt;0),AL162-C162,"")</f>
        <v/>
      </c>
      <c r="AP162" s="41">
        <f>IF(AND(AL162&lt;&gt;"",D162&gt;0),(AL162-D162)/D162,"")</f>
        <v/>
      </c>
      <c r="AQ162" s="41">
        <f>IF(AND(AN162&lt;&gt;"",P162&lt;&gt;""),(AN162-P162)/ABS(IF(P162=0,1,P162)),"")</f>
        <v/>
      </c>
      <c r="AR162" s="40">
        <f>IF(AND(AO162&lt;&gt;"",Q162&lt;&gt;""),AO162-Q162,"")</f>
        <v/>
      </c>
      <c r="AS162" s="44" t="n"/>
      <c r="AT162" s="41">
        <f>IF(AND(AS162&gt;0,C162&gt;0),(AS162-C162)/C162,"")</f>
        <v/>
      </c>
      <c r="AU162" s="41">
        <f>IF(AND(AS162&gt;0,AS162&gt;0),(AS162-C162)/AS162,"")</f>
        <v/>
      </c>
      <c r="AV162" s="40">
        <f>IF(AND(AS162&gt;0,C162&gt;0),AS162-C162,"")</f>
        <v/>
      </c>
      <c r="AW162" s="41">
        <f>IF(AND(AS162&gt;0,D162&gt;0),(AS162-D162)/D162,"")</f>
        <v/>
      </c>
      <c r="AX162" s="41">
        <f>IF(AND(AU162&lt;&gt;"",P162&lt;&gt;""),(AU162-P162)/ABS(IF(P162=0,1,P162)),"")</f>
        <v/>
      </c>
      <c r="AY162" s="40">
        <f>IF(AND(AV162&lt;&gt;"",Q162&lt;&gt;""),AV162-Q162,"")</f>
        <v/>
      </c>
      <c r="AZ162" s="45" t="n"/>
      <c r="BA162" s="40">
        <f>IF(AND(AZ162&gt;0,C162&gt;0),C162/(1-AZ162),"")</f>
        <v/>
      </c>
      <c r="BB162" s="41">
        <f>IF(AND(BA162&lt;&gt;"",C162&gt;0),(BA162-C162)/C162,"")</f>
        <v/>
      </c>
      <c r="BC162" s="41">
        <f>IF(BA162&lt;&gt;"",AZ162,"")</f>
        <v/>
      </c>
      <c r="BD162" s="40">
        <f>IF(AND(BA162&lt;&gt;"",C162&gt;0),BA162-C162,"")</f>
        <v/>
      </c>
      <c r="BE162" s="41">
        <f>IF(AND(BA162&lt;&gt;"",D162&gt;0),(BA162-D162)/D162,"")</f>
        <v/>
      </c>
      <c r="BF162" s="41">
        <f>IF(AND(BC162&lt;&gt;"",P162&lt;&gt;""),(BC162-P162)/ABS(IF(P162=0,1,P162)),"")</f>
        <v/>
      </c>
      <c r="BG162" s="40">
        <f>IF(AND(BD162&lt;&gt;"",Q162&lt;&gt;""),BD162-Q162,"")</f>
        <v/>
      </c>
      <c r="BH162" s="40">
        <f>IF(AND(T162&gt;0,X162&lt;&gt;""),T162*X162,"")</f>
        <v/>
      </c>
      <c r="BI162" s="40">
        <f>IF(AND(T162&gt;0,AA162&lt;&gt;""),T162*AA162,"")</f>
        <v/>
      </c>
      <c r="BJ162" s="40">
        <f>IF(AND(T162&gt;0,AE162&lt;&gt;""),T162*AE162,"")</f>
        <v/>
      </c>
      <c r="BK162" s="40">
        <f>IF(AND(T162&gt;0,AH162&lt;&gt;""),T162*AH162,"")</f>
        <v/>
      </c>
      <c r="BL162" s="40">
        <f>IF(AND(T162&gt;0,AL162&lt;&gt;""),T162*AL162,"")</f>
        <v/>
      </c>
      <c r="BM162" s="40">
        <f>IF(AND(T162&gt;0,AO162&lt;&gt;""),T162*AO162,"")</f>
        <v/>
      </c>
      <c r="BN162" s="40">
        <f>IF(AND(T162&gt;0,AS162&gt;0),T162*AS162,"")</f>
        <v/>
      </c>
      <c r="BO162" s="40">
        <f>IF(AND(T162&gt;0,AV162&lt;&gt;""),T162*AV162,"")</f>
        <v/>
      </c>
      <c r="BP162" s="40">
        <f>IF(AND(T162&gt;0,BA162&lt;&gt;""),T162*BA162,"")</f>
        <v/>
      </c>
      <c r="BQ162" s="40">
        <f>IF(AND(T162&gt;0,BD162&lt;&gt;""),T162*BD162,"")</f>
        <v/>
      </c>
      <c r="BR162" s="46">
        <f>IF(AND(T162&gt;0,V162&gt;0,AA162&lt;&gt;0),V162/AA162-T162,"")</f>
        <v/>
      </c>
      <c r="BS162" s="41">
        <f>IF(AND(BR162&lt;&gt;"",T162&gt;0),BR162/T162,"")</f>
        <v/>
      </c>
      <c r="BT162" s="46">
        <f>IF(AND(T162&gt;0,V162&gt;0,AO162&lt;&gt;0),V162/AO162-T162,"")</f>
        <v/>
      </c>
      <c r="BU162" s="41">
        <f>IF(AND(BT162&lt;&gt;"",T162&gt;0),BT162/T162,"")</f>
        <v/>
      </c>
    </row>
    <row r="163">
      <c r="A163" s="36">
        <f>'📊 Исходные данные'!A162</f>
        <v/>
      </c>
      <c r="B163" s="37">
        <f>'📊 Исходные данные'!B162</f>
        <v/>
      </c>
      <c r="C163" s="38">
        <f>'📊 Исходные данные'!C162</f>
        <v/>
      </c>
      <c r="D163" s="38">
        <f>'📊 Исходные данные'!D162</f>
        <v/>
      </c>
      <c r="E163" s="39">
        <f>IF(OR(D163="",F163=""),"-",IF(D163&gt;F163*1.05,"Выше рынка",IF(D163&lt;F163*0.95,"Ниже рынка","На уровне")))</f>
        <v/>
      </c>
      <c r="F163" s="40">
        <f>IFERROR(AVERAGE('📊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G163" s="40">
        <f>IFERROR(MEDIAN('📊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H163" s="40">
        <f>IFERROR(MIN('📊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I163" s="40">
        <f>IFERROR(MAX('📊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данные'!K162),"")</f>
        <v/>
      </c>
      <c r="J163" s="41">
        <f>IF(AND(D163&lt;&gt;"",F163&lt;&gt;""),(D163-F163)/F163,"")</f>
        <v/>
      </c>
      <c r="K163" s="41">
        <f>IF(AND(D163&lt;&gt;"",G163&lt;&gt;""),(D163-G163)/G163,"")</f>
        <v/>
      </c>
      <c r="L163" s="41">
        <f>IF(AND(D163&lt;&gt;"",H163&lt;&gt;""),(D163-H163)/H163,"")</f>
        <v/>
      </c>
      <c r="M163" s="42">
        <f>IFERROR(RANK(D163,('📊 Исходные данные'!E162,'📊 Исходные данные'!F162,'📊 Исходные данные'!G162,'📊 Исходные данные'!H162,'📊 Исходные данные'!I162,'📊 Исходные данные'!J162,'📊 Исходные данные'!K162)),"")</f>
        <v/>
      </c>
      <c r="N163" s="39">
        <f>IF(M163="","-",IF(M163=1,"Дороже всех",IF(M163=2,"2-й по цене",IF(M163&lt;=4,"Средний","Ниже конкурентов"))))</f>
        <v/>
      </c>
      <c r="O163" s="41">
        <f>IF(AND(C163&gt;0,D163&gt;0),(D163-C163)/C163,"")</f>
        <v/>
      </c>
      <c r="P163" s="41">
        <f>IF(AND(C163&gt;0,D163&gt;0),(D163-C163)/D163,"")</f>
        <v/>
      </c>
      <c r="Q163" s="40">
        <f>IF(AND(C163&gt;0,D163&gt;0),D163-C163,"")</f>
        <v/>
      </c>
      <c r="R163" s="39">
        <f>IF(P163="","-",IF(P163&lt;0.1,"Низкая(&lt;10%)",IF(P163&lt;0.2,"Средняя(10-20%)","Хорошая(&gt;20%)")))</f>
        <v/>
      </c>
      <c r="S163" s="39">
        <f>IF(OR(H163="",C163=""),"-",IF((H163-C163)/H163&lt;0.05,"КРИТИЧНО",IF((H163-C163)/H163&lt;0.15,"УМЕРЕННЫЙ","НИЗКИЙ")))</f>
        <v/>
      </c>
      <c r="T163" s="43" t="n"/>
      <c r="U163" s="40">
        <f>IF(T163&gt;0,T163*D163,"")</f>
        <v/>
      </c>
      <c r="V163" s="40">
        <f>IF(T163&gt;0,T163*Q163,"")</f>
        <v/>
      </c>
      <c r="W163" s="41">
        <f>IF(U163&gt;0,V163/U163,"")</f>
        <v/>
      </c>
      <c r="X163" s="40">
        <f>IF(F163&lt;&gt;"",F163,"")</f>
        <v/>
      </c>
      <c r="Y163" s="41">
        <f>IF(AND(X163&lt;&gt;"",C163&gt;0),(X163-C163)/C163,"")</f>
        <v/>
      </c>
      <c r="Z163" s="41">
        <f>IF(AND(X163&lt;&gt;"",X163&gt;0),(X163-C163)/X163,"")</f>
        <v/>
      </c>
      <c r="AA163" s="40">
        <f>IF(AND(X163&lt;&gt;"",C163&gt;0),X163-C163,"")</f>
        <v/>
      </c>
      <c r="AB163" s="41">
        <f>IF(AND(X163&lt;&gt;"",D163&gt;0),(X163-D163)/D163,"")</f>
        <v/>
      </c>
      <c r="AC163" s="41">
        <f>IF(AND(Z163&lt;&gt;"",P163&lt;&gt;""),(Z163-P163)/ABS(IF(P163=0,1,P163)),"")</f>
        <v/>
      </c>
      <c r="AD163" s="40">
        <f>IF(AND(AA163&lt;&gt;"",Q163&lt;&gt;""),AA163-Q163,"")</f>
        <v/>
      </c>
      <c r="AE163" s="40">
        <f>IF(G163&lt;&gt;"",G163,"")</f>
        <v/>
      </c>
      <c r="AF163" s="41">
        <f>IF(AND(AE163&lt;&gt;"",C163&gt;0),(AE163-C163)/C163,"")</f>
        <v/>
      </c>
      <c r="AG163" s="41">
        <f>IF(AND(AE163&lt;&gt;"",AE163&gt;0),(AE163-C163)/AE163,"")</f>
        <v/>
      </c>
      <c r="AH163" s="40">
        <f>IF(AND(AE163&lt;&gt;"",C163&gt;0),AE163-C163,"")</f>
        <v/>
      </c>
      <c r="AI163" s="41">
        <f>IF(AND(AE163&lt;&gt;"",D163&gt;0),(AE163-D163)/D163,"")</f>
        <v/>
      </c>
      <c r="AJ163" s="41">
        <f>IF(AND(AG163&lt;&gt;"",P163&lt;&gt;""),(AG163-P163)/ABS(IF(P163=0,1,P163)),"")</f>
        <v/>
      </c>
      <c r="AK163" s="40">
        <f>IF(AND(AH163&lt;&gt;"",Q163&lt;&gt;""),AH163-Q163,"")</f>
        <v/>
      </c>
      <c r="AL163" s="40">
        <f>IF(H163&lt;&gt;"",H163,"")</f>
        <v/>
      </c>
      <c r="AM163" s="41">
        <f>IF(AND(AL163&lt;&gt;"",C163&gt;0),(AL163-C163)/C163,"")</f>
        <v/>
      </c>
      <c r="AN163" s="41">
        <f>IF(AND(AL163&lt;&gt;"",AL163&gt;0),(AL163-C163)/AL163,"")</f>
        <v/>
      </c>
      <c r="AO163" s="40">
        <f>IF(AND(AL163&lt;&gt;"",C163&gt;0),AL163-C163,"")</f>
        <v/>
      </c>
      <c r="AP163" s="41">
        <f>IF(AND(AL163&lt;&gt;"",D163&gt;0),(AL163-D163)/D163,"")</f>
        <v/>
      </c>
      <c r="AQ163" s="41">
        <f>IF(AND(AN163&lt;&gt;"",P163&lt;&gt;""),(AN163-P163)/ABS(IF(P163=0,1,P163)),"")</f>
        <v/>
      </c>
      <c r="AR163" s="40">
        <f>IF(AND(AO163&lt;&gt;"",Q163&lt;&gt;""),AO163-Q163,"")</f>
        <v/>
      </c>
      <c r="AS163" s="44" t="n"/>
      <c r="AT163" s="41">
        <f>IF(AND(AS163&gt;0,C163&gt;0),(AS163-C163)/C163,"")</f>
        <v/>
      </c>
      <c r="AU163" s="41">
        <f>IF(AND(AS163&gt;0,AS163&gt;0),(AS163-C163)/AS163,"")</f>
        <v/>
      </c>
      <c r="AV163" s="40">
        <f>IF(AND(AS163&gt;0,C163&gt;0),AS163-C163,"")</f>
        <v/>
      </c>
      <c r="AW163" s="41">
        <f>IF(AND(AS163&gt;0,D163&gt;0),(AS163-D163)/D163,"")</f>
        <v/>
      </c>
      <c r="AX163" s="41">
        <f>IF(AND(AU163&lt;&gt;"",P163&lt;&gt;""),(AU163-P163)/ABS(IF(P163=0,1,P163)),"")</f>
        <v/>
      </c>
      <c r="AY163" s="40">
        <f>IF(AND(AV163&lt;&gt;"",Q163&lt;&gt;""),AV163-Q163,"")</f>
        <v/>
      </c>
      <c r="AZ163" s="45" t="n"/>
      <c r="BA163" s="40">
        <f>IF(AND(AZ163&gt;0,C163&gt;0),C163/(1-AZ163),"")</f>
        <v/>
      </c>
      <c r="BB163" s="41">
        <f>IF(AND(BA163&lt;&gt;"",C163&gt;0),(BA163-C163)/C163,"")</f>
        <v/>
      </c>
      <c r="BC163" s="41">
        <f>IF(BA163&lt;&gt;"",AZ163,"")</f>
        <v/>
      </c>
      <c r="BD163" s="40">
        <f>IF(AND(BA163&lt;&gt;"",C163&gt;0),BA163-C163,"")</f>
        <v/>
      </c>
      <c r="BE163" s="41">
        <f>IF(AND(BA163&lt;&gt;"",D163&gt;0),(BA163-D163)/D163,"")</f>
        <v/>
      </c>
      <c r="BF163" s="41">
        <f>IF(AND(BC163&lt;&gt;"",P163&lt;&gt;""),(BC163-P163)/ABS(IF(P163=0,1,P163)),"")</f>
        <v/>
      </c>
      <c r="BG163" s="40">
        <f>IF(AND(BD163&lt;&gt;"",Q163&lt;&gt;""),BD163-Q163,"")</f>
        <v/>
      </c>
      <c r="BH163" s="40">
        <f>IF(AND(T163&gt;0,X163&lt;&gt;""),T163*X163,"")</f>
        <v/>
      </c>
      <c r="BI163" s="40">
        <f>IF(AND(T163&gt;0,AA163&lt;&gt;""),T163*AA163,"")</f>
        <v/>
      </c>
      <c r="BJ163" s="40">
        <f>IF(AND(T163&gt;0,AE163&lt;&gt;""),T163*AE163,"")</f>
        <v/>
      </c>
      <c r="BK163" s="40">
        <f>IF(AND(T163&gt;0,AH163&lt;&gt;""),T163*AH163,"")</f>
        <v/>
      </c>
      <c r="BL163" s="40">
        <f>IF(AND(T163&gt;0,AL163&lt;&gt;""),T163*AL163,"")</f>
        <v/>
      </c>
      <c r="BM163" s="40">
        <f>IF(AND(T163&gt;0,AO163&lt;&gt;""),T163*AO163,"")</f>
        <v/>
      </c>
      <c r="BN163" s="40">
        <f>IF(AND(T163&gt;0,AS163&gt;0),T163*AS163,"")</f>
        <v/>
      </c>
      <c r="BO163" s="40">
        <f>IF(AND(T163&gt;0,AV163&lt;&gt;""),T163*AV163,"")</f>
        <v/>
      </c>
      <c r="BP163" s="40">
        <f>IF(AND(T163&gt;0,BA163&lt;&gt;""),T163*BA163,"")</f>
        <v/>
      </c>
      <c r="BQ163" s="40">
        <f>IF(AND(T163&gt;0,BD163&lt;&gt;""),T163*BD163,"")</f>
        <v/>
      </c>
      <c r="BR163" s="46">
        <f>IF(AND(T163&gt;0,V163&gt;0,AA163&lt;&gt;0),V163/AA163-T163,"")</f>
        <v/>
      </c>
      <c r="BS163" s="41">
        <f>IF(AND(BR163&lt;&gt;"",T163&gt;0),BR163/T163,"")</f>
        <v/>
      </c>
      <c r="BT163" s="46">
        <f>IF(AND(T163&gt;0,V163&gt;0,AO163&lt;&gt;0),V163/AO163-T163,"")</f>
        <v/>
      </c>
      <c r="BU163" s="41">
        <f>IF(AND(BT163&lt;&gt;"",T163&gt;0),BT163/T163,"")</f>
        <v/>
      </c>
    </row>
    <row r="164">
      <c r="A164" s="36">
        <f>'📊 Исходные данные'!A163</f>
        <v/>
      </c>
      <c r="B164" s="37">
        <f>'📊 Исходные данные'!B163</f>
        <v/>
      </c>
      <c r="C164" s="38">
        <f>'📊 Исходные данные'!C163</f>
        <v/>
      </c>
      <c r="D164" s="38">
        <f>'📊 Исходные данные'!D163</f>
        <v/>
      </c>
      <c r="E164" s="39">
        <f>IF(OR(D164="",F164=""),"-",IF(D164&gt;F164*1.05,"Выше рынка",IF(D164&lt;F164*0.95,"Ниже рынка","На уровне")))</f>
        <v/>
      </c>
      <c r="F164" s="40">
        <f>IFERROR(AVERAGE('📊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G164" s="40">
        <f>IFERROR(MEDIAN('📊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H164" s="40">
        <f>IFERROR(MIN('📊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I164" s="40">
        <f>IFERROR(MAX('📊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данные'!K163),"")</f>
        <v/>
      </c>
      <c r="J164" s="41">
        <f>IF(AND(D164&lt;&gt;"",F164&lt;&gt;""),(D164-F164)/F164,"")</f>
        <v/>
      </c>
      <c r="K164" s="41">
        <f>IF(AND(D164&lt;&gt;"",G164&lt;&gt;""),(D164-G164)/G164,"")</f>
        <v/>
      </c>
      <c r="L164" s="41">
        <f>IF(AND(D164&lt;&gt;"",H164&lt;&gt;""),(D164-H164)/H164,"")</f>
        <v/>
      </c>
      <c r="M164" s="42">
        <f>IFERROR(RANK(D164,('📊 Исходные данные'!E163,'📊 Исходные данные'!F163,'📊 Исходные данные'!G163,'📊 Исходные данные'!H163,'📊 Исходные данные'!I163,'📊 Исходные данные'!J163,'📊 Исходные данные'!K163)),"")</f>
        <v/>
      </c>
      <c r="N164" s="39">
        <f>IF(M164="","-",IF(M164=1,"Дороже всех",IF(M164=2,"2-й по цене",IF(M164&lt;=4,"Средний","Ниже конкурентов"))))</f>
        <v/>
      </c>
      <c r="O164" s="41">
        <f>IF(AND(C164&gt;0,D164&gt;0),(D164-C164)/C164,"")</f>
        <v/>
      </c>
      <c r="P164" s="41">
        <f>IF(AND(C164&gt;0,D164&gt;0),(D164-C164)/D164,"")</f>
        <v/>
      </c>
      <c r="Q164" s="40">
        <f>IF(AND(C164&gt;0,D164&gt;0),D164-C164,"")</f>
        <v/>
      </c>
      <c r="R164" s="39">
        <f>IF(P164="","-",IF(P164&lt;0.1,"Низкая(&lt;10%)",IF(P164&lt;0.2,"Средняя(10-20%)","Хорошая(&gt;20%)")))</f>
        <v/>
      </c>
      <c r="S164" s="39">
        <f>IF(OR(H164="",C164=""),"-",IF((H164-C164)/H164&lt;0.05,"КРИТИЧНО",IF((H164-C164)/H164&lt;0.15,"УМЕРЕННЫЙ","НИЗКИЙ")))</f>
        <v/>
      </c>
      <c r="T164" s="43" t="n"/>
      <c r="U164" s="40">
        <f>IF(T164&gt;0,T164*D164,"")</f>
        <v/>
      </c>
      <c r="V164" s="40">
        <f>IF(T164&gt;0,T164*Q164,"")</f>
        <v/>
      </c>
      <c r="W164" s="41">
        <f>IF(U164&gt;0,V164/U164,"")</f>
        <v/>
      </c>
      <c r="X164" s="40">
        <f>IF(F164&lt;&gt;"",F164,"")</f>
        <v/>
      </c>
      <c r="Y164" s="41">
        <f>IF(AND(X164&lt;&gt;"",C164&gt;0),(X164-C164)/C164,"")</f>
        <v/>
      </c>
      <c r="Z164" s="41">
        <f>IF(AND(X164&lt;&gt;"",X164&gt;0),(X164-C164)/X164,"")</f>
        <v/>
      </c>
      <c r="AA164" s="40">
        <f>IF(AND(X164&lt;&gt;"",C164&gt;0),X164-C164,"")</f>
        <v/>
      </c>
      <c r="AB164" s="41">
        <f>IF(AND(X164&lt;&gt;"",D164&gt;0),(X164-D164)/D164,"")</f>
        <v/>
      </c>
      <c r="AC164" s="41">
        <f>IF(AND(Z164&lt;&gt;"",P164&lt;&gt;""),(Z164-P164)/ABS(IF(P164=0,1,P164)),"")</f>
        <v/>
      </c>
      <c r="AD164" s="40">
        <f>IF(AND(AA164&lt;&gt;"",Q164&lt;&gt;""),AA164-Q164,"")</f>
        <v/>
      </c>
      <c r="AE164" s="40">
        <f>IF(G164&lt;&gt;"",G164,"")</f>
        <v/>
      </c>
      <c r="AF164" s="41">
        <f>IF(AND(AE164&lt;&gt;"",C164&gt;0),(AE164-C164)/C164,"")</f>
        <v/>
      </c>
      <c r="AG164" s="41">
        <f>IF(AND(AE164&lt;&gt;"",AE164&gt;0),(AE164-C164)/AE164,"")</f>
        <v/>
      </c>
      <c r="AH164" s="40">
        <f>IF(AND(AE164&lt;&gt;"",C164&gt;0),AE164-C164,"")</f>
        <v/>
      </c>
      <c r="AI164" s="41">
        <f>IF(AND(AE164&lt;&gt;"",D164&gt;0),(AE164-D164)/D164,"")</f>
        <v/>
      </c>
      <c r="AJ164" s="41">
        <f>IF(AND(AG164&lt;&gt;"",P164&lt;&gt;""),(AG164-P164)/ABS(IF(P164=0,1,P164)),"")</f>
        <v/>
      </c>
      <c r="AK164" s="40">
        <f>IF(AND(AH164&lt;&gt;"",Q164&lt;&gt;""),AH164-Q164,"")</f>
        <v/>
      </c>
      <c r="AL164" s="40">
        <f>IF(H164&lt;&gt;"",H164,"")</f>
        <v/>
      </c>
      <c r="AM164" s="41">
        <f>IF(AND(AL164&lt;&gt;"",C164&gt;0),(AL164-C164)/C164,"")</f>
        <v/>
      </c>
      <c r="AN164" s="41">
        <f>IF(AND(AL164&lt;&gt;"",AL164&gt;0),(AL164-C164)/AL164,"")</f>
        <v/>
      </c>
      <c r="AO164" s="40">
        <f>IF(AND(AL164&lt;&gt;"",C164&gt;0),AL164-C164,"")</f>
        <v/>
      </c>
      <c r="AP164" s="41">
        <f>IF(AND(AL164&lt;&gt;"",D164&gt;0),(AL164-D164)/D164,"")</f>
        <v/>
      </c>
      <c r="AQ164" s="41">
        <f>IF(AND(AN164&lt;&gt;"",P164&lt;&gt;""),(AN164-P164)/ABS(IF(P164=0,1,P164)),"")</f>
        <v/>
      </c>
      <c r="AR164" s="40">
        <f>IF(AND(AO164&lt;&gt;"",Q164&lt;&gt;""),AO164-Q164,"")</f>
        <v/>
      </c>
      <c r="AS164" s="44" t="n"/>
      <c r="AT164" s="41">
        <f>IF(AND(AS164&gt;0,C164&gt;0),(AS164-C164)/C164,"")</f>
        <v/>
      </c>
      <c r="AU164" s="41">
        <f>IF(AND(AS164&gt;0,AS164&gt;0),(AS164-C164)/AS164,"")</f>
        <v/>
      </c>
      <c r="AV164" s="40">
        <f>IF(AND(AS164&gt;0,C164&gt;0),AS164-C164,"")</f>
        <v/>
      </c>
      <c r="AW164" s="41">
        <f>IF(AND(AS164&gt;0,D164&gt;0),(AS164-D164)/D164,"")</f>
        <v/>
      </c>
      <c r="AX164" s="41">
        <f>IF(AND(AU164&lt;&gt;"",P164&lt;&gt;""),(AU164-P164)/ABS(IF(P164=0,1,P164)),"")</f>
        <v/>
      </c>
      <c r="AY164" s="40">
        <f>IF(AND(AV164&lt;&gt;"",Q164&lt;&gt;""),AV164-Q164,"")</f>
        <v/>
      </c>
      <c r="AZ164" s="45" t="n"/>
      <c r="BA164" s="40">
        <f>IF(AND(AZ164&gt;0,C164&gt;0),C164/(1-AZ164),"")</f>
        <v/>
      </c>
      <c r="BB164" s="41">
        <f>IF(AND(BA164&lt;&gt;"",C164&gt;0),(BA164-C164)/C164,"")</f>
        <v/>
      </c>
      <c r="BC164" s="41">
        <f>IF(BA164&lt;&gt;"",AZ164,"")</f>
        <v/>
      </c>
      <c r="BD164" s="40">
        <f>IF(AND(BA164&lt;&gt;"",C164&gt;0),BA164-C164,"")</f>
        <v/>
      </c>
      <c r="BE164" s="41">
        <f>IF(AND(BA164&lt;&gt;"",D164&gt;0),(BA164-D164)/D164,"")</f>
        <v/>
      </c>
      <c r="BF164" s="41">
        <f>IF(AND(BC164&lt;&gt;"",P164&lt;&gt;""),(BC164-P164)/ABS(IF(P164=0,1,P164)),"")</f>
        <v/>
      </c>
      <c r="BG164" s="40">
        <f>IF(AND(BD164&lt;&gt;"",Q164&lt;&gt;""),BD164-Q164,"")</f>
        <v/>
      </c>
      <c r="BH164" s="40">
        <f>IF(AND(T164&gt;0,X164&lt;&gt;""),T164*X164,"")</f>
        <v/>
      </c>
      <c r="BI164" s="40">
        <f>IF(AND(T164&gt;0,AA164&lt;&gt;""),T164*AA164,"")</f>
        <v/>
      </c>
      <c r="BJ164" s="40">
        <f>IF(AND(T164&gt;0,AE164&lt;&gt;""),T164*AE164,"")</f>
        <v/>
      </c>
      <c r="BK164" s="40">
        <f>IF(AND(T164&gt;0,AH164&lt;&gt;""),T164*AH164,"")</f>
        <v/>
      </c>
      <c r="BL164" s="40">
        <f>IF(AND(T164&gt;0,AL164&lt;&gt;""),T164*AL164,"")</f>
        <v/>
      </c>
      <c r="BM164" s="40">
        <f>IF(AND(T164&gt;0,AO164&lt;&gt;""),T164*AO164,"")</f>
        <v/>
      </c>
      <c r="BN164" s="40">
        <f>IF(AND(T164&gt;0,AS164&gt;0),T164*AS164,"")</f>
        <v/>
      </c>
      <c r="BO164" s="40">
        <f>IF(AND(T164&gt;0,AV164&lt;&gt;""),T164*AV164,"")</f>
        <v/>
      </c>
      <c r="BP164" s="40">
        <f>IF(AND(T164&gt;0,BA164&lt;&gt;""),T164*BA164,"")</f>
        <v/>
      </c>
      <c r="BQ164" s="40">
        <f>IF(AND(T164&gt;0,BD164&lt;&gt;""),T164*BD164,"")</f>
        <v/>
      </c>
      <c r="BR164" s="46">
        <f>IF(AND(T164&gt;0,V164&gt;0,AA164&lt;&gt;0),V164/AA164-T164,"")</f>
        <v/>
      </c>
      <c r="BS164" s="41">
        <f>IF(AND(BR164&lt;&gt;"",T164&gt;0),BR164/T164,"")</f>
        <v/>
      </c>
      <c r="BT164" s="46">
        <f>IF(AND(T164&gt;0,V164&gt;0,AO164&lt;&gt;0),V164/AO164-T164,"")</f>
        <v/>
      </c>
      <c r="BU164" s="41">
        <f>IF(AND(BT164&lt;&gt;"",T164&gt;0),BT164/T164,"")</f>
        <v/>
      </c>
    </row>
    <row r="165">
      <c r="A165" s="36">
        <f>'📊 Исходные данные'!A164</f>
        <v/>
      </c>
      <c r="B165" s="37">
        <f>'📊 Исходные данные'!B164</f>
        <v/>
      </c>
      <c r="C165" s="38">
        <f>'📊 Исходные данные'!C164</f>
        <v/>
      </c>
      <c r="D165" s="38">
        <f>'📊 Исходные данные'!D164</f>
        <v/>
      </c>
      <c r="E165" s="39">
        <f>IF(OR(D165="",F165=""),"-",IF(D165&gt;F165*1.05,"Выше рынка",IF(D165&lt;F165*0.95,"Ниже рынка","На уровне")))</f>
        <v/>
      </c>
      <c r="F165" s="40">
        <f>IFERROR(AVERAGE('📊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G165" s="40">
        <f>IFERROR(MEDIAN('📊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H165" s="40">
        <f>IFERROR(MIN('📊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I165" s="40">
        <f>IFERROR(MAX('📊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данные'!K164),"")</f>
        <v/>
      </c>
      <c r="J165" s="41">
        <f>IF(AND(D165&lt;&gt;"",F165&lt;&gt;""),(D165-F165)/F165,"")</f>
        <v/>
      </c>
      <c r="K165" s="41">
        <f>IF(AND(D165&lt;&gt;"",G165&lt;&gt;""),(D165-G165)/G165,"")</f>
        <v/>
      </c>
      <c r="L165" s="41">
        <f>IF(AND(D165&lt;&gt;"",H165&lt;&gt;""),(D165-H165)/H165,"")</f>
        <v/>
      </c>
      <c r="M165" s="42">
        <f>IFERROR(RANK(D165,('📊 Исходные данные'!E164,'📊 Исходные данные'!F164,'📊 Исходные данные'!G164,'📊 Исходные данные'!H164,'📊 Исходные данные'!I164,'📊 Исходные данные'!J164,'📊 Исходные данные'!K164)),"")</f>
        <v/>
      </c>
      <c r="N165" s="39">
        <f>IF(M165="","-",IF(M165=1,"Дороже всех",IF(M165=2,"2-й по цене",IF(M165&lt;=4,"Средний","Ниже конкурентов"))))</f>
        <v/>
      </c>
      <c r="O165" s="41">
        <f>IF(AND(C165&gt;0,D165&gt;0),(D165-C165)/C165,"")</f>
        <v/>
      </c>
      <c r="P165" s="41">
        <f>IF(AND(C165&gt;0,D165&gt;0),(D165-C165)/D165,"")</f>
        <v/>
      </c>
      <c r="Q165" s="40">
        <f>IF(AND(C165&gt;0,D165&gt;0),D165-C165,"")</f>
        <v/>
      </c>
      <c r="R165" s="39">
        <f>IF(P165="","-",IF(P165&lt;0.1,"Низкая(&lt;10%)",IF(P165&lt;0.2,"Средняя(10-20%)","Хорошая(&gt;20%)")))</f>
        <v/>
      </c>
      <c r="S165" s="39">
        <f>IF(OR(H165="",C165=""),"-",IF((H165-C165)/H165&lt;0.05,"КРИТИЧНО",IF((H165-C165)/H165&lt;0.15,"УМЕРЕННЫЙ","НИЗКИЙ")))</f>
        <v/>
      </c>
      <c r="T165" s="43" t="n"/>
      <c r="U165" s="40">
        <f>IF(T165&gt;0,T165*D165,"")</f>
        <v/>
      </c>
      <c r="V165" s="40">
        <f>IF(T165&gt;0,T165*Q165,"")</f>
        <v/>
      </c>
      <c r="W165" s="41">
        <f>IF(U165&gt;0,V165/U165,"")</f>
        <v/>
      </c>
      <c r="X165" s="40">
        <f>IF(F165&lt;&gt;"",F165,"")</f>
        <v/>
      </c>
      <c r="Y165" s="41">
        <f>IF(AND(X165&lt;&gt;"",C165&gt;0),(X165-C165)/C165,"")</f>
        <v/>
      </c>
      <c r="Z165" s="41">
        <f>IF(AND(X165&lt;&gt;"",X165&gt;0),(X165-C165)/X165,"")</f>
        <v/>
      </c>
      <c r="AA165" s="40">
        <f>IF(AND(X165&lt;&gt;"",C165&gt;0),X165-C165,"")</f>
        <v/>
      </c>
      <c r="AB165" s="41">
        <f>IF(AND(X165&lt;&gt;"",D165&gt;0),(X165-D165)/D165,"")</f>
        <v/>
      </c>
      <c r="AC165" s="41">
        <f>IF(AND(Z165&lt;&gt;"",P165&lt;&gt;""),(Z165-P165)/ABS(IF(P165=0,1,P165)),"")</f>
        <v/>
      </c>
      <c r="AD165" s="40">
        <f>IF(AND(AA165&lt;&gt;"",Q165&lt;&gt;""),AA165-Q165,"")</f>
        <v/>
      </c>
      <c r="AE165" s="40">
        <f>IF(G165&lt;&gt;"",G165,"")</f>
        <v/>
      </c>
      <c r="AF165" s="41">
        <f>IF(AND(AE165&lt;&gt;"",C165&gt;0),(AE165-C165)/C165,"")</f>
        <v/>
      </c>
      <c r="AG165" s="41">
        <f>IF(AND(AE165&lt;&gt;"",AE165&gt;0),(AE165-C165)/AE165,"")</f>
        <v/>
      </c>
      <c r="AH165" s="40">
        <f>IF(AND(AE165&lt;&gt;"",C165&gt;0),AE165-C165,"")</f>
        <v/>
      </c>
      <c r="AI165" s="41">
        <f>IF(AND(AE165&lt;&gt;"",D165&gt;0),(AE165-D165)/D165,"")</f>
        <v/>
      </c>
      <c r="AJ165" s="41">
        <f>IF(AND(AG165&lt;&gt;"",P165&lt;&gt;""),(AG165-P165)/ABS(IF(P165=0,1,P165)),"")</f>
        <v/>
      </c>
      <c r="AK165" s="40">
        <f>IF(AND(AH165&lt;&gt;"",Q165&lt;&gt;""),AH165-Q165,"")</f>
        <v/>
      </c>
      <c r="AL165" s="40">
        <f>IF(H165&lt;&gt;"",H165,"")</f>
        <v/>
      </c>
      <c r="AM165" s="41">
        <f>IF(AND(AL165&lt;&gt;"",C165&gt;0),(AL165-C165)/C165,"")</f>
        <v/>
      </c>
      <c r="AN165" s="41">
        <f>IF(AND(AL165&lt;&gt;"",AL165&gt;0),(AL165-C165)/AL165,"")</f>
        <v/>
      </c>
      <c r="AO165" s="40">
        <f>IF(AND(AL165&lt;&gt;"",C165&gt;0),AL165-C165,"")</f>
        <v/>
      </c>
      <c r="AP165" s="41">
        <f>IF(AND(AL165&lt;&gt;"",D165&gt;0),(AL165-D165)/D165,"")</f>
        <v/>
      </c>
      <c r="AQ165" s="41">
        <f>IF(AND(AN165&lt;&gt;"",P165&lt;&gt;""),(AN165-P165)/ABS(IF(P165=0,1,P165)),"")</f>
        <v/>
      </c>
      <c r="AR165" s="40">
        <f>IF(AND(AO165&lt;&gt;"",Q165&lt;&gt;""),AO165-Q165,"")</f>
        <v/>
      </c>
      <c r="AS165" s="44" t="n"/>
      <c r="AT165" s="41">
        <f>IF(AND(AS165&gt;0,C165&gt;0),(AS165-C165)/C165,"")</f>
        <v/>
      </c>
      <c r="AU165" s="41">
        <f>IF(AND(AS165&gt;0,AS165&gt;0),(AS165-C165)/AS165,"")</f>
        <v/>
      </c>
      <c r="AV165" s="40">
        <f>IF(AND(AS165&gt;0,C165&gt;0),AS165-C165,"")</f>
        <v/>
      </c>
      <c r="AW165" s="41">
        <f>IF(AND(AS165&gt;0,D165&gt;0),(AS165-D165)/D165,"")</f>
        <v/>
      </c>
      <c r="AX165" s="41">
        <f>IF(AND(AU165&lt;&gt;"",P165&lt;&gt;""),(AU165-P165)/ABS(IF(P165=0,1,P165)),"")</f>
        <v/>
      </c>
      <c r="AY165" s="40">
        <f>IF(AND(AV165&lt;&gt;"",Q165&lt;&gt;""),AV165-Q165,"")</f>
        <v/>
      </c>
      <c r="AZ165" s="45" t="n"/>
      <c r="BA165" s="40">
        <f>IF(AND(AZ165&gt;0,C165&gt;0),C165/(1-AZ165),"")</f>
        <v/>
      </c>
      <c r="BB165" s="41">
        <f>IF(AND(BA165&lt;&gt;"",C165&gt;0),(BA165-C165)/C165,"")</f>
        <v/>
      </c>
      <c r="BC165" s="41">
        <f>IF(BA165&lt;&gt;"",AZ165,"")</f>
        <v/>
      </c>
      <c r="BD165" s="40">
        <f>IF(AND(BA165&lt;&gt;"",C165&gt;0),BA165-C165,"")</f>
        <v/>
      </c>
      <c r="BE165" s="41">
        <f>IF(AND(BA165&lt;&gt;"",D165&gt;0),(BA165-D165)/D165,"")</f>
        <v/>
      </c>
      <c r="BF165" s="41">
        <f>IF(AND(BC165&lt;&gt;"",P165&lt;&gt;""),(BC165-P165)/ABS(IF(P165=0,1,P165)),"")</f>
        <v/>
      </c>
      <c r="BG165" s="40">
        <f>IF(AND(BD165&lt;&gt;"",Q165&lt;&gt;""),BD165-Q165,"")</f>
        <v/>
      </c>
      <c r="BH165" s="40">
        <f>IF(AND(T165&gt;0,X165&lt;&gt;""),T165*X165,"")</f>
        <v/>
      </c>
      <c r="BI165" s="40">
        <f>IF(AND(T165&gt;0,AA165&lt;&gt;""),T165*AA165,"")</f>
        <v/>
      </c>
      <c r="BJ165" s="40">
        <f>IF(AND(T165&gt;0,AE165&lt;&gt;""),T165*AE165,"")</f>
        <v/>
      </c>
      <c r="BK165" s="40">
        <f>IF(AND(T165&gt;0,AH165&lt;&gt;""),T165*AH165,"")</f>
        <v/>
      </c>
      <c r="BL165" s="40">
        <f>IF(AND(T165&gt;0,AL165&lt;&gt;""),T165*AL165,"")</f>
        <v/>
      </c>
      <c r="BM165" s="40">
        <f>IF(AND(T165&gt;0,AO165&lt;&gt;""),T165*AO165,"")</f>
        <v/>
      </c>
      <c r="BN165" s="40">
        <f>IF(AND(T165&gt;0,AS165&gt;0),T165*AS165,"")</f>
        <v/>
      </c>
      <c r="BO165" s="40">
        <f>IF(AND(T165&gt;0,AV165&lt;&gt;""),T165*AV165,"")</f>
        <v/>
      </c>
      <c r="BP165" s="40">
        <f>IF(AND(T165&gt;0,BA165&lt;&gt;""),T165*BA165,"")</f>
        <v/>
      </c>
      <c r="BQ165" s="40">
        <f>IF(AND(T165&gt;0,BD165&lt;&gt;""),T165*BD165,"")</f>
        <v/>
      </c>
      <c r="BR165" s="46">
        <f>IF(AND(T165&gt;0,V165&gt;0,AA165&lt;&gt;0),V165/AA165-T165,"")</f>
        <v/>
      </c>
      <c r="BS165" s="41">
        <f>IF(AND(BR165&lt;&gt;"",T165&gt;0),BR165/T165,"")</f>
        <v/>
      </c>
      <c r="BT165" s="46">
        <f>IF(AND(T165&gt;0,V165&gt;0,AO165&lt;&gt;0),V165/AO165-T165,"")</f>
        <v/>
      </c>
      <c r="BU165" s="41">
        <f>IF(AND(BT165&lt;&gt;"",T165&gt;0),BT165/T165,"")</f>
        <v/>
      </c>
    </row>
    <row r="166">
      <c r="A166" s="36">
        <f>'📊 Исходные данные'!A165</f>
        <v/>
      </c>
      <c r="B166" s="37">
        <f>'📊 Исходные данные'!B165</f>
        <v/>
      </c>
      <c r="C166" s="38">
        <f>'📊 Исходные данные'!C165</f>
        <v/>
      </c>
      <c r="D166" s="38">
        <f>'📊 Исходные данные'!D165</f>
        <v/>
      </c>
      <c r="E166" s="39">
        <f>IF(OR(D166="",F166=""),"-",IF(D166&gt;F166*1.05,"Выше рынка",IF(D166&lt;F166*0.95,"Ниже рынка","На уровне")))</f>
        <v/>
      </c>
      <c r="F166" s="40">
        <f>IFERROR(AVERAGE('📊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G166" s="40">
        <f>IFERROR(MEDIAN('📊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H166" s="40">
        <f>IFERROR(MIN('📊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I166" s="40">
        <f>IFERROR(MAX('📊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данные'!K165),"")</f>
        <v/>
      </c>
      <c r="J166" s="41">
        <f>IF(AND(D166&lt;&gt;"",F166&lt;&gt;""),(D166-F166)/F166,"")</f>
        <v/>
      </c>
      <c r="K166" s="41">
        <f>IF(AND(D166&lt;&gt;"",G166&lt;&gt;""),(D166-G166)/G166,"")</f>
        <v/>
      </c>
      <c r="L166" s="41">
        <f>IF(AND(D166&lt;&gt;"",H166&lt;&gt;""),(D166-H166)/H166,"")</f>
        <v/>
      </c>
      <c r="M166" s="42">
        <f>IFERROR(RANK(D166,('📊 Исходные данные'!E165,'📊 Исходные данные'!F165,'📊 Исходные данные'!G165,'📊 Исходные данные'!H165,'📊 Исходные данные'!I165,'📊 Исходные данные'!J165,'📊 Исходные данные'!K165)),"")</f>
        <v/>
      </c>
      <c r="N166" s="39">
        <f>IF(M166="","-",IF(M166=1,"Дороже всех",IF(M166=2,"2-й по цене",IF(M166&lt;=4,"Средний","Ниже конкурентов"))))</f>
        <v/>
      </c>
      <c r="O166" s="41">
        <f>IF(AND(C166&gt;0,D166&gt;0),(D166-C166)/C166,"")</f>
        <v/>
      </c>
      <c r="P166" s="41">
        <f>IF(AND(C166&gt;0,D166&gt;0),(D166-C166)/D166,"")</f>
        <v/>
      </c>
      <c r="Q166" s="40">
        <f>IF(AND(C166&gt;0,D166&gt;0),D166-C166,"")</f>
        <v/>
      </c>
      <c r="R166" s="39">
        <f>IF(P166="","-",IF(P166&lt;0.1,"Низкая(&lt;10%)",IF(P166&lt;0.2,"Средняя(10-20%)","Хорошая(&gt;20%)")))</f>
        <v/>
      </c>
      <c r="S166" s="39">
        <f>IF(OR(H166="",C166=""),"-",IF((H166-C166)/H166&lt;0.05,"КРИТИЧНО",IF((H166-C166)/H166&lt;0.15,"УМЕРЕННЫЙ","НИЗКИЙ")))</f>
        <v/>
      </c>
      <c r="T166" s="43" t="n"/>
      <c r="U166" s="40">
        <f>IF(T166&gt;0,T166*D166,"")</f>
        <v/>
      </c>
      <c r="V166" s="40">
        <f>IF(T166&gt;0,T166*Q166,"")</f>
        <v/>
      </c>
      <c r="W166" s="41">
        <f>IF(U166&gt;0,V166/U166,"")</f>
        <v/>
      </c>
      <c r="X166" s="40">
        <f>IF(F166&lt;&gt;"",F166,"")</f>
        <v/>
      </c>
      <c r="Y166" s="41">
        <f>IF(AND(X166&lt;&gt;"",C166&gt;0),(X166-C166)/C166,"")</f>
        <v/>
      </c>
      <c r="Z166" s="41">
        <f>IF(AND(X166&lt;&gt;"",X166&gt;0),(X166-C166)/X166,"")</f>
        <v/>
      </c>
      <c r="AA166" s="40">
        <f>IF(AND(X166&lt;&gt;"",C166&gt;0),X166-C166,"")</f>
        <v/>
      </c>
      <c r="AB166" s="41">
        <f>IF(AND(X166&lt;&gt;"",D166&gt;0),(X166-D166)/D166,"")</f>
        <v/>
      </c>
      <c r="AC166" s="41">
        <f>IF(AND(Z166&lt;&gt;"",P166&lt;&gt;""),(Z166-P166)/ABS(IF(P166=0,1,P166)),"")</f>
        <v/>
      </c>
      <c r="AD166" s="40">
        <f>IF(AND(AA166&lt;&gt;"",Q166&lt;&gt;""),AA166-Q166,"")</f>
        <v/>
      </c>
      <c r="AE166" s="40">
        <f>IF(G166&lt;&gt;"",G166,"")</f>
        <v/>
      </c>
      <c r="AF166" s="41">
        <f>IF(AND(AE166&lt;&gt;"",C166&gt;0),(AE166-C166)/C166,"")</f>
        <v/>
      </c>
      <c r="AG166" s="41">
        <f>IF(AND(AE166&lt;&gt;"",AE166&gt;0),(AE166-C166)/AE166,"")</f>
        <v/>
      </c>
      <c r="AH166" s="40">
        <f>IF(AND(AE166&lt;&gt;"",C166&gt;0),AE166-C166,"")</f>
        <v/>
      </c>
      <c r="AI166" s="41">
        <f>IF(AND(AE166&lt;&gt;"",D166&gt;0),(AE166-D166)/D166,"")</f>
        <v/>
      </c>
      <c r="AJ166" s="41">
        <f>IF(AND(AG166&lt;&gt;"",P166&lt;&gt;""),(AG166-P166)/ABS(IF(P166=0,1,P166)),"")</f>
        <v/>
      </c>
      <c r="AK166" s="40">
        <f>IF(AND(AH166&lt;&gt;"",Q166&lt;&gt;""),AH166-Q166,"")</f>
        <v/>
      </c>
      <c r="AL166" s="40">
        <f>IF(H166&lt;&gt;"",H166,"")</f>
        <v/>
      </c>
      <c r="AM166" s="41">
        <f>IF(AND(AL166&lt;&gt;"",C166&gt;0),(AL166-C166)/C166,"")</f>
        <v/>
      </c>
      <c r="AN166" s="41">
        <f>IF(AND(AL166&lt;&gt;"",AL166&gt;0),(AL166-C166)/AL166,"")</f>
        <v/>
      </c>
      <c r="AO166" s="40">
        <f>IF(AND(AL166&lt;&gt;"",C166&gt;0),AL166-C166,"")</f>
        <v/>
      </c>
      <c r="AP166" s="41">
        <f>IF(AND(AL166&lt;&gt;"",D166&gt;0),(AL166-D166)/D166,"")</f>
        <v/>
      </c>
      <c r="AQ166" s="41">
        <f>IF(AND(AN166&lt;&gt;"",P166&lt;&gt;""),(AN166-P166)/ABS(IF(P166=0,1,P166)),"")</f>
        <v/>
      </c>
      <c r="AR166" s="40">
        <f>IF(AND(AO166&lt;&gt;"",Q166&lt;&gt;""),AO166-Q166,"")</f>
        <v/>
      </c>
      <c r="AS166" s="44" t="n"/>
      <c r="AT166" s="41">
        <f>IF(AND(AS166&gt;0,C166&gt;0),(AS166-C166)/C166,"")</f>
        <v/>
      </c>
      <c r="AU166" s="41">
        <f>IF(AND(AS166&gt;0,AS166&gt;0),(AS166-C166)/AS166,"")</f>
        <v/>
      </c>
      <c r="AV166" s="40">
        <f>IF(AND(AS166&gt;0,C166&gt;0),AS166-C166,"")</f>
        <v/>
      </c>
      <c r="AW166" s="41">
        <f>IF(AND(AS166&gt;0,D166&gt;0),(AS166-D166)/D166,"")</f>
        <v/>
      </c>
      <c r="AX166" s="41">
        <f>IF(AND(AU166&lt;&gt;"",P166&lt;&gt;""),(AU166-P166)/ABS(IF(P166=0,1,P166)),"")</f>
        <v/>
      </c>
      <c r="AY166" s="40">
        <f>IF(AND(AV166&lt;&gt;"",Q166&lt;&gt;""),AV166-Q166,"")</f>
        <v/>
      </c>
      <c r="AZ166" s="45" t="n"/>
      <c r="BA166" s="40">
        <f>IF(AND(AZ166&gt;0,C166&gt;0),C166/(1-AZ166),"")</f>
        <v/>
      </c>
      <c r="BB166" s="41">
        <f>IF(AND(BA166&lt;&gt;"",C166&gt;0),(BA166-C166)/C166,"")</f>
        <v/>
      </c>
      <c r="BC166" s="41">
        <f>IF(BA166&lt;&gt;"",AZ166,"")</f>
        <v/>
      </c>
      <c r="BD166" s="40">
        <f>IF(AND(BA166&lt;&gt;"",C166&gt;0),BA166-C166,"")</f>
        <v/>
      </c>
      <c r="BE166" s="41">
        <f>IF(AND(BA166&lt;&gt;"",D166&gt;0),(BA166-D166)/D166,"")</f>
        <v/>
      </c>
      <c r="BF166" s="41">
        <f>IF(AND(BC166&lt;&gt;"",P166&lt;&gt;""),(BC166-P166)/ABS(IF(P166=0,1,P166)),"")</f>
        <v/>
      </c>
      <c r="BG166" s="40">
        <f>IF(AND(BD166&lt;&gt;"",Q166&lt;&gt;""),BD166-Q166,"")</f>
        <v/>
      </c>
      <c r="BH166" s="40">
        <f>IF(AND(T166&gt;0,X166&lt;&gt;""),T166*X166,"")</f>
        <v/>
      </c>
      <c r="BI166" s="40">
        <f>IF(AND(T166&gt;0,AA166&lt;&gt;""),T166*AA166,"")</f>
        <v/>
      </c>
      <c r="BJ166" s="40">
        <f>IF(AND(T166&gt;0,AE166&lt;&gt;""),T166*AE166,"")</f>
        <v/>
      </c>
      <c r="BK166" s="40">
        <f>IF(AND(T166&gt;0,AH166&lt;&gt;""),T166*AH166,"")</f>
        <v/>
      </c>
      <c r="BL166" s="40">
        <f>IF(AND(T166&gt;0,AL166&lt;&gt;""),T166*AL166,"")</f>
        <v/>
      </c>
      <c r="BM166" s="40">
        <f>IF(AND(T166&gt;0,AO166&lt;&gt;""),T166*AO166,"")</f>
        <v/>
      </c>
      <c r="BN166" s="40">
        <f>IF(AND(T166&gt;0,AS166&gt;0),T166*AS166,"")</f>
        <v/>
      </c>
      <c r="BO166" s="40">
        <f>IF(AND(T166&gt;0,AV166&lt;&gt;""),T166*AV166,"")</f>
        <v/>
      </c>
      <c r="BP166" s="40">
        <f>IF(AND(T166&gt;0,BA166&lt;&gt;""),T166*BA166,"")</f>
        <v/>
      </c>
      <c r="BQ166" s="40">
        <f>IF(AND(T166&gt;0,BD166&lt;&gt;""),T166*BD166,"")</f>
        <v/>
      </c>
      <c r="BR166" s="46">
        <f>IF(AND(T166&gt;0,V166&gt;0,AA166&lt;&gt;0),V166/AA166-T166,"")</f>
        <v/>
      </c>
      <c r="BS166" s="41">
        <f>IF(AND(BR166&lt;&gt;"",T166&gt;0),BR166/T166,"")</f>
        <v/>
      </c>
      <c r="BT166" s="46">
        <f>IF(AND(T166&gt;0,V166&gt;0,AO166&lt;&gt;0),V166/AO166-T166,"")</f>
        <v/>
      </c>
      <c r="BU166" s="41">
        <f>IF(AND(BT166&lt;&gt;"",T166&gt;0),BT166/T166,"")</f>
        <v/>
      </c>
    </row>
    <row r="167">
      <c r="A167" s="36">
        <f>'📊 Исходные данные'!A166</f>
        <v/>
      </c>
      <c r="B167" s="37">
        <f>'📊 Исходные данные'!B166</f>
        <v/>
      </c>
      <c r="C167" s="38">
        <f>'📊 Исходные данные'!C166</f>
        <v/>
      </c>
      <c r="D167" s="38">
        <f>'📊 Исходные данные'!D166</f>
        <v/>
      </c>
      <c r="E167" s="39">
        <f>IF(OR(D167="",F167=""),"-",IF(D167&gt;F167*1.05,"Выше рынка",IF(D167&lt;F167*0.95,"Ниже рынка","На уровне")))</f>
        <v/>
      </c>
      <c r="F167" s="40">
        <f>IFERROR(AVERAGE('📊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G167" s="40">
        <f>IFERROR(MEDIAN('📊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H167" s="40">
        <f>IFERROR(MIN('📊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I167" s="40">
        <f>IFERROR(MAX('📊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данные'!K166),"")</f>
        <v/>
      </c>
      <c r="J167" s="41">
        <f>IF(AND(D167&lt;&gt;"",F167&lt;&gt;""),(D167-F167)/F167,"")</f>
        <v/>
      </c>
      <c r="K167" s="41">
        <f>IF(AND(D167&lt;&gt;"",G167&lt;&gt;""),(D167-G167)/G167,"")</f>
        <v/>
      </c>
      <c r="L167" s="41">
        <f>IF(AND(D167&lt;&gt;"",H167&lt;&gt;""),(D167-H167)/H167,"")</f>
        <v/>
      </c>
      <c r="M167" s="42">
        <f>IFERROR(RANK(D167,('📊 Исходные данные'!E166,'📊 Исходные данные'!F166,'📊 Исходные данные'!G166,'📊 Исходные данные'!H166,'📊 Исходные данные'!I166,'📊 Исходные данные'!J166,'📊 Исходные данные'!K166)),"")</f>
        <v/>
      </c>
      <c r="N167" s="39">
        <f>IF(M167="","-",IF(M167=1,"Дороже всех",IF(M167=2,"2-й по цене",IF(M167&lt;=4,"Средний","Ниже конкурентов"))))</f>
        <v/>
      </c>
      <c r="O167" s="41">
        <f>IF(AND(C167&gt;0,D167&gt;0),(D167-C167)/C167,"")</f>
        <v/>
      </c>
      <c r="P167" s="41">
        <f>IF(AND(C167&gt;0,D167&gt;0),(D167-C167)/D167,"")</f>
        <v/>
      </c>
      <c r="Q167" s="40">
        <f>IF(AND(C167&gt;0,D167&gt;0),D167-C167,"")</f>
        <v/>
      </c>
      <c r="R167" s="39">
        <f>IF(P167="","-",IF(P167&lt;0.1,"Низкая(&lt;10%)",IF(P167&lt;0.2,"Средняя(10-20%)","Хорошая(&gt;20%)")))</f>
        <v/>
      </c>
      <c r="S167" s="39">
        <f>IF(OR(H167="",C167=""),"-",IF((H167-C167)/H167&lt;0.05,"КРИТИЧНО",IF((H167-C167)/H167&lt;0.15,"УМЕРЕННЫЙ","НИЗКИЙ")))</f>
        <v/>
      </c>
      <c r="T167" s="43" t="n"/>
      <c r="U167" s="40">
        <f>IF(T167&gt;0,T167*D167,"")</f>
        <v/>
      </c>
      <c r="V167" s="40">
        <f>IF(T167&gt;0,T167*Q167,"")</f>
        <v/>
      </c>
      <c r="W167" s="41">
        <f>IF(U167&gt;0,V167/U167,"")</f>
        <v/>
      </c>
      <c r="X167" s="40">
        <f>IF(F167&lt;&gt;"",F167,"")</f>
        <v/>
      </c>
      <c r="Y167" s="41">
        <f>IF(AND(X167&lt;&gt;"",C167&gt;0),(X167-C167)/C167,"")</f>
        <v/>
      </c>
      <c r="Z167" s="41">
        <f>IF(AND(X167&lt;&gt;"",X167&gt;0),(X167-C167)/X167,"")</f>
        <v/>
      </c>
      <c r="AA167" s="40">
        <f>IF(AND(X167&lt;&gt;"",C167&gt;0),X167-C167,"")</f>
        <v/>
      </c>
      <c r="AB167" s="41">
        <f>IF(AND(X167&lt;&gt;"",D167&gt;0),(X167-D167)/D167,"")</f>
        <v/>
      </c>
      <c r="AC167" s="41">
        <f>IF(AND(Z167&lt;&gt;"",P167&lt;&gt;""),(Z167-P167)/ABS(IF(P167=0,1,P167)),"")</f>
        <v/>
      </c>
      <c r="AD167" s="40">
        <f>IF(AND(AA167&lt;&gt;"",Q167&lt;&gt;""),AA167-Q167,"")</f>
        <v/>
      </c>
      <c r="AE167" s="40">
        <f>IF(G167&lt;&gt;"",G167,"")</f>
        <v/>
      </c>
      <c r="AF167" s="41">
        <f>IF(AND(AE167&lt;&gt;"",C167&gt;0),(AE167-C167)/C167,"")</f>
        <v/>
      </c>
      <c r="AG167" s="41">
        <f>IF(AND(AE167&lt;&gt;"",AE167&gt;0),(AE167-C167)/AE167,"")</f>
        <v/>
      </c>
      <c r="AH167" s="40">
        <f>IF(AND(AE167&lt;&gt;"",C167&gt;0),AE167-C167,"")</f>
        <v/>
      </c>
      <c r="AI167" s="41">
        <f>IF(AND(AE167&lt;&gt;"",D167&gt;0),(AE167-D167)/D167,"")</f>
        <v/>
      </c>
      <c r="AJ167" s="41">
        <f>IF(AND(AG167&lt;&gt;"",P167&lt;&gt;""),(AG167-P167)/ABS(IF(P167=0,1,P167)),"")</f>
        <v/>
      </c>
      <c r="AK167" s="40">
        <f>IF(AND(AH167&lt;&gt;"",Q167&lt;&gt;""),AH167-Q167,"")</f>
        <v/>
      </c>
      <c r="AL167" s="40">
        <f>IF(H167&lt;&gt;"",H167,"")</f>
        <v/>
      </c>
      <c r="AM167" s="41">
        <f>IF(AND(AL167&lt;&gt;"",C167&gt;0),(AL167-C167)/C167,"")</f>
        <v/>
      </c>
      <c r="AN167" s="41">
        <f>IF(AND(AL167&lt;&gt;"",AL167&gt;0),(AL167-C167)/AL167,"")</f>
        <v/>
      </c>
      <c r="AO167" s="40">
        <f>IF(AND(AL167&lt;&gt;"",C167&gt;0),AL167-C167,"")</f>
        <v/>
      </c>
      <c r="AP167" s="41">
        <f>IF(AND(AL167&lt;&gt;"",D167&gt;0),(AL167-D167)/D167,"")</f>
        <v/>
      </c>
      <c r="AQ167" s="41">
        <f>IF(AND(AN167&lt;&gt;"",P167&lt;&gt;""),(AN167-P167)/ABS(IF(P167=0,1,P167)),"")</f>
        <v/>
      </c>
      <c r="AR167" s="40">
        <f>IF(AND(AO167&lt;&gt;"",Q167&lt;&gt;""),AO167-Q167,"")</f>
        <v/>
      </c>
      <c r="AS167" s="44" t="n"/>
      <c r="AT167" s="41">
        <f>IF(AND(AS167&gt;0,C167&gt;0),(AS167-C167)/C167,"")</f>
        <v/>
      </c>
      <c r="AU167" s="41">
        <f>IF(AND(AS167&gt;0,AS167&gt;0),(AS167-C167)/AS167,"")</f>
        <v/>
      </c>
      <c r="AV167" s="40">
        <f>IF(AND(AS167&gt;0,C167&gt;0),AS167-C167,"")</f>
        <v/>
      </c>
      <c r="AW167" s="41">
        <f>IF(AND(AS167&gt;0,D167&gt;0),(AS167-D167)/D167,"")</f>
        <v/>
      </c>
      <c r="AX167" s="41">
        <f>IF(AND(AU167&lt;&gt;"",P167&lt;&gt;""),(AU167-P167)/ABS(IF(P167=0,1,P167)),"")</f>
        <v/>
      </c>
      <c r="AY167" s="40">
        <f>IF(AND(AV167&lt;&gt;"",Q167&lt;&gt;""),AV167-Q167,"")</f>
        <v/>
      </c>
      <c r="AZ167" s="45" t="n"/>
      <c r="BA167" s="40">
        <f>IF(AND(AZ167&gt;0,C167&gt;0),C167/(1-AZ167),"")</f>
        <v/>
      </c>
      <c r="BB167" s="41">
        <f>IF(AND(BA167&lt;&gt;"",C167&gt;0),(BA167-C167)/C167,"")</f>
        <v/>
      </c>
      <c r="BC167" s="41">
        <f>IF(BA167&lt;&gt;"",AZ167,"")</f>
        <v/>
      </c>
      <c r="BD167" s="40">
        <f>IF(AND(BA167&lt;&gt;"",C167&gt;0),BA167-C167,"")</f>
        <v/>
      </c>
      <c r="BE167" s="41">
        <f>IF(AND(BA167&lt;&gt;"",D167&gt;0),(BA167-D167)/D167,"")</f>
        <v/>
      </c>
      <c r="BF167" s="41">
        <f>IF(AND(BC167&lt;&gt;"",P167&lt;&gt;""),(BC167-P167)/ABS(IF(P167=0,1,P167)),"")</f>
        <v/>
      </c>
      <c r="BG167" s="40">
        <f>IF(AND(BD167&lt;&gt;"",Q167&lt;&gt;""),BD167-Q167,"")</f>
        <v/>
      </c>
      <c r="BH167" s="40">
        <f>IF(AND(T167&gt;0,X167&lt;&gt;""),T167*X167,"")</f>
        <v/>
      </c>
      <c r="BI167" s="40">
        <f>IF(AND(T167&gt;0,AA167&lt;&gt;""),T167*AA167,"")</f>
        <v/>
      </c>
      <c r="BJ167" s="40">
        <f>IF(AND(T167&gt;0,AE167&lt;&gt;""),T167*AE167,"")</f>
        <v/>
      </c>
      <c r="BK167" s="40">
        <f>IF(AND(T167&gt;0,AH167&lt;&gt;""),T167*AH167,"")</f>
        <v/>
      </c>
      <c r="BL167" s="40">
        <f>IF(AND(T167&gt;0,AL167&lt;&gt;""),T167*AL167,"")</f>
        <v/>
      </c>
      <c r="BM167" s="40">
        <f>IF(AND(T167&gt;0,AO167&lt;&gt;""),T167*AO167,"")</f>
        <v/>
      </c>
      <c r="BN167" s="40">
        <f>IF(AND(T167&gt;0,AS167&gt;0),T167*AS167,"")</f>
        <v/>
      </c>
      <c r="BO167" s="40">
        <f>IF(AND(T167&gt;0,AV167&lt;&gt;""),T167*AV167,"")</f>
        <v/>
      </c>
      <c r="BP167" s="40">
        <f>IF(AND(T167&gt;0,BA167&lt;&gt;""),T167*BA167,"")</f>
        <v/>
      </c>
      <c r="BQ167" s="40">
        <f>IF(AND(T167&gt;0,BD167&lt;&gt;""),T167*BD167,"")</f>
        <v/>
      </c>
      <c r="BR167" s="46">
        <f>IF(AND(T167&gt;0,V167&gt;0,AA167&lt;&gt;0),V167/AA167-T167,"")</f>
        <v/>
      </c>
      <c r="BS167" s="41">
        <f>IF(AND(BR167&lt;&gt;"",T167&gt;0),BR167/T167,"")</f>
        <v/>
      </c>
      <c r="BT167" s="46">
        <f>IF(AND(T167&gt;0,V167&gt;0,AO167&lt;&gt;0),V167/AO167-T167,"")</f>
        <v/>
      </c>
      <c r="BU167" s="41">
        <f>IF(AND(BT167&lt;&gt;"",T167&gt;0),BT167/T167,"")</f>
        <v/>
      </c>
    </row>
    <row r="168">
      <c r="A168" s="36">
        <f>'📊 Исходные данные'!A167</f>
        <v/>
      </c>
      <c r="B168" s="37">
        <f>'📊 Исходные данные'!B167</f>
        <v/>
      </c>
      <c r="C168" s="38">
        <f>'📊 Исходные данные'!C167</f>
        <v/>
      </c>
      <c r="D168" s="38">
        <f>'📊 Исходные данные'!D167</f>
        <v/>
      </c>
      <c r="E168" s="39">
        <f>IF(OR(D168="",F168=""),"-",IF(D168&gt;F168*1.05,"Выше рынка",IF(D168&lt;F168*0.95,"Ниже рынка","На уровне")))</f>
        <v/>
      </c>
      <c r="F168" s="40">
        <f>IFERROR(AVERAGE('📊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G168" s="40">
        <f>IFERROR(MEDIAN('📊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H168" s="40">
        <f>IFERROR(MIN('📊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I168" s="40">
        <f>IFERROR(MAX('📊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данные'!K167),"")</f>
        <v/>
      </c>
      <c r="J168" s="41">
        <f>IF(AND(D168&lt;&gt;"",F168&lt;&gt;""),(D168-F168)/F168,"")</f>
        <v/>
      </c>
      <c r="K168" s="41">
        <f>IF(AND(D168&lt;&gt;"",G168&lt;&gt;""),(D168-G168)/G168,"")</f>
        <v/>
      </c>
      <c r="L168" s="41">
        <f>IF(AND(D168&lt;&gt;"",H168&lt;&gt;""),(D168-H168)/H168,"")</f>
        <v/>
      </c>
      <c r="M168" s="42">
        <f>IFERROR(RANK(D168,('📊 Исходные данные'!E167,'📊 Исходные данные'!F167,'📊 Исходные данные'!G167,'📊 Исходные данные'!H167,'📊 Исходные данные'!I167,'📊 Исходные данные'!J167,'📊 Исходные данные'!K167)),"")</f>
        <v/>
      </c>
      <c r="N168" s="39">
        <f>IF(M168="","-",IF(M168=1,"Дороже всех",IF(M168=2,"2-й по цене",IF(M168&lt;=4,"Средний","Ниже конкурентов"))))</f>
        <v/>
      </c>
      <c r="O168" s="41">
        <f>IF(AND(C168&gt;0,D168&gt;0),(D168-C168)/C168,"")</f>
        <v/>
      </c>
      <c r="P168" s="41">
        <f>IF(AND(C168&gt;0,D168&gt;0),(D168-C168)/D168,"")</f>
        <v/>
      </c>
      <c r="Q168" s="40">
        <f>IF(AND(C168&gt;0,D168&gt;0),D168-C168,"")</f>
        <v/>
      </c>
      <c r="R168" s="39">
        <f>IF(P168="","-",IF(P168&lt;0.1,"Низкая(&lt;10%)",IF(P168&lt;0.2,"Средняя(10-20%)","Хорошая(&gt;20%)")))</f>
        <v/>
      </c>
      <c r="S168" s="39">
        <f>IF(OR(H168="",C168=""),"-",IF((H168-C168)/H168&lt;0.05,"КРИТИЧНО",IF((H168-C168)/H168&lt;0.15,"УМЕРЕННЫЙ","НИЗКИЙ")))</f>
        <v/>
      </c>
      <c r="T168" s="43" t="n"/>
      <c r="U168" s="40">
        <f>IF(T168&gt;0,T168*D168,"")</f>
        <v/>
      </c>
      <c r="V168" s="40">
        <f>IF(T168&gt;0,T168*Q168,"")</f>
        <v/>
      </c>
      <c r="W168" s="41">
        <f>IF(U168&gt;0,V168/U168,"")</f>
        <v/>
      </c>
      <c r="X168" s="40">
        <f>IF(F168&lt;&gt;"",F168,"")</f>
        <v/>
      </c>
      <c r="Y168" s="41">
        <f>IF(AND(X168&lt;&gt;"",C168&gt;0),(X168-C168)/C168,"")</f>
        <v/>
      </c>
      <c r="Z168" s="41">
        <f>IF(AND(X168&lt;&gt;"",X168&gt;0),(X168-C168)/X168,"")</f>
        <v/>
      </c>
      <c r="AA168" s="40">
        <f>IF(AND(X168&lt;&gt;"",C168&gt;0),X168-C168,"")</f>
        <v/>
      </c>
      <c r="AB168" s="41">
        <f>IF(AND(X168&lt;&gt;"",D168&gt;0),(X168-D168)/D168,"")</f>
        <v/>
      </c>
      <c r="AC168" s="41">
        <f>IF(AND(Z168&lt;&gt;"",P168&lt;&gt;""),(Z168-P168)/ABS(IF(P168=0,1,P168)),"")</f>
        <v/>
      </c>
      <c r="AD168" s="40">
        <f>IF(AND(AA168&lt;&gt;"",Q168&lt;&gt;""),AA168-Q168,"")</f>
        <v/>
      </c>
      <c r="AE168" s="40">
        <f>IF(G168&lt;&gt;"",G168,"")</f>
        <v/>
      </c>
      <c r="AF168" s="41">
        <f>IF(AND(AE168&lt;&gt;"",C168&gt;0),(AE168-C168)/C168,"")</f>
        <v/>
      </c>
      <c r="AG168" s="41">
        <f>IF(AND(AE168&lt;&gt;"",AE168&gt;0),(AE168-C168)/AE168,"")</f>
        <v/>
      </c>
      <c r="AH168" s="40">
        <f>IF(AND(AE168&lt;&gt;"",C168&gt;0),AE168-C168,"")</f>
        <v/>
      </c>
      <c r="AI168" s="41">
        <f>IF(AND(AE168&lt;&gt;"",D168&gt;0),(AE168-D168)/D168,"")</f>
        <v/>
      </c>
      <c r="AJ168" s="41">
        <f>IF(AND(AG168&lt;&gt;"",P168&lt;&gt;""),(AG168-P168)/ABS(IF(P168=0,1,P168)),"")</f>
        <v/>
      </c>
      <c r="AK168" s="40">
        <f>IF(AND(AH168&lt;&gt;"",Q168&lt;&gt;""),AH168-Q168,"")</f>
        <v/>
      </c>
      <c r="AL168" s="40">
        <f>IF(H168&lt;&gt;"",H168,"")</f>
        <v/>
      </c>
      <c r="AM168" s="41">
        <f>IF(AND(AL168&lt;&gt;"",C168&gt;0),(AL168-C168)/C168,"")</f>
        <v/>
      </c>
      <c r="AN168" s="41">
        <f>IF(AND(AL168&lt;&gt;"",AL168&gt;0),(AL168-C168)/AL168,"")</f>
        <v/>
      </c>
      <c r="AO168" s="40">
        <f>IF(AND(AL168&lt;&gt;"",C168&gt;0),AL168-C168,"")</f>
        <v/>
      </c>
      <c r="AP168" s="41">
        <f>IF(AND(AL168&lt;&gt;"",D168&gt;0),(AL168-D168)/D168,"")</f>
        <v/>
      </c>
      <c r="AQ168" s="41">
        <f>IF(AND(AN168&lt;&gt;"",P168&lt;&gt;""),(AN168-P168)/ABS(IF(P168=0,1,P168)),"")</f>
        <v/>
      </c>
      <c r="AR168" s="40">
        <f>IF(AND(AO168&lt;&gt;"",Q168&lt;&gt;""),AO168-Q168,"")</f>
        <v/>
      </c>
      <c r="AS168" s="44" t="n"/>
      <c r="AT168" s="41">
        <f>IF(AND(AS168&gt;0,C168&gt;0),(AS168-C168)/C168,"")</f>
        <v/>
      </c>
      <c r="AU168" s="41">
        <f>IF(AND(AS168&gt;0,AS168&gt;0),(AS168-C168)/AS168,"")</f>
        <v/>
      </c>
      <c r="AV168" s="40">
        <f>IF(AND(AS168&gt;0,C168&gt;0),AS168-C168,"")</f>
        <v/>
      </c>
      <c r="AW168" s="41">
        <f>IF(AND(AS168&gt;0,D168&gt;0),(AS168-D168)/D168,"")</f>
        <v/>
      </c>
      <c r="AX168" s="41">
        <f>IF(AND(AU168&lt;&gt;"",P168&lt;&gt;""),(AU168-P168)/ABS(IF(P168=0,1,P168)),"")</f>
        <v/>
      </c>
      <c r="AY168" s="40">
        <f>IF(AND(AV168&lt;&gt;"",Q168&lt;&gt;""),AV168-Q168,"")</f>
        <v/>
      </c>
      <c r="AZ168" s="45" t="n"/>
      <c r="BA168" s="40">
        <f>IF(AND(AZ168&gt;0,C168&gt;0),C168/(1-AZ168),"")</f>
        <v/>
      </c>
      <c r="BB168" s="41">
        <f>IF(AND(BA168&lt;&gt;"",C168&gt;0),(BA168-C168)/C168,"")</f>
        <v/>
      </c>
      <c r="BC168" s="41">
        <f>IF(BA168&lt;&gt;"",AZ168,"")</f>
        <v/>
      </c>
      <c r="BD168" s="40">
        <f>IF(AND(BA168&lt;&gt;"",C168&gt;0),BA168-C168,"")</f>
        <v/>
      </c>
      <c r="BE168" s="41">
        <f>IF(AND(BA168&lt;&gt;"",D168&gt;0),(BA168-D168)/D168,"")</f>
        <v/>
      </c>
      <c r="BF168" s="41">
        <f>IF(AND(BC168&lt;&gt;"",P168&lt;&gt;""),(BC168-P168)/ABS(IF(P168=0,1,P168)),"")</f>
        <v/>
      </c>
      <c r="BG168" s="40">
        <f>IF(AND(BD168&lt;&gt;"",Q168&lt;&gt;""),BD168-Q168,"")</f>
        <v/>
      </c>
      <c r="BH168" s="40">
        <f>IF(AND(T168&gt;0,X168&lt;&gt;""),T168*X168,"")</f>
        <v/>
      </c>
      <c r="BI168" s="40">
        <f>IF(AND(T168&gt;0,AA168&lt;&gt;""),T168*AA168,"")</f>
        <v/>
      </c>
      <c r="BJ168" s="40">
        <f>IF(AND(T168&gt;0,AE168&lt;&gt;""),T168*AE168,"")</f>
        <v/>
      </c>
      <c r="BK168" s="40">
        <f>IF(AND(T168&gt;0,AH168&lt;&gt;""),T168*AH168,"")</f>
        <v/>
      </c>
      <c r="BL168" s="40">
        <f>IF(AND(T168&gt;0,AL168&lt;&gt;""),T168*AL168,"")</f>
        <v/>
      </c>
      <c r="BM168" s="40">
        <f>IF(AND(T168&gt;0,AO168&lt;&gt;""),T168*AO168,"")</f>
        <v/>
      </c>
      <c r="BN168" s="40">
        <f>IF(AND(T168&gt;0,AS168&gt;0),T168*AS168,"")</f>
        <v/>
      </c>
      <c r="BO168" s="40">
        <f>IF(AND(T168&gt;0,AV168&lt;&gt;""),T168*AV168,"")</f>
        <v/>
      </c>
      <c r="BP168" s="40">
        <f>IF(AND(T168&gt;0,BA168&lt;&gt;""),T168*BA168,"")</f>
        <v/>
      </c>
      <c r="BQ168" s="40">
        <f>IF(AND(T168&gt;0,BD168&lt;&gt;""),T168*BD168,"")</f>
        <v/>
      </c>
      <c r="BR168" s="46">
        <f>IF(AND(T168&gt;0,V168&gt;0,AA168&lt;&gt;0),V168/AA168-T168,"")</f>
        <v/>
      </c>
      <c r="BS168" s="41">
        <f>IF(AND(BR168&lt;&gt;"",T168&gt;0),BR168/T168,"")</f>
        <v/>
      </c>
      <c r="BT168" s="46">
        <f>IF(AND(T168&gt;0,V168&gt;0,AO168&lt;&gt;0),V168/AO168-T168,"")</f>
        <v/>
      </c>
      <c r="BU168" s="41">
        <f>IF(AND(BT168&lt;&gt;"",T168&gt;0),BT168/T168,"")</f>
        <v/>
      </c>
    </row>
    <row r="169">
      <c r="A169" s="36">
        <f>'📊 Исходные данные'!A168</f>
        <v/>
      </c>
      <c r="B169" s="37">
        <f>'📊 Исходные данные'!B168</f>
        <v/>
      </c>
      <c r="C169" s="38">
        <f>'📊 Исходные данные'!C168</f>
        <v/>
      </c>
      <c r="D169" s="38">
        <f>'📊 Исходные данные'!D168</f>
        <v/>
      </c>
      <c r="E169" s="39">
        <f>IF(OR(D169="",F169=""),"-",IF(D169&gt;F169*1.05,"Выше рынка",IF(D169&lt;F169*0.95,"Ниже рынка","На уровне")))</f>
        <v/>
      </c>
      <c r="F169" s="40">
        <f>IFERROR(AVERAGE('📊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G169" s="40">
        <f>IFERROR(MEDIAN('📊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H169" s="40">
        <f>IFERROR(MIN('📊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I169" s="40">
        <f>IFERROR(MAX('📊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данные'!K168),"")</f>
        <v/>
      </c>
      <c r="J169" s="41">
        <f>IF(AND(D169&lt;&gt;"",F169&lt;&gt;""),(D169-F169)/F169,"")</f>
        <v/>
      </c>
      <c r="K169" s="41">
        <f>IF(AND(D169&lt;&gt;"",G169&lt;&gt;""),(D169-G169)/G169,"")</f>
        <v/>
      </c>
      <c r="L169" s="41">
        <f>IF(AND(D169&lt;&gt;"",H169&lt;&gt;""),(D169-H169)/H169,"")</f>
        <v/>
      </c>
      <c r="M169" s="42">
        <f>IFERROR(RANK(D169,('📊 Исходные данные'!E168,'📊 Исходные данные'!F168,'📊 Исходные данные'!G168,'📊 Исходные данные'!H168,'📊 Исходные данные'!I168,'📊 Исходные данные'!J168,'📊 Исходные данные'!K168)),"")</f>
        <v/>
      </c>
      <c r="N169" s="39">
        <f>IF(M169="","-",IF(M169=1,"Дороже всех",IF(M169=2,"2-й по цене",IF(M169&lt;=4,"Средний","Ниже конкурентов"))))</f>
        <v/>
      </c>
      <c r="O169" s="41">
        <f>IF(AND(C169&gt;0,D169&gt;0),(D169-C169)/C169,"")</f>
        <v/>
      </c>
      <c r="P169" s="41">
        <f>IF(AND(C169&gt;0,D169&gt;0),(D169-C169)/D169,"")</f>
        <v/>
      </c>
      <c r="Q169" s="40">
        <f>IF(AND(C169&gt;0,D169&gt;0),D169-C169,"")</f>
        <v/>
      </c>
      <c r="R169" s="39">
        <f>IF(P169="","-",IF(P169&lt;0.1,"Низкая(&lt;10%)",IF(P169&lt;0.2,"Средняя(10-20%)","Хорошая(&gt;20%)")))</f>
        <v/>
      </c>
      <c r="S169" s="39">
        <f>IF(OR(H169="",C169=""),"-",IF((H169-C169)/H169&lt;0.05,"КРИТИЧНО",IF((H169-C169)/H169&lt;0.15,"УМЕРЕННЫЙ","НИЗКИЙ")))</f>
        <v/>
      </c>
      <c r="T169" s="43" t="n"/>
      <c r="U169" s="40">
        <f>IF(T169&gt;0,T169*D169,"")</f>
        <v/>
      </c>
      <c r="V169" s="40">
        <f>IF(T169&gt;0,T169*Q169,"")</f>
        <v/>
      </c>
      <c r="W169" s="41">
        <f>IF(U169&gt;0,V169/U169,"")</f>
        <v/>
      </c>
      <c r="X169" s="40">
        <f>IF(F169&lt;&gt;"",F169,"")</f>
        <v/>
      </c>
      <c r="Y169" s="41">
        <f>IF(AND(X169&lt;&gt;"",C169&gt;0),(X169-C169)/C169,"")</f>
        <v/>
      </c>
      <c r="Z169" s="41">
        <f>IF(AND(X169&lt;&gt;"",X169&gt;0),(X169-C169)/X169,"")</f>
        <v/>
      </c>
      <c r="AA169" s="40">
        <f>IF(AND(X169&lt;&gt;"",C169&gt;0),X169-C169,"")</f>
        <v/>
      </c>
      <c r="AB169" s="41">
        <f>IF(AND(X169&lt;&gt;"",D169&gt;0),(X169-D169)/D169,"")</f>
        <v/>
      </c>
      <c r="AC169" s="41">
        <f>IF(AND(Z169&lt;&gt;"",P169&lt;&gt;""),(Z169-P169)/ABS(IF(P169=0,1,P169)),"")</f>
        <v/>
      </c>
      <c r="AD169" s="40">
        <f>IF(AND(AA169&lt;&gt;"",Q169&lt;&gt;""),AA169-Q169,"")</f>
        <v/>
      </c>
      <c r="AE169" s="40">
        <f>IF(G169&lt;&gt;"",G169,"")</f>
        <v/>
      </c>
      <c r="AF169" s="41">
        <f>IF(AND(AE169&lt;&gt;"",C169&gt;0),(AE169-C169)/C169,"")</f>
        <v/>
      </c>
      <c r="AG169" s="41">
        <f>IF(AND(AE169&lt;&gt;"",AE169&gt;0),(AE169-C169)/AE169,"")</f>
        <v/>
      </c>
      <c r="AH169" s="40">
        <f>IF(AND(AE169&lt;&gt;"",C169&gt;0),AE169-C169,"")</f>
        <v/>
      </c>
      <c r="AI169" s="41">
        <f>IF(AND(AE169&lt;&gt;"",D169&gt;0),(AE169-D169)/D169,"")</f>
        <v/>
      </c>
      <c r="AJ169" s="41">
        <f>IF(AND(AG169&lt;&gt;"",P169&lt;&gt;""),(AG169-P169)/ABS(IF(P169=0,1,P169)),"")</f>
        <v/>
      </c>
      <c r="AK169" s="40">
        <f>IF(AND(AH169&lt;&gt;"",Q169&lt;&gt;""),AH169-Q169,"")</f>
        <v/>
      </c>
      <c r="AL169" s="40">
        <f>IF(H169&lt;&gt;"",H169,"")</f>
        <v/>
      </c>
      <c r="AM169" s="41">
        <f>IF(AND(AL169&lt;&gt;"",C169&gt;0),(AL169-C169)/C169,"")</f>
        <v/>
      </c>
      <c r="AN169" s="41">
        <f>IF(AND(AL169&lt;&gt;"",AL169&gt;0),(AL169-C169)/AL169,"")</f>
        <v/>
      </c>
      <c r="AO169" s="40">
        <f>IF(AND(AL169&lt;&gt;"",C169&gt;0),AL169-C169,"")</f>
        <v/>
      </c>
      <c r="AP169" s="41">
        <f>IF(AND(AL169&lt;&gt;"",D169&gt;0),(AL169-D169)/D169,"")</f>
        <v/>
      </c>
      <c r="AQ169" s="41">
        <f>IF(AND(AN169&lt;&gt;"",P169&lt;&gt;""),(AN169-P169)/ABS(IF(P169=0,1,P169)),"")</f>
        <v/>
      </c>
      <c r="AR169" s="40">
        <f>IF(AND(AO169&lt;&gt;"",Q169&lt;&gt;""),AO169-Q169,"")</f>
        <v/>
      </c>
      <c r="AS169" s="44" t="n"/>
      <c r="AT169" s="41">
        <f>IF(AND(AS169&gt;0,C169&gt;0),(AS169-C169)/C169,"")</f>
        <v/>
      </c>
      <c r="AU169" s="41">
        <f>IF(AND(AS169&gt;0,AS169&gt;0),(AS169-C169)/AS169,"")</f>
        <v/>
      </c>
      <c r="AV169" s="40">
        <f>IF(AND(AS169&gt;0,C169&gt;0),AS169-C169,"")</f>
        <v/>
      </c>
      <c r="AW169" s="41">
        <f>IF(AND(AS169&gt;0,D169&gt;0),(AS169-D169)/D169,"")</f>
        <v/>
      </c>
      <c r="AX169" s="41">
        <f>IF(AND(AU169&lt;&gt;"",P169&lt;&gt;""),(AU169-P169)/ABS(IF(P169=0,1,P169)),"")</f>
        <v/>
      </c>
      <c r="AY169" s="40">
        <f>IF(AND(AV169&lt;&gt;"",Q169&lt;&gt;""),AV169-Q169,"")</f>
        <v/>
      </c>
      <c r="AZ169" s="45" t="n"/>
      <c r="BA169" s="40">
        <f>IF(AND(AZ169&gt;0,C169&gt;0),C169/(1-AZ169),"")</f>
        <v/>
      </c>
      <c r="BB169" s="41">
        <f>IF(AND(BA169&lt;&gt;"",C169&gt;0),(BA169-C169)/C169,"")</f>
        <v/>
      </c>
      <c r="BC169" s="41">
        <f>IF(BA169&lt;&gt;"",AZ169,"")</f>
        <v/>
      </c>
      <c r="BD169" s="40">
        <f>IF(AND(BA169&lt;&gt;"",C169&gt;0),BA169-C169,"")</f>
        <v/>
      </c>
      <c r="BE169" s="41">
        <f>IF(AND(BA169&lt;&gt;"",D169&gt;0),(BA169-D169)/D169,"")</f>
        <v/>
      </c>
      <c r="BF169" s="41">
        <f>IF(AND(BC169&lt;&gt;"",P169&lt;&gt;""),(BC169-P169)/ABS(IF(P169=0,1,P169)),"")</f>
        <v/>
      </c>
      <c r="BG169" s="40">
        <f>IF(AND(BD169&lt;&gt;"",Q169&lt;&gt;""),BD169-Q169,"")</f>
        <v/>
      </c>
      <c r="BH169" s="40">
        <f>IF(AND(T169&gt;0,X169&lt;&gt;""),T169*X169,"")</f>
        <v/>
      </c>
      <c r="BI169" s="40">
        <f>IF(AND(T169&gt;0,AA169&lt;&gt;""),T169*AA169,"")</f>
        <v/>
      </c>
      <c r="BJ169" s="40">
        <f>IF(AND(T169&gt;0,AE169&lt;&gt;""),T169*AE169,"")</f>
        <v/>
      </c>
      <c r="BK169" s="40">
        <f>IF(AND(T169&gt;0,AH169&lt;&gt;""),T169*AH169,"")</f>
        <v/>
      </c>
      <c r="BL169" s="40">
        <f>IF(AND(T169&gt;0,AL169&lt;&gt;""),T169*AL169,"")</f>
        <v/>
      </c>
      <c r="BM169" s="40">
        <f>IF(AND(T169&gt;0,AO169&lt;&gt;""),T169*AO169,"")</f>
        <v/>
      </c>
      <c r="BN169" s="40">
        <f>IF(AND(T169&gt;0,AS169&gt;0),T169*AS169,"")</f>
        <v/>
      </c>
      <c r="BO169" s="40">
        <f>IF(AND(T169&gt;0,AV169&lt;&gt;""),T169*AV169,"")</f>
        <v/>
      </c>
      <c r="BP169" s="40">
        <f>IF(AND(T169&gt;0,BA169&lt;&gt;""),T169*BA169,"")</f>
        <v/>
      </c>
      <c r="BQ169" s="40">
        <f>IF(AND(T169&gt;0,BD169&lt;&gt;""),T169*BD169,"")</f>
        <v/>
      </c>
      <c r="BR169" s="46">
        <f>IF(AND(T169&gt;0,V169&gt;0,AA169&lt;&gt;0),V169/AA169-T169,"")</f>
        <v/>
      </c>
      <c r="BS169" s="41">
        <f>IF(AND(BR169&lt;&gt;"",T169&gt;0),BR169/T169,"")</f>
        <v/>
      </c>
      <c r="BT169" s="46">
        <f>IF(AND(T169&gt;0,V169&gt;0,AO169&lt;&gt;0),V169/AO169-T169,"")</f>
        <v/>
      </c>
      <c r="BU169" s="41">
        <f>IF(AND(BT169&lt;&gt;"",T169&gt;0),BT169/T169,"")</f>
        <v/>
      </c>
    </row>
    <row r="170">
      <c r="A170" s="36">
        <f>'📊 Исходные данные'!A169</f>
        <v/>
      </c>
      <c r="B170" s="37">
        <f>'📊 Исходные данные'!B169</f>
        <v/>
      </c>
      <c r="C170" s="38">
        <f>'📊 Исходные данные'!C169</f>
        <v/>
      </c>
      <c r="D170" s="38">
        <f>'📊 Исходные данные'!D169</f>
        <v/>
      </c>
      <c r="E170" s="39">
        <f>IF(OR(D170="",F170=""),"-",IF(D170&gt;F170*1.05,"Выше рынка",IF(D170&lt;F170*0.95,"Ниже рынка","На уровне")))</f>
        <v/>
      </c>
      <c r="F170" s="40">
        <f>IFERROR(AVERAGE('📊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G170" s="40">
        <f>IFERROR(MEDIAN('📊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H170" s="40">
        <f>IFERROR(MIN('📊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I170" s="40">
        <f>IFERROR(MAX('📊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данные'!K169),"")</f>
        <v/>
      </c>
      <c r="J170" s="41">
        <f>IF(AND(D170&lt;&gt;"",F170&lt;&gt;""),(D170-F170)/F170,"")</f>
        <v/>
      </c>
      <c r="K170" s="41">
        <f>IF(AND(D170&lt;&gt;"",G170&lt;&gt;""),(D170-G170)/G170,"")</f>
        <v/>
      </c>
      <c r="L170" s="41">
        <f>IF(AND(D170&lt;&gt;"",H170&lt;&gt;""),(D170-H170)/H170,"")</f>
        <v/>
      </c>
      <c r="M170" s="42">
        <f>IFERROR(RANK(D170,('📊 Исходные данные'!E169,'📊 Исходные данные'!F169,'📊 Исходные данные'!G169,'📊 Исходные данные'!H169,'📊 Исходные данные'!I169,'📊 Исходные данные'!J169,'📊 Исходные данные'!K169)),"")</f>
        <v/>
      </c>
      <c r="N170" s="39">
        <f>IF(M170="","-",IF(M170=1,"Дороже всех",IF(M170=2,"2-й по цене",IF(M170&lt;=4,"Средний","Ниже конкурентов"))))</f>
        <v/>
      </c>
      <c r="O170" s="41">
        <f>IF(AND(C170&gt;0,D170&gt;0),(D170-C170)/C170,"")</f>
        <v/>
      </c>
      <c r="P170" s="41">
        <f>IF(AND(C170&gt;0,D170&gt;0),(D170-C170)/D170,"")</f>
        <v/>
      </c>
      <c r="Q170" s="40">
        <f>IF(AND(C170&gt;0,D170&gt;0),D170-C170,"")</f>
        <v/>
      </c>
      <c r="R170" s="39">
        <f>IF(P170="","-",IF(P170&lt;0.1,"Низкая(&lt;10%)",IF(P170&lt;0.2,"Средняя(10-20%)","Хорошая(&gt;20%)")))</f>
        <v/>
      </c>
      <c r="S170" s="39">
        <f>IF(OR(H170="",C170=""),"-",IF((H170-C170)/H170&lt;0.05,"КРИТИЧНО",IF((H170-C170)/H170&lt;0.15,"УМЕРЕННЫЙ","НИЗКИЙ")))</f>
        <v/>
      </c>
      <c r="T170" s="43" t="n"/>
      <c r="U170" s="40">
        <f>IF(T170&gt;0,T170*D170,"")</f>
        <v/>
      </c>
      <c r="V170" s="40">
        <f>IF(T170&gt;0,T170*Q170,"")</f>
        <v/>
      </c>
      <c r="W170" s="41">
        <f>IF(U170&gt;0,V170/U170,"")</f>
        <v/>
      </c>
      <c r="X170" s="40">
        <f>IF(F170&lt;&gt;"",F170,"")</f>
        <v/>
      </c>
      <c r="Y170" s="41">
        <f>IF(AND(X170&lt;&gt;"",C170&gt;0),(X170-C170)/C170,"")</f>
        <v/>
      </c>
      <c r="Z170" s="41">
        <f>IF(AND(X170&lt;&gt;"",X170&gt;0),(X170-C170)/X170,"")</f>
        <v/>
      </c>
      <c r="AA170" s="40">
        <f>IF(AND(X170&lt;&gt;"",C170&gt;0),X170-C170,"")</f>
        <v/>
      </c>
      <c r="AB170" s="41">
        <f>IF(AND(X170&lt;&gt;"",D170&gt;0),(X170-D170)/D170,"")</f>
        <v/>
      </c>
      <c r="AC170" s="41">
        <f>IF(AND(Z170&lt;&gt;"",P170&lt;&gt;""),(Z170-P170)/ABS(IF(P170=0,1,P170)),"")</f>
        <v/>
      </c>
      <c r="AD170" s="40">
        <f>IF(AND(AA170&lt;&gt;"",Q170&lt;&gt;""),AA170-Q170,"")</f>
        <v/>
      </c>
      <c r="AE170" s="40">
        <f>IF(G170&lt;&gt;"",G170,"")</f>
        <v/>
      </c>
      <c r="AF170" s="41">
        <f>IF(AND(AE170&lt;&gt;"",C170&gt;0),(AE170-C170)/C170,"")</f>
        <v/>
      </c>
      <c r="AG170" s="41">
        <f>IF(AND(AE170&lt;&gt;"",AE170&gt;0),(AE170-C170)/AE170,"")</f>
        <v/>
      </c>
      <c r="AH170" s="40">
        <f>IF(AND(AE170&lt;&gt;"",C170&gt;0),AE170-C170,"")</f>
        <v/>
      </c>
      <c r="AI170" s="41">
        <f>IF(AND(AE170&lt;&gt;"",D170&gt;0),(AE170-D170)/D170,"")</f>
        <v/>
      </c>
      <c r="AJ170" s="41">
        <f>IF(AND(AG170&lt;&gt;"",P170&lt;&gt;""),(AG170-P170)/ABS(IF(P170=0,1,P170)),"")</f>
        <v/>
      </c>
      <c r="AK170" s="40">
        <f>IF(AND(AH170&lt;&gt;"",Q170&lt;&gt;""),AH170-Q170,"")</f>
        <v/>
      </c>
      <c r="AL170" s="40">
        <f>IF(H170&lt;&gt;"",H170,"")</f>
        <v/>
      </c>
      <c r="AM170" s="41">
        <f>IF(AND(AL170&lt;&gt;"",C170&gt;0),(AL170-C170)/C170,"")</f>
        <v/>
      </c>
      <c r="AN170" s="41">
        <f>IF(AND(AL170&lt;&gt;"",AL170&gt;0),(AL170-C170)/AL170,"")</f>
        <v/>
      </c>
      <c r="AO170" s="40">
        <f>IF(AND(AL170&lt;&gt;"",C170&gt;0),AL170-C170,"")</f>
        <v/>
      </c>
      <c r="AP170" s="41">
        <f>IF(AND(AL170&lt;&gt;"",D170&gt;0),(AL170-D170)/D170,"")</f>
        <v/>
      </c>
      <c r="AQ170" s="41">
        <f>IF(AND(AN170&lt;&gt;"",P170&lt;&gt;""),(AN170-P170)/ABS(IF(P170=0,1,P170)),"")</f>
        <v/>
      </c>
      <c r="AR170" s="40">
        <f>IF(AND(AO170&lt;&gt;"",Q170&lt;&gt;""),AO170-Q170,"")</f>
        <v/>
      </c>
      <c r="AS170" s="44" t="n"/>
      <c r="AT170" s="41">
        <f>IF(AND(AS170&gt;0,C170&gt;0),(AS170-C170)/C170,"")</f>
        <v/>
      </c>
      <c r="AU170" s="41">
        <f>IF(AND(AS170&gt;0,AS170&gt;0),(AS170-C170)/AS170,"")</f>
        <v/>
      </c>
      <c r="AV170" s="40">
        <f>IF(AND(AS170&gt;0,C170&gt;0),AS170-C170,"")</f>
        <v/>
      </c>
      <c r="AW170" s="41">
        <f>IF(AND(AS170&gt;0,D170&gt;0),(AS170-D170)/D170,"")</f>
        <v/>
      </c>
      <c r="AX170" s="41">
        <f>IF(AND(AU170&lt;&gt;"",P170&lt;&gt;""),(AU170-P170)/ABS(IF(P170=0,1,P170)),"")</f>
        <v/>
      </c>
      <c r="AY170" s="40">
        <f>IF(AND(AV170&lt;&gt;"",Q170&lt;&gt;""),AV170-Q170,"")</f>
        <v/>
      </c>
      <c r="AZ170" s="45" t="n"/>
      <c r="BA170" s="40">
        <f>IF(AND(AZ170&gt;0,C170&gt;0),C170/(1-AZ170),"")</f>
        <v/>
      </c>
      <c r="BB170" s="41">
        <f>IF(AND(BA170&lt;&gt;"",C170&gt;0),(BA170-C170)/C170,"")</f>
        <v/>
      </c>
      <c r="BC170" s="41">
        <f>IF(BA170&lt;&gt;"",AZ170,"")</f>
        <v/>
      </c>
      <c r="BD170" s="40">
        <f>IF(AND(BA170&lt;&gt;"",C170&gt;0),BA170-C170,"")</f>
        <v/>
      </c>
      <c r="BE170" s="41">
        <f>IF(AND(BA170&lt;&gt;"",D170&gt;0),(BA170-D170)/D170,"")</f>
        <v/>
      </c>
      <c r="BF170" s="41">
        <f>IF(AND(BC170&lt;&gt;"",P170&lt;&gt;""),(BC170-P170)/ABS(IF(P170=0,1,P170)),"")</f>
        <v/>
      </c>
      <c r="BG170" s="40">
        <f>IF(AND(BD170&lt;&gt;"",Q170&lt;&gt;""),BD170-Q170,"")</f>
        <v/>
      </c>
      <c r="BH170" s="40">
        <f>IF(AND(T170&gt;0,X170&lt;&gt;""),T170*X170,"")</f>
        <v/>
      </c>
      <c r="BI170" s="40">
        <f>IF(AND(T170&gt;0,AA170&lt;&gt;""),T170*AA170,"")</f>
        <v/>
      </c>
      <c r="BJ170" s="40">
        <f>IF(AND(T170&gt;0,AE170&lt;&gt;""),T170*AE170,"")</f>
        <v/>
      </c>
      <c r="BK170" s="40">
        <f>IF(AND(T170&gt;0,AH170&lt;&gt;""),T170*AH170,"")</f>
        <v/>
      </c>
      <c r="BL170" s="40">
        <f>IF(AND(T170&gt;0,AL170&lt;&gt;""),T170*AL170,"")</f>
        <v/>
      </c>
      <c r="BM170" s="40">
        <f>IF(AND(T170&gt;0,AO170&lt;&gt;""),T170*AO170,"")</f>
        <v/>
      </c>
      <c r="BN170" s="40">
        <f>IF(AND(T170&gt;0,AS170&gt;0),T170*AS170,"")</f>
        <v/>
      </c>
      <c r="BO170" s="40">
        <f>IF(AND(T170&gt;0,AV170&lt;&gt;""),T170*AV170,"")</f>
        <v/>
      </c>
      <c r="BP170" s="40">
        <f>IF(AND(T170&gt;0,BA170&lt;&gt;""),T170*BA170,"")</f>
        <v/>
      </c>
      <c r="BQ170" s="40">
        <f>IF(AND(T170&gt;0,BD170&lt;&gt;""),T170*BD170,"")</f>
        <v/>
      </c>
      <c r="BR170" s="46">
        <f>IF(AND(T170&gt;0,V170&gt;0,AA170&lt;&gt;0),V170/AA170-T170,"")</f>
        <v/>
      </c>
      <c r="BS170" s="41">
        <f>IF(AND(BR170&lt;&gt;"",T170&gt;0),BR170/T170,"")</f>
        <v/>
      </c>
      <c r="BT170" s="46">
        <f>IF(AND(T170&gt;0,V170&gt;0,AO170&lt;&gt;0),V170/AO170-T170,"")</f>
        <v/>
      </c>
      <c r="BU170" s="41">
        <f>IF(AND(BT170&lt;&gt;"",T170&gt;0),BT170/T170,"")</f>
        <v/>
      </c>
    </row>
    <row r="171">
      <c r="A171" s="36">
        <f>'📊 Исходные данные'!A170</f>
        <v/>
      </c>
      <c r="B171" s="37">
        <f>'📊 Исходные данные'!B170</f>
        <v/>
      </c>
      <c r="C171" s="38">
        <f>'📊 Исходные данные'!C170</f>
        <v/>
      </c>
      <c r="D171" s="38">
        <f>'📊 Исходные данные'!D170</f>
        <v/>
      </c>
      <c r="E171" s="39">
        <f>IF(OR(D171="",F171=""),"-",IF(D171&gt;F171*1.05,"Выше рынка",IF(D171&lt;F171*0.95,"Ниже рынка","На уровне")))</f>
        <v/>
      </c>
      <c r="F171" s="40">
        <f>IFERROR(AVERAGE('📊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G171" s="40">
        <f>IFERROR(MEDIAN('📊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H171" s="40">
        <f>IFERROR(MIN('📊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I171" s="40">
        <f>IFERROR(MAX('📊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данные'!K170),"")</f>
        <v/>
      </c>
      <c r="J171" s="41">
        <f>IF(AND(D171&lt;&gt;"",F171&lt;&gt;""),(D171-F171)/F171,"")</f>
        <v/>
      </c>
      <c r="K171" s="41">
        <f>IF(AND(D171&lt;&gt;"",G171&lt;&gt;""),(D171-G171)/G171,"")</f>
        <v/>
      </c>
      <c r="L171" s="41">
        <f>IF(AND(D171&lt;&gt;"",H171&lt;&gt;""),(D171-H171)/H171,"")</f>
        <v/>
      </c>
      <c r="M171" s="42">
        <f>IFERROR(RANK(D171,('📊 Исходные данные'!E170,'📊 Исходные данные'!F170,'📊 Исходные данные'!G170,'📊 Исходные данные'!H170,'📊 Исходные данные'!I170,'📊 Исходные данные'!J170,'📊 Исходные данные'!K170)),"")</f>
        <v/>
      </c>
      <c r="N171" s="39">
        <f>IF(M171="","-",IF(M171=1,"Дороже всех",IF(M171=2,"2-й по цене",IF(M171&lt;=4,"Средний","Ниже конкурентов"))))</f>
        <v/>
      </c>
      <c r="O171" s="41">
        <f>IF(AND(C171&gt;0,D171&gt;0),(D171-C171)/C171,"")</f>
        <v/>
      </c>
      <c r="P171" s="41">
        <f>IF(AND(C171&gt;0,D171&gt;0),(D171-C171)/D171,"")</f>
        <v/>
      </c>
      <c r="Q171" s="40">
        <f>IF(AND(C171&gt;0,D171&gt;0),D171-C171,"")</f>
        <v/>
      </c>
      <c r="R171" s="39">
        <f>IF(P171="","-",IF(P171&lt;0.1,"Низкая(&lt;10%)",IF(P171&lt;0.2,"Средняя(10-20%)","Хорошая(&gt;20%)")))</f>
        <v/>
      </c>
      <c r="S171" s="39">
        <f>IF(OR(H171="",C171=""),"-",IF((H171-C171)/H171&lt;0.05,"КРИТИЧНО",IF((H171-C171)/H171&lt;0.15,"УМЕРЕННЫЙ","НИЗКИЙ")))</f>
        <v/>
      </c>
      <c r="T171" s="43" t="n"/>
      <c r="U171" s="40">
        <f>IF(T171&gt;0,T171*D171,"")</f>
        <v/>
      </c>
      <c r="V171" s="40">
        <f>IF(T171&gt;0,T171*Q171,"")</f>
        <v/>
      </c>
      <c r="W171" s="41">
        <f>IF(U171&gt;0,V171/U171,"")</f>
        <v/>
      </c>
      <c r="X171" s="40">
        <f>IF(F171&lt;&gt;"",F171,"")</f>
        <v/>
      </c>
      <c r="Y171" s="41">
        <f>IF(AND(X171&lt;&gt;"",C171&gt;0),(X171-C171)/C171,"")</f>
        <v/>
      </c>
      <c r="Z171" s="41">
        <f>IF(AND(X171&lt;&gt;"",X171&gt;0),(X171-C171)/X171,"")</f>
        <v/>
      </c>
      <c r="AA171" s="40">
        <f>IF(AND(X171&lt;&gt;"",C171&gt;0),X171-C171,"")</f>
        <v/>
      </c>
      <c r="AB171" s="41">
        <f>IF(AND(X171&lt;&gt;"",D171&gt;0),(X171-D171)/D171,"")</f>
        <v/>
      </c>
      <c r="AC171" s="41">
        <f>IF(AND(Z171&lt;&gt;"",P171&lt;&gt;""),(Z171-P171)/ABS(IF(P171=0,1,P171)),"")</f>
        <v/>
      </c>
      <c r="AD171" s="40">
        <f>IF(AND(AA171&lt;&gt;"",Q171&lt;&gt;""),AA171-Q171,"")</f>
        <v/>
      </c>
      <c r="AE171" s="40">
        <f>IF(G171&lt;&gt;"",G171,"")</f>
        <v/>
      </c>
      <c r="AF171" s="41">
        <f>IF(AND(AE171&lt;&gt;"",C171&gt;0),(AE171-C171)/C171,"")</f>
        <v/>
      </c>
      <c r="AG171" s="41">
        <f>IF(AND(AE171&lt;&gt;"",AE171&gt;0),(AE171-C171)/AE171,"")</f>
        <v/>
      </c>
      <c r="AH171" s="40">
        <f>IF(AND(AE171&lt;&gt;"",C171&gt;0),AE171-C171,"")</f>
        <v/>
      </c>
      <c r="AI171" s="41">
        <f>IF(AND(AE171&lt;&gt;"",D171&gt;0),(AE171-D171)/D171,"")</f>
        <v/>
      </c>
      <c r="AJ171" s="41">
        <f>IF(AND(AG171&lt;&gt;"",P171&lt;&gt;""),(AG171-P171)/ABS(IF(P171=0,1,P171)),"")</f>
        <v/>
      </c>
      <c r="AK171" s="40">
        <f>IF(AND(AH171&lt;&gt;"",Q171&lt;&gt;""),AH171-Q171,"")</f>
        <v/>
      </c>
      <c r="AL171" s="40">
        <f>IF(H171&lt;&gt;"",H171,"")</f>
        <v/>
      </c>
      <c r="AM171" s="41">
        <f>IF(AND(AL171&lt;&gt;"",C171&gt;0),(AL171-C171)/C171,"")</f>
        <v/>
      </c>
      <c r="AN171" s="41">
        <f>IF(AND(AL171&lt;&gt;"",AL171&gt;0),(AL171-C171)/AL171,"")</f>
        <v/>
      </c>
      <c r="AO171" s="40">
        <f>IF(AND(AL171&lt;&gt;"",C171&gt;0),AL171-C171,"")</f>
        <v/>
      </c>
      <c r="AP171" s="41">
        <f>IF(AND(AL171&lt;&gt;"",D171&gt;0),(AL171-D171)/D171,"")</f>
        <v/>
      </c>
      <c r="AQ171" s="41">
        <f>IF(AND(AN171&lt;&gt;"",P171&lt;&gt;""),(AN171-P171)/ABS(IF(P171=0,1,P171)),"")</f>
        <v/>
      </c>
      <c r="AR171" s="40">
        <f>IF(AND(AO171&lt;&gt;"",Q171&lt;&gt;""),AO171-Q171,"")</f>
        <v/>
      </c>
      <c r="AS171" s="44" t="n"/>
      <c r="AT171" s="41">
        <f>IF(AND(AS171&gt;0,C171&gt;0),(AS171-C171)/C171,"")</f>
        <v/>
      </c>
      <c r="AU171" s="41">
        <f>IF(AND(AS171&gt;0,AS171&gt;0),(AS171-C171)/AS171,"")</f>
        <v/>
      </c>
      <c r="AV171" s="40">
        <f>IF(AND(AS171&gt;0,C171&gt;0),AS171-C171,"")</f>
        <v/>
      </c>
      <c r="AW171" s="41">
        <f>IF(AND(AS171&gt;0,D171&gt;0),(AS171-D171)/D171,"")</f>
        <v/>
      </c>
      <c r="AX171" s="41">
        <f>IF(AND(AU171&lt;&gt;"",P171&lt;&gt;""),(AU171-P171)/ABS(IF(P171=0,1,P171)),"")</f>
        <v/>
      </c>
      <c r="AY171" s="40">
        <f>IF(AND(AV171&lt;&gt;"",Q171&lt;&gt;""),AV171-Q171,"")</f>
        <v/>
      </c>
      <c r="AZ171" s="45" t="n"/>
      <c r="BA171" s="40">
        <f>IF(AND(AZ171&gt;0,C171&gt;0),C171/(1-AZ171),"")</f>
        <v/>
      </c>
      <c r="BB171" s="41">
        <f>IF(AND(BA171&lt;&gt;"",C171&gt;0),(BA171-C171)/C171,"")</f>
        <v/>
      </c>
      <c r="BC171" s="41">
        <f>IF(BA171&lt;&gt;"",AZ171,"")</f>
        <v/>
      </c>
      <c r="BD171" s="40">
        <f>IF(AND(BA171&lt;&gt;"",C171&gt;0),BA171-C171,"")</f>
        <v/>
      </c>
      <c r="BE171" s="41">
        <f>IF(AND(BA171&lt;&gt;"",D171&gt;0),(BA171-D171)/D171,"")</f>
        <v/>
      </c>
      <c r="BF171" s="41">
        <f>IF(AND(BC171&lt;&gt;"",P171&lt;&gt;""),(BC171-P171)/ABS(IF(P171=0,1,P171)),"")</f>
        <v/>
      </c>
      <c r="BG171" s="40">
        <f>IF(AND(BD171&lt;&gt;"",Q171&lt;&gt;""),BD171-Q171,"")</f>
        <v/>
      </c>
      <c r="BH171" s="40">
        <f>IF(AND(T171&gt;0,X171&lt;&gt;""),T171*X171,"")</f>
        <v/>
      </c>
      <c r="BI171" s="40">
        <f>IF(AND(T171&gt;0,AA171&lt;&gt;""),T171*AA171,"")</f>
        <v/>
      </c>
      <c r="BJ171" s="40">
        <f>IF(AND(T171&gt;0,AE171&lt;&gt;""),T171*AE171,"")</f>
        <v/>
      </c>
      <c r="BK171" s="40">
        <f>IF(AND(T171&gt;0,AH171&lt;&gt;""),T171*AH171,"")</f>
        <v/>
      </c>
      <c r="BL171" s="40">
        <f>IF(AND(T171&gt;0,AL171&lt;&gt;""),T171*AL171,"")</f>
        <v/>
      </c>
      <c r="BM171" s="40">
        <f>IF(AND(T171&gt;0,AO171&lt;&gt;""),T171*AO171,"")</f>
        <v/>
      </c>
      <c r="BN171" s="40">
        <f>IF(AND(T171&gt;0,AS171&gt;0),T171*AS171,"")</f>
        <v/>
      </c>
      <c r="BO171" s="40">
        <f>IF(AND(T171&gt;0,AV171&lt;&gt;""),T171*AV171,"")</f>
        <v/>
      </c>
      <c r="BP171" s="40">
        <f>IF(AND(T171&gt;0,BA171&lt;&gt;""),T171*BA171,"")</f>
        <v/>
      </c>
      <c r="BQ171" s="40">
        <f>IF(AND(T171&gt;0,BD171&lt;&gt;""),T171*BD171,"")</f>
        <v/>
      </c>
      <c r="BR171" s="46">
        <f>IF(AND(T171&gt;0,V171&gt;0,AA171&lt;&gt;0),V171/AA171-T171,"")</f>
        <v/>
      </c>
      <c r="BS171" s="41">
        <f>IF(AND(BR171&lt;&gt;"",T171&gt;0),BR171/T171,"")</f>
        <v/>
      </c>
      <c r="BT171" s="46">
        <f>IF(AND(T171&gt;0,V171&gt;0,AO171&lt;&gt;0),V171/AO171-T171,"")</f>
        <v/>
      </c>
      <c r="BU171" s="41">
        <f>IF(AND(BT171&lt;&gt;"",T171&gt;0),BT171/T171,"")</f>
        <v/>
      </c>
    </row>
    <row r="172">
      <c r="A172" s="36">
        <f>'📊 Исходные данные'!A171</f>
        <v/>
      </c>
      <c r="B172" s="37">
        <f>'📊 Исходные данные'!B171</f>
        <v/>
      </c>
      <c r="C172" s="38">
        <f>'📊 Исходные данные'!C171</f>
        <v/>
      </c>
      <c r="D172" s="38">
        <f>'📊 Исходные данные'!D171</f>
        <v/>
      </c>
      <c r="E172" s="39">
        <f>IF(OR(D172="",F172=""),"-",IF(D172&gt;F172*1.05,"Выше рынка",IF(D172&lt;F172*0.95,"Ниже рынка","На уровне")))</f>
        <v/>
      </c>
      <c r="F172" s="40">
        <f>IFERROR(AVERAGE('📊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G172" s="40">
        <f>IFERROR(MEDIAN('📊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H172" s="40">
        <f>IFERROR(MIN('📊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I172" s="40">
        <f>IFERROR(MAX('📊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данные'!K171),"")</f>
        <v/>
      </c>
      <c r="J172" s="41">
        <f>IF(AND(D172&lt;&gt;"",F172&lt;&gt;""),(D172-F172)/F172,"")</f>
        <v/>
      </c>
      <c r="K172" s="41">
        <f>IF(AND(D172&lt;&gt;"",G172&lt;&gt;""),(D172-G172)/G172,"")</f>
        <v/>
      </c>
      <c r="L172" s="41">
        <f>IF(AND(D172&lt;&gt;"",H172&lt;&gt;""),(D172-H172)/H172,"")</f>
        <v/>
      </c>
      <c r="M172" s="42">
        <f>IFERROR(RANK(D172,('📊 Исходные данные'!E171,'📊 Исходные данные'!F171,'📊 Исходные данные'!G171,'📊 Исходные данные'!H171,'📊 Исходные данные'!I171,'📊 Исходные данные'!J171,'📊 Исходные данные'!K171)),"")</f>
        <v/>
      </c>
      <c r="N172" s="39">
        <f>IF(M172="","-",IF(M172=1,"Дороже всех",IF(M172=2,"2-й по цене",IF(M172&lt;=4,"Средний","Ниже конкурентов"))))</f>
        <v/>
      </c>
      <c r="O172" s="41">
        <f>IF(AND(C172&gt;0,D172&gt;0),(D172-C172)/C172,"")</f>
        <v/>
      </c>
      <c r="P172" s="41">
        <f>IF(AND(C172&gt;0,D172&gt;0),(D172-C172)/D172,"")</f>
        <v/>
      </c>
      <c r="Q172" s="40">
        <f>IF(AND(C172&gt;0,D172&gt;0),D172-C172,"")</f>
        <v/>
      </c>
      <c r="R172" s="39">
        <f>IF(P172="","-",IF(P172&lt;0.1,"Низкая(&lt;10%)",IF(P172&lt;0.2,"Средняя(10-20%)","Хорошая(&gt;20%)")))</f>
        <v/>
      </c>
      <c r="S172" s="39">
        <f>IF(OR(H172="",C172=""),"-",IF((H172-C172)/H172&lt;0.05,"КРИТИЧНО",IF((H172-C172)/H172&lt;0.15,"УМЕРЕННЫЙ","НИЗКИЙ")))</f>
        <v/>
      </c>
      <c r="T172" s="43" t="n"/>
      <c r="U172" s="40">
        <f>IF(T172&gt;0,T172*D172,"")</f>
        <v/>
      </c>
      <c r="V172" s="40">
        <f>IF(T172&gt;0,T172*Q172,"")</f>
        <v/>
      </c>
      <c r="W172" s="41">
        <f>IF(U172&gt;0,V172/U172,"")</f>
        <v/>
      </c>
      <c r="X172" s="40">
        <f>IF(F172&lt;&gt;"",F172,"")</f>
        <v/>
      </c>
      <c r="Y172" s="41">
        <f>IF(AND(X172&lt;&gt;"",C172&gt;0),(X172-C172)/C172,"")</f>
        <v/>
      </c>
      <c r="Z172" s="41">
        <f>IF(AND(X172&lt;&gt;"",X172&gt;0),(X172-C172)/X172,"")</f>
        <v/>
      </c>
      <c r="AA172" s="40">
        <f>IF(AND(X172&lt;&gt;"",C172&gt;0),X172-C172,"")</f>
        <v/>
      </c>
      <c r="AB172" s="41">
        <f>IF(AND(X172&lt;&gt;"",D172&gt;0),(X172-D172)/D172,"")</f>
        <v/>
      </c>
      <c r="AC172" s="41">
        <f>IF(AND(Z172&lt;&gt;"",P172&lt;&gt;""),(Z172-P172)/ABS(IF(P172=0,1,P172)),"")</f>
        <v/>
      </c>
      <c r="AD172" s="40">
        <f>IF(AND(AA172&lt;&gt;"",Q172&lt;&gt;""),AA172-Q172,"")</f>
        <v/>
      </c>
      <c r="AE172" s="40">
        <f>IF(G172&lt;&gt;"",G172,"")</f>
        <v/>
      </c>
      <c r="AF172" s="41">
        <f>IF(AND(AE172&lt;&gt;"",C172&gt;0),(AE172-C172)/C172,"")</f>
        <v/>
      </c>
      <c r="AG172" s="41">
        <f>IF(AND(AE172&lt;&gt;"",AE172&gt;0),(AE172-C172)/AE172,"")</f>
        <v/>
      </c>
      <c r="AH172" s="40">
        <f>IF(AND(AE172&lt;&gt;"",C172&gt;0),AE172-C172,"")</f>
        <v/>
      </c>
      <c r="AI172" s="41">
        <f>IF(AND(AE172&lt;&gt;"",D172&gt;0),(AE172-D172)/D172,"")</f>
        <v/>
      </c>
      <c r="AJ172" s="41">
        <f>IF(AND(AG172&lt;&gt;"",P172&lt;&gt;""),(AG172-P172)/ABS(IF(P172=0,1,P172)),"")</f>
        <v/>
      </c>
      <c r="AK172" s="40">
        <f>IF(AND(AH172&lt;&gt;"",Q172&lt;&gt;""),AH172-Q172,"")</f>
        <v/>
      </c>
      <c r="AL172" s="40">
        <f>IF(H172&lt;&gt;"",H172,"")</f>
        <v/>
      </c>
      <c r="AM172" s="41">
        <f>IF(AND(AL172&lt;&gt;"",C172&gt;0),(AL172-C172)/C172,"")</f>
        <v/>
      </c>
      <c r="AN172" s="41">
        <f>IF(AND(AL172&lt;&gt;"",AL172&gt;0),(AL172-C172)/AL172,"")</f>
        <v/>
      </c>
      <c r="AO172" s="40">
        <f>IF(AND(AL172&lt;&gt;"",C172&gt;0),AL172-C172,"")</f>
        <v/>
      </c>
      <c r="AP172" s="41">
        <f>IF(AND(AL172&lt;&gt;"",D172&gt;0),(AL172-D172)/D172,"")</f>
        <v/>
      </c>
      <c r="AQ172" s="41">
        <f>IF(AND(AN172&lt;&gt;"",P172&lt;&gt;""),(AN172-P172)/ABS(IF(P172=0,1,P172)),"")</f>
        <v/>
      </c>
      <c r="AR172" s="40">
        <f>IF(AND(AO172&lt;&gt;"",Q172&lt;&gt;""),AO172-Q172,"")</f>
        <v/>
      </c>
      <c r="AS172" s="44" t="n"/>
      <c r="AT172" s="41">
        <f>IF(AND(AS172&gt;0,C172&gt;0),(AS172-C172)/C172,"")</f>
        <v/>
      </c>
      <c r="AU172" s="41">
        <f>IF(AND(AS172&gt;0,AS172&gt;0),(AS172-C172)/AS172,"")</f>
        <v/>
      </c>
      <c r="AV172" s="40">
        <f>IF(AND(AS172&gt;0,C172&gt;0),AS172-C172,"")</f>
        <v/>
      </c>
      <c r="AW172" s="41">
        <f>IF(AND(AS172&gt;0,D172&gt;0),(AS172-D172)/D172,"")</f>
        <v/>
      </c>
      <c r="AX172" s="41">
        <f>IF(AND(AU172&lt;&gt;"",P172&lt;&gt;""),(AU172-P172)/ABS(IF(P172=0,1,P172)),"")</f>
        <v/>
      </c>
      <c r="AY172" s="40">
        <f>IF(AND(AV172&lt;&gt;"",Q172&lt;&gt;""),AV172-Q172,"")</f>
        <v/>
      </c>
      <c r="AZ172" s="45" t="n"/>
      <c r="BA172" s="40">
        <f>IF(AND(AZ172&gt;0,C172&gt;0),C172/(1-AZ172),"")</f>
        <v/>
      </c>
      <c r="BB172" s="41">
        <f>IF(AND(BA172&lt;&gt;"",C172&gt;0),(BA172-C172)/C172,"")</f>
        <v/>
      </c>
      <c r="BC172" s="41">
        <f>IF(BA172&lt;&gt;"",AZ172,"")</f>
        <v/>
      </c>
      <c r="BD172" s="40">
        <f>IF(AND(BA172&lt;&gt;"",C172&gt;0),BA172-C172,"")</f>
        <v/>
      </c>
      <c r="BE172" s="41">
        <f>IF(AND(BA172&lt;&gt;"",D172&gt;0),(BA172-D172)/D172,"")</f>
        <v/>
      </c>
      <c r="BF172" s="41">
        <f>IF(AND(BC172&lt;&gt;"",P172&lt;&gt;""),(BC172-P172)/ABS(IF(P172=0,1,P172)),"")</f>
        <v/>
      </c>
      <c r="BG172" s="40">
        <f>IF(AND(BD172&lt;&gt;"",Q172&lt;&gt;""),BD172-Q172,"")</f>
        <v/>
      </c>
      <c r="BH172" s="40">
        <f>IF(AND(T172&gt;0,X172&lt;&gt;""),T172*X172,"")</f>
        <v/>
      </c>
      <c r="BI172" s="40">
        <f>IF(AND(T172&gt;0,AA172&lt;&gt;""),T172*AA172,"")</f>
        <v/>
      </c>
      <c r="BJ172" s="40">
        <f>IF(AND(T172&gt;0,AE172&lt;&gt;""),T172*AE172,"")</f>
        <v/>
      </c>
      <c r="BK172" s="40">
        <f>IF(AND(T172&gt;0,AH172&lt;&gt;""),T172*AH172,"")</f>
        <v/>
      </c>
      <c r="BL172" s="40">
        <f>IF(AND(T172&gt;0,AL172&lt;&gt;""),T172*AL172,"")</f>
        <v/>
      </c>
      <c r="BM172" s="40">
        <f>IF(AND(T172&gt;0,AO172&lt;&gt;""),T172*AO172,"")</f>
        <v/>
      </c>
      <c r="BN172" s="40">
        <f>IF(AND(T172&gt;0,AS172&gt;0),T172*AS172,"")</f>
        <v/>
      </c>
      <c r="BO172" s="40">
        <f>IF(AND(T172&gt;0,AV172&lt;&gt;""),T172*AV172,"")</f>
        <v/>
      </c>
      <c r="BP172" s="40">
        <f>IF(AND(T172&gt;0,BA172&lt;&gt;""),T172*BA172,"")</f>
        <v/>
      </c>
      <c r="BQ172" s="40">
        <f>IF(AND(T172&gt;0,BD172&lt;&gt;""),T172*BD172,"")</f>
        <v/>
      </c>
      <c r="BR172" s="46">
        <f>IF(AND(T172&gt;0,V172&gt;0,AA172&lt;&gt;0),V172/AA172-T172,"")</f>
        <v/>
      </c>
      <c r="BS172" s="41">
        <f>IF(AND(BR172&lt;&gt;"",T172&gt;0),BR172/T172,"")</f>
        <v/>
      </c>
      <c r="BT172" s="46">
        <f>IF(AND(T172&gt;0,V172&gt;0,AO172&lt;&gt;0),V172/AO172-T172,"")</f>
        <v/>
      </c>
      <c r="BU172" s="41">
        <f>IF(AND(BT172&lt;&gt;"",T172&gt;0),BT172/T172,"")</f>
        <v/>
      </c>
    </row>
    <row r="173">
      <c r="A173" s="36">
        <f>'📊 Исходные данные'!A172</f>
        <v/>
      </c>
      <c r="B173" s="37">
        <f>'📊 Исходные данные'!B172</f>
        <v/>
      </c>
      <c r="C173" s="38">
        <f>'📊 Исходные данные'!C172</f>
        <v/>
      </c>
      <c r="D173" s="38">
        <f>'📊 Исходные данные'!D172</f>
        <v/>
      </c>
      <c r="E173" s="39">
        <f>IF(OR(D173="",F173=""),"-",IF(D173&gt;F173*1.05,"Выше рынка",IF(D173&lt;F173*0.95,"Ниже рынка","На уровне")))</f>
        <v/>
      </c>
      <c r="F173" s="40">
        <f>IFERROR(AVERAGE('📊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G173" s="40">
        <f>IFERROR(MEDIAN('📊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H173" s="40">
        <f>IFERROR(MIN('📊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I173" s="40">
        <f>IFERROR(MAX('📊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данные'!K172),"")</f>
        <v/>
      </c>
      <c r="J173" s="41">
        <f>IF(AND(D173&lt;&gt;"",F173&lt;&gt;""),(D173-F173)/F173,"")</f>
        <v/>
      </c>
      <c r="K173" s="41">
        <f>IF(AND(D173&lt;&gt;"",G173&lt;&gt;""),(D173-G173)/G173,"")</f>
        <v/>
      </c>
      <c r="L173" s="41">
        <f>IF(AND(D173&lt;&gt;"",H173&lt;&gt;""),(D173-H173)/H173,"")</f>
        <v/>
      </c>
      <c r="M173" s="42">
        <f>IFERROR(RANK(D173,('📊 Исходные данные'!E172,'📊 Исходные данные'!F172,'📊 Исходные данные'!G172,'📊 Исходные данные'!H172,'📊 Исходные данные'!I172,'📊 Исходные данные'!J172,'📊 Исходные данные'!K172)),"")</f>
        <v/>
      </c>
      <c r="N173" s="39">
        <f>IF(M173="","-",IF(M173=1,"Дороже всех",IF(M173=2,"2-й по цене",IF(M173&lt;=4,"Средний","Ниже конкурентов"))))</f>
        <v/>
      </c>
      <c r="O173" s="41">
        <f>IF(AND(C173&gt;0,D173&gt;0),(D173-C173)/C173,"")</f>
        <v/>
      </c>
      <c r="P173" s="41">
        <f>IF(AND(C173&gt;0,D173&gt;0),(D173-C173)/D173,"")</f>
        <v/>
      </c>
      <c r="Q173" s="40">
        <f>IF(AND(C173&gt;0,D173&gt;0),D173-C173,"")</f>
        <v/>
      </c>
      <c r="R173" s="39">
        <f>IF(P173="","-",IF(P173&lt;0.1,"Низкая(&lt;10%)",IF(P173&lt;0.2,"Средняя(10-20%)","Хорошая(&gt;20%)")))</f>
        <v/>
      </c>
      <c r="S173" s="39">
        <f>IF(OR(H173="",C173=""),"-",IF((H173-C173)/H173&lt;0.05,"КРИТИЧНО",IF((H173-C173)/H173&lt;0.15,"УМЕРЕННЫЙ","НИЗКИЙ")))</f>
        <v/>
      </c>
      <c r="T173" s="43" t="n"/>
      <c r="U173" s="40">
        <f>IF(T173&gt;0,T173*D173,"")</f>
        <v/>
      </c>
      <c r="V173" s="40">
        <f>IF(T173&gt;0,T173*Q173,"")</f>
        <v/>
      </c>
      <c r="W173" s="41">
        <f>IF(U173&gt;0,V173/U173,"")</f>
        <v/>
      </c>
      <c r="X173" s="40">
        <f>IF(F173&lt;&gt;"",F173,"")</f>
        <v/>
      </c>
      <c r="Y173" s="41">
        <f>IF(AND(X173&lt;&gt;"",C173&gt;0),(X173-C173)/C173,"")</f>
        <v/>
      </c>
      <c r="Z173" s="41">
        <f>IF(AND(X173&lt;&gt;"",X173&gt;0),(X173-C173)/X173,"")</f>
        <v/>
      </c>
      <c r="AA173" s="40">
        <f>IF(AND(X173&lt;&gt;"",C173&gt;0),X173-C173,"")</f>
        <v/>
      </c>
      <c r="AB173" s="41">
        <f>IF(AND(X173&lt;&gt;"",D173&gt;0),(X173-D173)/D173,"")</f>
        <v/>
      </c>
      <c r="AC173" s="41">
        <f>IF(AND(Z173&lt;&gt;"",P173&lt;&gt;""),(Z173-P173)/ABS(IF(P173=0,1,P173)),"")</f>
        <v/>
      </c>
      <c r="AD173" s="40">
        <f>IF(AND(AA173&lt;&gt;"",Q173&lt;&gt;""),AA173-Q173,"")</f>
        <v/>
      </c>
      <c r="AE173" s="40">
        <f>IF(G173&lt;&gt;"",G173,"")</f>
        <v/>
      </c>
      <c r="AF173" s="41">
        <f>IF(AND(AE173&lt;&gt;"",C173&gt;0),(AE173-C173)/C173,"")</f>
        <v/>
      </c>
      <c r="AG173" s="41">
        <f>IF(AND(AE173&lt;&gt;"",AE173&gt;0),(AE173-C173)/AE173,"")</f>
        <v/>
      </c>
      <c r="AH173" s="40">
        <f>IF(AND(AE173&lt;&gt;"",C173&gt;0),AE173-C173,"")</f>
        <v/>
      </c>
      <c r="AI173" s="41">
        <f>IF(AND(AE173&lt;&gt;"",D173&gt;0),(AE173-D173)/D173,"")</f>
        <v/>
      </c>
      <c r="AJ173" s="41">
        <f>IF(AND(AG173&lt;&gt;"",P173&lt;&gt;""),(AG173-P173)/ABS(IF(P173=0,1,P173)),"")</f>
        <v/>
      </c>
      <c r="AK173" s="40">
        <f>IF(AND(AH173&lt;&gt;"",Q173&lt;&gt;""),AH173-Q173,"")</f>
        <v/>
      </c>
      <c r="AL173" s="40">
        <f>IF(H173&lt;&gt;"",H173,"")</f>
        <v/>
      </c>
      <c r="AM173" s="41">
        <f>IF(AND(AL173&lt;&gt;"",C173&gt;0),(AL173-C173)/C173,"")</f>
        <v/>
      </c>
      <c r="AN173" s="41">
        <f>IF(AND(AL173&lt;&gt;"",AL173&gt;0),(AL173-C173)/AL173,"")</f>
        <v/>
      </c>
      <c r="AO173" s="40">
        <f>IF(AND(AL173&lt;&gt;"",C173&gt;0),AL173-C173,"")</f>
        <v/>
      </c>
      <c r="AP173" s="41">
        <f>IF(AND(AL173&lt;&gt;"",D173&gt;0),(AL173-D173)/D173,"")</f>
        <v/>
      </c>
      <c r="AQ173" s="41">
        <f>IF(AND(AN173&lt;&gt;"",P173&lt;&gt;""),(AN173-P173)/ABS(IF(P173=0,1,P173)),"")</f>
        <v/>
      </c>
      <c r="AR173" s="40">
        <f>IF(AND(AO173&lt;&gt;"",Q173&lt;&gt;""),AO173-Q173,"")</f>
        <v/>
      </c>
      <c r="AS173" s="44" t="n"/>
      <c r="AT173" s="41">
        <f>IF(AND(AS173&gt;0,C173&gt;0),(AS173-C173)/C173,"")</f>
        <v/>
      </c>
      <c r="AU173" s="41">
        <f>IF(AND(AS173&gt;0,AS173&gt;0),(AS173-C173)/AS173,"")</f>
        <v/>
      </c>
      <c r="AV173" s="40">
        <f>IF(AND(AS173&gt;0,C173&gt;0),AS173-C173,"")</f>
        <v/>
      </c>
      <c r="AW173" s="41">
        <f>IF(AND(AS173&gt;0,D173&gt;0),(AS173-D173)/D173,"")</f>
        <v/>
      </c>
      <c r="AX173" s="41">
        <f>IF(AND(AU173&lt;&gt;"",P173&lt;&gt;""),(AU173-P173)/ABS(IF(P173=0,1,P173)),"")</f>
        <v/>
      </c>
      <c r="AY173" s="40">
        <f>IF(AND(AV173&lt;&gt;"",Q173&lt;&gt;""),AV173-Q173,"")</f>
        <v/>
      </c>
      <c r="AZ173" s="45" t="n"/>
      <c r="BA173" s="40">
        <f>IF(AND(AZ173&gt;0,C173&gt;0),C173/(1-AZ173),"")</f>
        <v/>
      </c>
      <c r="BB173" s="41">
        <f>IF(AND(BA173&lt;&gt;"",C173&gt;0),(BA173-C173)/C173,"")</f>
        <v/>
      </c>
      <c r="BC173" s="41">
        <f>IF(BA173&lt;&gt;"",AZ173,"")</f>
        <v/>
      </c>
      <c r="BD173" s="40">
        <f>IF(AND(BA173&lt;&gt;"",C173&gt;0),BA173-C173,"")</f>
        <v/>
      </c>
      <c r="BE173" s="41">
        <f>IF(AND(BA173&lt;&gt;"",D173&gt;0),(BA173-D173)/D173,"")</f>
        <v/>
      </c>
      <c r="BF173" s="41">
        <f>IF(AND(BC173&lt;&gt;"",P173&lt;&gt;""),(BC173-P173)/ABS(IF(P173=0,1,P173)),"")</f>
        <v/>
      </c>
      <c r="BG173" s="40">
        <f>IF(AND(BD173&lt;&gt;"",Q173&lt;&gt;""),BD173-Q173,"")</f>
        <v/>
      </c>
      <c r="BH173" s="40">
        <f>IF(AND(T173&gt;0,X173&lt;&gt;""),T173*X173,"")</f>
        <v/>
      </c>
      <c r="BI173" s="40">
        <f>IF(AND(T173&gt;0,AA173&lt;&gt;""),T173*AA173,"")</f>
        <v/>
      </c>
      <c r="BJ173" s="40">
        <f>IF(AND(T173&gt;0,AE173&lt;&gt;""),T173*AE173,"")</f>
        <v/>
      </c>
      <c r="BK173" s="40">
        <f>IF(AND(T173&gt;0,AH173&lt;&gt;""),T173*AH173,"")</f>
        <v/>
      </c>
      <c r="BL173" s="40">
        <f>IF(AND(T173&gt;0,AL173&lt;&gt;""),T173*AL173,"")</f>
        <v/>
      </c>
      <c r="BM173" s="40">
        <f>IF(AND(T173&gt;0,AO173&lt;&gt;""),T173*AO173,"")</f>
        <v/>
      </c>
      <c r="BN173" s="40">
        <f>IF(AND(T173&gt;0,AS173&gt;0),T173*AS173,"")</f>
        <v/>
      </c>
      <c r="BO173" s="40">
        <f>IF(AND(T173&gt;0,AV173&lt;&gt;""),T173*AV173,"")</f>
        <v/>
      </c>
      <c r="BP173" s="40">
        <f>IF(AND(T173&gt;0,BA173&lt;&gt;""),T173*BA173,"")</f>
        <v/>
      </c>
      <c r="BQ173" s="40">
        <f>IF(AND(T173&gt;0,BD173&lt;&gt;""),T173*BD173,"")</f>
        <v/>
      </c>
      <c r="BR173" s="46">
        <f>IF(AND(T173&gt;0,V173&gt;0,AA173&lt;&gt;0),V173/AA173-T173,"")</f>
        <v/>
      </c>
      <c r="BS173" s="41">
        <f>IF(AND(BR173&lt;&gt;"",T173&gt;0),BR173/T173,"")</f>
        <v/>
      </c>
      <c r="BT173" s="46">
        <f>IF(AND(T173&gt;0,V173&gt;0,AO173&lt;&gt;0),V173/AO173-T173,"")</f>
        <v/>
      </c>
      <c r="BU173" s="41">
        <f>IF(AND(BT173&lt;&gt;"",T173&gt;0),BT173/T173,"")</f>
        <v/>
      </c>
    </row>
    <row r="174">
      <c r="A174" s="36">
        <f>'📊 Исходные данные'!A173</f>
        <v/>
      </c>
      <c r="B174" s="37">
        <f>'📊 Исходные данные'!B173</f>
        <v/>
      </c>
      <c r="C174" s="38">
        <f>'📊 Исходные данные'!C173</f>
        <v/>
      </c>
      <c r="D174" s="38">
        <f>'📊 Исходные данные'!D173</f>
        <v/>
      </c>
      <c r="E174" s="39">
        <f>IF(OR(D174="",F174=""),"-",IF(D174&gt;F174*1.05,"Выше рынка",IF(D174&lt;F174*0.95,"Ниже рынка","На уровне")))</f>
        <v/>
      </c>
      <c r="F174" s="40">
        <f>IFERROR(AVERAGE('📊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G174" s="40">
        <f>IFERROR(MEDIAN('📊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H174" s="40">
        <f>IFERROR(MIN('📊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I174" s="40">
        <f>IFERROR(MAX('📊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данные'!K173),"")</f>
        <v/>
      </c>
      <c r="J174" s="41">
        <f>IF(AND(D174&lt;&gt;"",F174&lt;&gt;""),(D174-F174)/F174,"")</f>
        <v/>
      </c>
      <c r="K174" s="41">
        <f>IF(AND(D174&lt;&gt;"",G174&lt;&gt;""),(D174-G174)/G174,"")</f>
        <v/>
      </c>
      <c r="L174" s="41">
        <f>IF(AND(D174&lt;&gt;"",H174&lt;&gt;""),(D174-H174)/H174,"")</f>
        <v/>
      </c>
      <c r="M174" s="42">
        <f>IFERROR(RANK(D174,('📊 Исходные данные'!E173,'📊 Исходные данные'!F173,'📊 Исходные данные'!G173,'📊 Исходные данные'!H173,'📊 Исходные данные'!I173,'📊 Исходные данные'!J173,'📊 Исходные данные'!K173)),"")</f>
        <v/>
      </c>
      <c r="N174" s="39">
        <f>IF(M174="","-",IF(M174=1,"Дороже всех",IF(M174=2,"2-й по цене",IF(M174&lt;=4,"Средний","Ниже конкурентов"))))</f>
        <v/>
      </c>
      <c r="O174" s="41">
        <f>IF(AND(C174&gt;0,D174&gt;0),(D174-C174)/C174,"")</f>
        <v/>
      </c>
      <c r="P174" s="41">
        <f>IF(AND(C174&gt;0,D174&gt;0),(D174-C174)/D174,"")</f>
        <v/>
      </c>
      <c r="Q174" s="40">
        <f>IF(AND(C174&gt;0,D174&gt;0),D174-C174,"")</f>
        <v/>
      </c>
      <c r="R174" s="39">
        <f>IF(P174="","-",IF(P174&lt;0.1,"Низкая(&lt;10%)",IF(P174&lt;0.2,"Средняя(10-20%)","Хорошая(&gt;20%)")))</f>
        <v/>
      </c>
      <c r="S174" s="39">
        <f>IF(OR(H174="",C174=""),"-",IF((H174-C174)/H174&lt;0.05,"КРИТИЧНО",IF((H174-C174)/H174&lt;0.15,"УМЕРЕННЫЙ","НИЗКИЙ")))</f>
        <v/>
      </c>
      <c r="T174" s="43" t="n"/>
      <c r="U174" s="40">
        <f>IF(T174&gt;0,T174*D174,"")</f>
        <v/>
      </c>
      <c r="V174" s="40">
        <f>IF(T174&gt;0,T174*Q174,"")</f>
        <v/>
      </c>
      <c r="W174" s="41">
        <f>IF(U174&gt;0,V174/U174,"")</f>
        <v/>
      </c>
      <c r="X174" s="40">
        <f>IF(F174&lt;&gt;"",F174,"")</f>
        <v/>
      </c>
      <c r="Y174" s="41">
        <f>IF(AND(X174&lt;&gt;"",C174&gt;0),(X174-C174)/C174,"")</f>
        <v/>
      </c>
      <c r="Z174" s="41">
        <f>IF(AND(X174&lt;&gt;"",X174&gt;0),(X174-C174)/X174,"")</f>
        <v/>
      </c>
      <c r="AA174" s="40">
        <f>IF(AND(X174&lt;&gt;"",C174&gt;0),X174-C174,"")</f>
        <v/>
      </c>
      <c r="AB174" s="41">
        <f>IF(AND(X174&lt;&gt;"",D174&gt;0),(X174-D174)/D174,"")</f>
        <v/>
      </c>
      <c r="AC174" s="41">
        <f>IF(AND(Z174&lt;&gt;"",P174&lt;&gt;""),(Z174-P174)/ABS(IF(P174=0,1,P174)),"")</f>
        <v/>
      </c>
      <c r="AD174" s="40">
        <f>IF(AND(AA174&lt;&gt;"",Q174&lt;&gt;""),AA174-Q174,"")</f>
        <v/>
      </c>
      <c r="AE174" s="40">
        <f>IF(G174&lt;&gt;"",G174,"")</f>
        <v/>
      </c>
      <c r="AF174" s="41">
        <f>IF(AND(AE174&lt;&gt;"",C174&gt;0),(AE174-C174)/C174,"")</f>
        <v/>
      </c>
      <c r="AG174" s="41">
        <f>IF(AND(AE174&lt;&gt;"",AE174&gt;0),(AE174-C174)/AE174,"")</f>
        <v/>
      </c>
      <c r="AH174" s="40">
        <f>IF(AND(AE174&lt;&gt;"",C174&gt;0),AE174-C174,"")</f>
        <v/>
      </c>
      <c r="AI174" s="41">
        <f>IF(AND(AE174&lt;&gt;"",D174&gt;0),(AE174-D174)/D174,"")</f>
        <v/>
      </c>
      <c r="AJ174" s="41">
        <f>IF(AND(AG174&lt;&gt;"",P174&lt;&gt;""),(AG174-P174)/ABS(IF(P174=0,1,P174)),"")</f>
        <v/>
      </c>
      <c r="AK174" s="40">
        <f>IF(AND(AH174&lt;&gt;"",Q174&lt;&gt;""),AH174-Q174,"")</f>
        <v/>
      </c>
      <c r="AL174" s="40">
        <f>IF(H174&lt;&gt;"",H174,"")</f>
        <v/>
      </c>
      <c r="AM174" s="41">
        <f>IF(AND(AL174&lt;&gt;"",C174&gt;0),(AL174-C174)/C174,"")</f>
        <v/>
      </c>
      <c r="AN174" s="41">
        <f>IF(AND(AL174&lt;&gt;"",AL174&gt;0),(AL174-C174)/AL174,"")</f>
        <v/>
      </c>
      <c r="AO174" s="40">
        <f>IF(AND(AL174&lt;&gt;"",C174&gt;0),AL174-C174,"")</f>
        <v/>
      </c>
      <c r="AP174" s="41">
        <f>IF(AND(AL174&lt;&gt;"",D174&gt;0),(AL174-D174)/D174,"")</f>
        <v/>
      </c>
      <c r="AQ174" s="41">
        <f>IF(AND(AN174&lt;&gt;"",P174&lt;&gt;""),(AN174-P174)/ABS(IF(P174=0,1,P174)),"")</f>
        <v/>
      </c>
      <c r="AR174" s="40">
        <f>IF(AND(AO174&lt;&gt;"",Q174&lt;&gt;""),AO174-Q174,"")</f>
        <v/>
      </c>
      <c r="AS174" s="44" t="n"/>
      <c r="AT174" s="41">
        <f>IF(AND(AS174&gt;0,C174&gt;0),(AS174-C174)/C174,"")</f>
        <v/>
      </c>
      <c r="AU174" s="41">
        <f>IF(AND(AS174&gt;0,AS174&gt;0),(AS174-C174)/AS174,"")</f>
        <v/>
      </c>
      <c r="AV174" s="40">
        <f>IF(AND(AS174&gt;0,C174&gt;0),AS174-C174,"")</f>
        <v/>
      </c>
      <c r="AW174" s="41">
        <f>IF(AND(AS174&gt;0,D174&gt;0),(AS174-D174)/D174,"")</f>
        <v/>
      </c>
      <c r="AX174" s="41">
        <f>IF(AND(AU174&lt;&gt;"",P174&lt;&gt;""),(AU174-P174)/ABS(IF(P174=0,1,P174)),"")</f>
        <v/>
      </c>
      <c r="AY174" s="40">
        <f>IF(AND(AV174&lt;&gt;"",Q174&lt;&gt;""),AV174-Q174,"")</f>
        <v/>
      </c>
      <c r="AZ174" s="45" t="n"/>
      <c r="BA174" s="40">
        <f>IF(AND(AZ174&gt;0,C174&gt;0),C174/(1-AZ174),"")</f>
        <v/>
      </c>
      <c r="BB174" s="41">
        <f>IF(AND(BA174&lt;&gt;"",C174&gt;0),(BA174-C174)/C174,"")</f>
        <v/>
      </c>
      <c r="BC174" s="41">
        <f>IF(BA174&lt;&gt;"",AZ174,"")</f>
        <v/>
      </c>
      <c r="BD174" s="40">
        <f>IF(AND(BA174&lt;&gt;"",C174&gt;0),BA174-C174,"")</f>
        <v/>
      </c>
      <c r="BE174" s="41">
        <f>IF(AND(BA174&lt;&gt;"",D174&gt;0),(BA174-D174)/D174,"")</f>
        <v/>
      </c>
      <c r="BF174" s="41">
        <f>IF(AND(BC174&lt;&gt;"",P174&lt;&gt;""),(BC174-P174)/ABS(IF(P174=0,1,P174)),"")</f>
        <v/>
      </c>
      <c r="BG174" s="40">
        <f>IF(AND(BD174&lt;&gt;"",Q174&lt;&gt;""),BD174-Q174,"")</f>
        <v/>
      </c>
      <c r="BH174" s="40">
        <f>IF(AND(T174&gt;0,X174&lt;&gt;""),T174*X174,"")</f>
        <v/>
      </c>
      <c r="BI174" s="40">
        <f>IF(AND(T174&gt;0,AA174&lt;&gt;""),T174*AA174,"")</f>
        <v/>
      </c>
      <c r="BJ174" s="40">
        <f>IF(AND(T174&gt;0,AE174&lt;&gt;""),T174*AE174,"")</f>
        <v/>
      </c>
      <c r="BK174" s="40">
        <f>IF(AND(T174&gt;0,AH174&lt;&gt;""),T174*AH174,"")</f>
        <v/>
      </c>
      <c r="BL174" s="40">
        <f>IF(AND(T174&gt;0,AL174&lt;&gt;""),T174*AL174,"")</f>
        <v/>
      </c>
      <c r="BM174" s="40">
        <f>IF(AND(T174&gt;0,AO174&lt;&gt;""),T174*AO174,"")</f>
        <v/>
      </c>
      <c r="BN174" s="40">
        <f>IF(AND(T174&gt;0,AS174&gt;0),T174*AS174,"")</f>
        <v/>
      </c>
      <c r="BO174" s="40">
        <f>IF(AND(T174&gt;0,AV174&lt;&gt;""),T174*AV174,"")</f>
        <v/>
      </c>
      <c r="BP174" s="40">
        <f>IF(AND(T174&gt;0,BA174&lt;&gt;""),T174*BA174,"")</f>
        <v/>
      </c>
      <c r="BQ174" s="40">
        <f>IF(AND(T174&gt;0,BD174&lt;&gt;""),T174*BD174,"")</f>
        <v/>
      </c>
      <c r="BR174" s="46">
        <f>IF(AND(T174&gt;0,V174&gt;0,AA174&lt;&gt;0),V174/AA174-T174,"")</f>
        <v/>
      </c>
      <c r="BS174" s="41">
        <f>IF(AND(BR174&lt;&gt;"",T174&gt;0),BR174/T174,"")</f>
        <v/>
      </c>
      <c r="BT174" s="46">
        <f>IF(AND(T174&gt;0,V174&gt;0,AO174&lt;&gt;0),V174/AO174-T174,"")</f>
        <v/>
      </c>
      <c r="BU174" s="41">
        <f>IF(AND(BT174&lt;&gt;"",T174&gt;0),BT174/T174,"")</f>
        <v/>
      </c>
    </row>
    <row r="175">
      <c r="A175" s="36">
        <f>'📊 Исходные данные'!A174</f>
        <v/>
      </c>
      <c r="B175" s="37">
        <f>'📊 Исходные данные'!B174</f>
        <v/>
      </c>
      <c r="C175" s="38">
        <f>'📊 Исходные данные'!C174</f>
        <v/>
      </c>
      <c r="D175" s="38">
        <f>'📊 Исходные данные'!D174</f>
        <v/>
      </c>
      <c r="E175" s="39">
        <f>IF(OR(D175="",F175=""),"-",IF(D175&gt;F175*1.05,"Выше рынка",IF(D175&lt;F175*0.95,"Ниже рынка","На уровне")))</f>
        <v/>
      </c>
      <c r="F175" s="40">
        <f>IFERROR(AVERAGE('📊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G175" s="40">
        <f>IFERROR(MEDIAN('📊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H175" s="40">
        <f>IFERROR(MIN('📊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I175" s="40">
        <f>IFERROR(MAX('📊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данные'!K174),"")</f>
        <v/>
      </c>
      <c r="J175" s="41">
        <f>IF(AND(D175&lt;&gt;"",F175&lt;&gt;""),(D175-F175)/F175,"")</f>
        <v/>
      </c>
      <c r="K175" s="41">
        <f>IF(AND(D175&lt;&gt;"",G175&lt;&gt;""),(D175-G175)/G175,"")</f>
        <v/>
      </c>
      <c r="L175" s="41">
        <f>IF(AND(D175&lt;&gt;"",H175&lt;&gt;""),(D175-H175)/H175,"")</f>
        <v/>
      </c>
      <c r="M175" s="42">
        <f>IFERROR(RANK(D175,('📊 Исходные данные'!E174,'📊 Исходные данные'!F174,'📊 Исходные данные'!G174,'📊 Исходные данные'!H174,'📊 Исходные данные'!I174,'📊 Исходные данные'!J174,'📊 Исходные данные'!K174)),"")</f>
        <v/>
      </c>
      <c r="N175" s="39">
        <f>IF(M175="","-",IF(M175=1,"Дороже всех",IF(M175=2,"2-й по цене",IF(M175&lt;=4,"Средний","Ниже конкурентов"))))</f>
        <v/>
      </c>
      <c r="O175" s="41">
        <f>IF(AND(C175&gt;0,D175&gt;0),(D175-C175)/C175,"")</f>
        <v/>
      </c>
      <c r="P175" s="41">
        <f>IF(AND(C175&gt;0,D175&gt;0),(D175-C175)/D175,"")</f>
        <v/>
      </c>
      <c r="Q175" s="40">
        <f>IF(AND(C175&gt;0,D175&gt;0),D175-C175,"")</f>
        <v/>
      </c>
      <c r="R175" s="39">
        <f>IF(P175="","-",IF(P175&lt;0.1,"Низкая(&lt;10%)",IF(P175&lt;0.2,"Средняя(10-20%)","Хорошая(&gt;20%)")))</f>
        <v/>
      </c>
      <c r="S175" s="39">
        <f>IF(OR(H175="",C175=""),"-",IF((H175-C175)/H175&lt;0.05,"КРИТИЧНО",IF((H175-C175)/H175&lt;0.15,"УМЕРЕННЫЙ","НИЗКИЙ")))</f>
        <v/>
      </c>
      <c r="T175" s="43" t="n"/>
      <c r="U175" s="40">
        <f>IF(T175&gt;0,T175*D175,"")</f>
        <v/>
      </c>
      <c r="V175" s="40">
        <f>IF(T175&gt;0,T175*Q175,"")</f>
        <v/>
      </c>
      <c r="W175" s="41">
        <f>IF(U175&gt;0,V175/U175,"")</f>
        <v/>
      </c>
      <c r="X175" s="40">
        <f>IF(F175&lt;&gt;"",F175,"")</f>
        <v/>
      </c>
      <c r="Y175" s="41">
        <f>IF(AND(X175&lt;&gt;"",C175&gt;0),(X175-C175)/C175,"")</f>
        <v/>
      </c>
      <c r="Z175" s="41">
        <f>IF(AND(X175&lt;&gt;"",X175&gt;0),(X175-C175)/X175,"")</f>
        <v/>
      </c>
      <c r="AA175" s="40">
        <f>IF(AND(X175&lt;&gt;"",C175&gt;0),X175-C175,"")</f>
        <v/>
      </c>
      <c r="AB175" s="41">
        <f>IF(AND(X175&lt;&gt;"",D175&gt;0),(X175-D175)/D175,"")</f>
        <v/>
      </c>
      <c r="AC175" s="41">
        <f>IF(AND(Z175&lt;&gt;"",P175&lt;&gt;""),(Z175-P175)/ABS(IF(P175=0,1,P175)),"")</f>
        <v/>
      </c>
      <c r="AD175" s="40">
        <f>IF(AND(AA175&lt;&gt;"",Q175&lt;&gt;""),AA175-Q175,"")</f>
        <v/>
      </c>
      <c r="AE175" s="40">
        <f>IF(G175&lt;&gt;"",G175,"")</f>
        <v/>
      </c>
      <c r="AF175" s="41">
        <f>IF(AND(AE175&lt;&gt;"",C175&gt;0),(AE175-C175)/C175,"")</f>
        <v/>
      </c>
      <c r="AG175" s="41">
        <f>IF(AND(AE175&lt;&gt;"",AE175&gt;0),(AE175-C175)/AE175,"")</f>
        <v/>
      </c>
      <c r="AH175" s="40">
        <f>IF(AND(AE175&lt;&gt;"",C175&gt;0),AE175-C175,"")</f>
        <v/>
      </c>
      <c r="AI175" s="41">
        <f>IF(AND(AE175&lt;&gt;"",D175&gt;0),(AE175-D175)/D175,"")</f>
        <v/>
      </c>
      <c r="AJ175" s="41">
        <f>IF(AND(AG175&lt;&gt;"",P175&lt;&gt;""),(AG175-P175)/ABS(IF(P175=0,1,P175)),"")</f>
        <v/>
      </c>
      <c r="AK175" s="40">
        <f>IF(AND(AH175&lt;&gt;"",Q175&lt;&gt;""),AH175-Q175,"")</f>
        <v/>
      </c>
      <c r="AL175" s="40">
        <f>IF(H175&lt;&gt;"",H175,"")</f>
        <v/>
      </c>
      <c r="AM175" s="41">
        <f>IF(AND(AL175&lt;&gt;"",C175&gt;0),(AL175-C175)/C175,"")</f>
        <v/>
      </c>
      <c r="AN175" s="41">
        <f>IF(AND(AL175&lt;&gt;"",AL175&gt;0),(AL175-C175)/AL175,"")</f>
        <v/>
      </c>
      <c r="AO175" s="40">
        <f>IF(AND(AL175&lt;&gt;"",C175&gt;0),AL175-C175,"")</f>
        <v/>
      </c>
      <c r="AP175" s="41">
        <f>IF(AND(AL175&lt;&gt;"",D175&gt;0),(AL175-D175)/D175,"")</f>
        <v/>
      </c>
      <c r="AQ175" s="41">
        <f>IF(AND(AN175&lt;&gt;"",P175&lt;&gt;""),(AN175-P175)/ABS(IF(P175=0,1,P175)),"")</f>
        <v/>
      </c>
      <c r="AR175" s="40">
        <f>IF(AND(AO175&lt;&gt;"",Q175&lt;&gt;""),AO175-Q175,"")</f>
        <v/>
      </c>
      <c r="AS175" s="44" t="n"/>
      <c r="AT175" s="41">
        <f>IF(AND(AS175&gt;0,C175&gt;0),(AS175-C175)/C175,"")</f>
        <v/>
      </c>
      <c r="AU175" s="41">
        <f>IF(AND(AS175&gt;0,AS175&gt;0),(AS175-C175)/AS175,"")</f>
        <v/>
      </c>
      <c r="AV175" s="40">
        <f>IF(AND(AS175&gt;0,C175&gt;0),AS175-C175,"")</f>
        <v/>
      </c>
      <c r="AW175" s="41">
        <f>IF(AND(AS175&gt;0,D175&gt;0),(AS175-D175)/D175,"")</f>
        <v/>
      </c>
      <c r="AX175" s="41">
        <f>IF(AND(AU175&lt;&gt;"",P175&lt;&gt;""),(AU175-P175)/ABS(IF(P175=0,1,P175)),"")</f>
        <v/>
      </c>
      <c r="AY175" s="40">
        <f>IF(AND(AV175&lt;&gt;"",Q175&lt;&gt;""),AV175-Q175,"")</f>
        <v/>
      </c>
      <c r="AZ175" s="45" t="n"/>
      <c r="BA175" s="40">
        <f>IF(AND(AZ175&gt;0,C175&gt;0),C175/(1-AZ175),"")</f>
        <v/>
      </c>
      <c r="BB175" s="41">
        <f>IF(AND(BA175&lt;&gt;"",C175&gt;0),(BA175-C175)/C175,"")</f>
        <v/>
      </c>
      <c r="BC175" s="41">
        <f>IF(BA175&lt;&gt;"",AZ175,"")</f>
        <v/>
      </c>
      <c r="BD175" s="40">
        <f>IF(AND(BA175&lt;&gt;"",C175&gt;0),BA175-C175,"")</f>
        <v/>
      </c>
      <c r="BE175" s="41">
        <f>IF(AND(BA175&lt;&gt;"",D175&gt;0),(BA175-D175)/D175,"")</f>
        <v/>
      </c>
      <c r="BF175" s="41">
        <f>IF(AND(BC175&lt;&gt;"",P175&lt;&gt;""),(BC175-P175)/ABS(IF(P175=0,1,P175)),"")</f>
        <v/>
      </c>
      <c r="BG175" s="40">
        <f>IF(AND(BD175&lt;&gt;"",Q175&lt;&gt;""),BD175-Q175,"")</f>
        <v/>
      </c>
      <c r="BH175" s="40">
        <f>IF(AND(T175&gt;0,X175&lt;&gt;""),T175*X175,"")</f>
        <v/>
      </c>
      <c r="BI175" s="40">
        <f>IF(AND(T175&gt;0,AA175&lt;&gt;""),T175*AA175,"")</f>
        <v/>
      </c>
      <c r="BJ175" s="40">
        <f>IF(AND(T175&gt;0,AE175&lt;&gt;""),T175*AE175,"")</f>
        <v/>
      </c>
      <c r="BK175" s="40">
        <f>IF(AND(T175&gt;0,AH175&lt;&gt;""),T175*AH175,"")</f>
        <v/>
      </c>
      <c r="BL175" s="40">
        <f>IF(AND(T175&gt;0,AL175&lt;&gt;""),T175*AL175,"")</f>
        <v/>
      </c>
      <c r="BM175" s="40">
        <f>IF(AND(T175&gt;0,AO175&lt;&gt;""),T175*AO175,"")</f>
        <v/>
      </c>
      <c r="BN175" s="40">
        <f>IF(AND(T175&gt;0,AS175&gt;0),T175*AS175,"")</f>
        <v/>
      </c>
      <c r="BO175" s="40">
        <f>IF(AND(T175&gt;0,AV175&lt;&gt;""),T175*AV175,"")</f>
        <v/>
      </c>
      <c r="BP175" s="40">
        <f>IF(AND(T175&gt;0,BA175&lt;&gt;""),T175*BA175,"")</f>
        <v/>
      </c>
      <c r="BQ175" s="40">
        <f>IF(AND(T175&gt;0,BD175&lt;&gt;""),T175*BD175,"")</f>
        <v/>
      </c>
      <c r="BR175" s="46">
        <f>IF(AND(T175&gt;0,V175&gt;0,AA175&lt;&gt;0),V175/AA175-T175,"")</f>
        <v/>
      </c>
      <c r="BS175" s="41">
        <f>IF(AND(BR175&lt;&gt;"",T175&gt;0),BR175/T175,"")</f>
        <v/>
      </c>
      <c r="BT175" s="46">
        <f>IF(AND(T175&gt;0,V175&gt;0,AO175&lt;&gt;0),V175/AO175-T175,"")</f>
        <v/>
      </c>
      <c r="BU175" s="41">
        <f>IF(AND(BT175&lt;&gt;"",T175&gt;0),BT175/T175,"")</f>
        <v/>
      </c>
    </row>
    <row r="176">
      <c r="A176" s="36">
        <f>'📊 Исходные данные'!A175</f>
        <v/>
      </c>
      <c r="B176" s="37">
        <f>'📊 Исходные данные'!B175</f>
        <v/>
      </c>
      <c r="C176" s="38">
        <f>'📊 Исходные данные'!C175</f>
        <v/>
      </c>
      <c r="D176" s="38">
        <f>'📊 Исходные данные'!D175</f>
        <v/>
      </c>
      <c r="E176" s="39">
        <f>IF(OR(D176="",F176=""),"-",IF(D176&gt;F176*1.05,"Выше рынка",IF(D176&lt;F176*0.95,"Ниже рынка","На уровне")))</f>
        <v/>
      </c>
      <c r="F176" s="40">
        <f>IFERROR(AVERAGE('📊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G176" s="40">
        <f>IFERROR(MEDIAN('📊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H176" s="40">
        <f>IFERROR(MIN('📊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I176" s="40">
        <f>IFERROR(MAX('📊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данные'!K175),"")</f>
        <v/>
      </c>
      <c r="J176" s="41">
        <f>IF(AND(D176&lt;&gt;"",F176&lt;&gt;""),(D176-F176)/F176,"")</f>
        <v/>
      </c>
      <c r="K176" s="41">
        <f>IF(AND(D176&lt;&gt;"",G176&lt;&gt;""),(D176-G176)/G176,"")</f>
        <v/>
      </c>
      <c r="L176" s="41">
        <f>IF(AND(D176&lt;&gt;"",H176&lt;&gt;""),(D176-H176)/H176,"")</f>
        <v/>
      </c>
      <c r="M176" s="42">
        <f>IFERROR(RANK(D176,('📊 Исходные данные'!E175,'📊 Исходные данные'!F175,'📊 Исходные данные'!G175,'📊 Исходные данные'!H175,'📊 Исходные данные'!I175,'📊 Исходные данные'!J175,'📊 Исходные данные'!K175)),"")</f>
        <v/>
      </c>
      <c r="N176" s="39">
        <f>IF(M176="","-",IF(M176=1,"Дороже всех",IF(M176=2,"2-й по цене",IF(M176&lt;=4,"Средний","Ниже конкурентов"))))</f>
        <v/>
      </c>
      <c r="O176" s="41">
        <f>IF(AND(C176&gt;0,D176&gt;0),(D176-C176)/C176,"")</f>
        <v/>
      </c>
      <c r="P176" s="41">
        <f>IF(AND(C176&gt;0,D176&gt;0),(D176-C176)/D176,"")</f>
        <v/>
      </c>
      <c r="Q176" s="40">
        <f>IF(AND(C176&gt;0,D176&gt;0),D176-C176,"")</f>
        <v/>
      </c>
      <c r="R176" s="39">
        <f>IF(P176="","-",IF(P176&lt;0.1,"Низкая(&lt;10%)",IF(P176&lt;0.2,"Средняя(10-20%)","Хорошая(&gt;20%)")))</f>
        <v/>
      </c>
      <c r="S176" s="39">
        <f>IF(OR(H176="",C176=""),"-",IF((H176-C176)/H176&lt;0.05,"КРИТИЧНО",IF((H176-C176)/H176&lt;0.15,"УМЕРЕННЫЙ","НИЗКИЙ")))</f>
        <v/>
      </c>
      <c r="T176" s="43" t="n"/>
      <c r="U176" s="40">
        <f>IF(T176&gt;0,T176*D176,"")</f>
        <v/>
      </c>
      <c r="V176" s="40">
        <f>IF(T176&gt;0,T176*Q176,"")</f>
        <v/>
      </c>
      <c r="W176" s="41">
        <f>IF(U176&gt;0,V176/U176,"")</f>
        <v/>
      </c>
      <c r="X176" s="40">
        <f>IF(F176&lt;&gt;"",F176,"")</f>
        <v/>
      </c>
      <c r="Y176" s="41">
        <f>IF(AND(X176&lt;&gt;"",C176&gt;0),(X176-C176)/C176,"")</f>
        <v/>
      </c>
      <c r="Z176" s="41">
        <f>IF(AND(X176&lt;&gt;"",X176&gt;0),(X176-C176)/X176,"")</f>
        <v/>
      </c>
      <c r="AA176" s="40">
        <f>IF(AND(X176&lt;&gt;"",C176&gt;0),X176-C176,"")</f>
        <v/>
      </c>
      <c r="AB176" s="41">
        <f>IF(AND(X176&lt;&gt;"",D176&gt;0),(X176-D176)/D176,"")</f>
        <v/>
      </c>
      <c r="AC176" s="41">
        <f>IF(AND(Z176&lt;&gt;"",P176&lt;&gt;""),(Z176-P176)/ABS(IF(P176=0,1,P176)),"")</f>
        <v/>
      </c>
      <c r="AD176" s="40">
        <f>IF(AND(AA176&lt;&gt;"",Q176&lt;&gt;""),AA176-Q176,"")</f>
        <v/>
      </c>
      <c r="AE176" s="40">
        <f>IF(G176&lt;&gt;"",G176,"")</f>
        <v/>
      </c>
      <c r="AF176" s="41">
        <f>IF(AND(AE176&lt;&gt;"",C176&gt;0),(AE176-C176)/C176,"")</f>
        <v/>
      </c>
      <c r="AG176" s="41">
        <f>IF(AND(AE176&lt;&gt;"",AE176&gt;0),(AE176-C176)/AE176,"")</f>
        <v/>
      </c>
      <c r="AH176" s="40">
        <f>IF(AND(AE176&lt;&gt;"",C176&gt;0),AE176-C176,"")</f>
        <v/>
      </c>
      <c r="AI176" s="41">
        <f>IF(AND(AE176&lt;&gt;"",D176&gt;0),(AE176-D176)/D176,"")</f>
        <v/>
      </c>
      <c r="AJ176" s="41">
        <f>IF(AND(AG176&lt;&gt;"",P176&lt;&gt;""),(AG176-P176)/ABS(IF(P176=0,1,P176)),"")</f>
        <v/>
      </c>
      <c r="AK176" s="40">
        <f>IF(AND(AH176&lt;&gt;"",Q176&lt;&gt;""),AH176-Q176,"")</f>
        <v/>
      </c>
      <c r="AL176" s="40">
        <f>IF(H176&lt;&gt;"",H176,"")</f>
        <v/>
      </c>
      <c r="AM176" s="41">
        <f>IF(AND(AL176&lt;&gt;"",C176&gt;0),(AL176-C176)/C176,"")</f>
        <v/>
      </c>
      <c r="AN176" s="41">
        <f>IF(AND(AL176&lt;&gt;"",AL176&gt;0),(AL176-C176)/AL176,"")</f>
        <v/>
      </c>
      <c r="AO176" s="40">
        <f>IF(AND(AL176&lt;&gt;"",C176&gt;0),AL176-C176,"")</f>
        <v/>
      </c>
      <c r="AP176" s="41">
        <f>IF(AND(AL176&lt;&gt;"",D176&gt;0),(AL176-D176)/D176,"")</f>
        <v/>
      </c>
      <c r="AQ176" s="41">
        <f>IF(AND(AN176&lt;&gt;"",P176&lt;&gt;""),(AN176-P176)/ABS(IF(P176=0,1,P176)),"")</f>
        <v/>
      </c>
      <c r="AR176" s="40">
        <f>IF(AND(AO176&lt;&gt;"",Q176&lt;&gt;""),AO176-Q176,"")</f>
        <v/>
      </c>
      <c r="AS176" s="44" t="n"/>
      <c r="AT176" s="41">
        <f>IF(AND(AS176&gt;0,C176&gt;0),(AS176-C176)/C176,"")</f>
        <v/>
      </c>
      <c r="AU176" s="41">
        <f>IF(AND(AS176&gt;0,AS176&gt;0),(AS176-C176)/AS176,"")</f>
        <v/>
      </c>
      <c r="AV176" s="40">
        <f>IF(AND(AS176&gt;0,C176&gt;0),AS176-C176,"")</f>
        <v/>
      </c>
      <c r="AW176" s="41">
        <f>IF(AND(AS176&gt;0,D176&gt;0),(AS176-D176)/D176,"")</f>
        <v/>
      </c>
      <c r="AX176" s="41">
        <f>IF(AND(AU176&lt;&gt;"",P176&lt;&gt;""),(AU176-P176)/ABS(IF(P176=0,1,P176)),"")</f>
        <v/>
      </c>
      <c r="AY176" s="40">
        <f>IF(AND(AV176&lt;&gt;"",Q176&lt;&gt;""),AV176-Q176,"")</f>
        <v/>
      </c>
      <c r="AZ176" s="45" t="n"/>
      <c r="BA176" s="40">
        <f>IF(AND(AZ176&gt;0,C176&gt;0),C176/(1-AZ176),"")</f>
        <v/>
      </c>
      <c r="BB176" s="41">
        <f>IF(AND(BA176&lt;&gt;"",C176&gt;0),(BA176-C176)/C176,"")</f>
        <v/>
      </c>
      <c r="BC176" s="41">
        <f>IF(BA176&lt;&gt;"",AZ176,"")</f>
        <v/>
      </c>
      <c r="BD176" s="40">
        <f>IF(AND(BA176&lt;&gt;"",C176&gt;0),BA176-C176,"")</f>
        <v/>
      </c>
      <c r="BE176" s="41">
        <f>IF(AND(BA176&lt;&gt;"",D176&gt;0),(BA176-D176)/D176,"")</f>
        <v/>
      </c>
      <c r="BF176" s="41">
        <f>IF(AND(BC176&lt;&gt;"",P176&lt;&gt;""),(BC176-P176)/ABS(IF(P176=0,1,P176)),"")</f>
        <v/>
      </c>
      <c r="BG176" s="40">
        <f>IF(AND(BD176&lt;&gt;"",Q176&lt;&gt;""),BD176-Q176,"")</f>
        <v/>
      </c>
      <c r="BH176" s="40">
        <f>IF(AND(T176&gt;0,X176&lt;&gt;""),T176*X176,"")</f>
        <v/>
      </c>
      <c r="BI176" s="40">
        <f>IF(AND(T176&gt;0,AA176&lt;&gt;""),T176*AA176,"")</f>
        <v/>
      </c>
      <c r="BJ176" s="40">
        <f>IF(AND(T176&gt;0,AE176&lt;&gt;""),T176*AE176,"")</f>
        <v/>
      </c>
      <c r="BK176" s="40">
        <f>IF(AND(T176&gt;0,AH176&lt;&gt;""),T176*AH176,"")</f>
        <v/>
      </c>
      <c r="BL176" s="40">
        <f>IF(AND(T176&gt;0,AL176&lt;&gt;""),T176*AL176,"")</f>
        <v/>
      </c>
      <c r="BM176" s="40">
        <f>IF(AND(T176&gt;0,AO176&lt;&gt;""),T176*AO176,"")</f>
        <v/>
      </c>
      <c r="BN176" s="40">
        <f>IF(AND(T176&gt;0,AS176&gt;0),T176*AS176,"")</f>
        <v/>
      </c>
      <c r="BO176" s="40">
        <f>IF(AND(T176&gt;0,AV176&lt;&gt;""),T176*AV176,"")</f>
        <v/>
      </c>
      <c r="BP176" s="40">
        <f>IF(AND(T176&gt;0,BA176&lt;&gt;""),T176*BA176,"")</f>
        <v/>
      </c>
      <c r="BQ176" s="40">
        <f>IF(AND(T176&gt;0,BD176&lt;&gt;""),T176*BD176,"")</f>
        <v/>
      </c>
      <c r="BR176" s="46">
        <f>IF(AND(T176&gt;0,V176&gt;0,AA176&lt;&gt;0),V176/AA176-T176,"")</f>
        <v/>
      </c>
      <c r="BS176" s="41">
        <f>IF(AND(BR176&lt;&gt;"",T176&gt;0),BR176/T176,"")</f>
        <v/>
      </c>
      <c r="BT176" s="46">
        <f>IF(AND(T176&gt;0,V176&gt;0,AO176&lt;&gt;0),V176/AO176-T176,"")</f>
        <v/>
      </c>
      <c r="BU176" s="41">
        <f>IF(AND(BT176&lt;&gt;"",T176&gt;0),BT176/T176,"")</f>
        <v/>
      </c>
    </row>
    <row r="177">
      <c r="A177" s="36">
        <f>'📊 Исходные данные'!A176</f>
        <v/>
      </c>
      <c r="B177" s="37">
        <f>'📊 Исходные данные'!B176</f>
        <v/>
      </c>
      <c r="C177" s="38">
        <f>'📊 Исходные данные'!C176</f>
        <v/>
      </c>
      <c r="D177" s="38">
        <f>'📊 Исходные данные'!D176</f>
        <v/>
      </c>
      <c r="E177" s="39">
        <f>IF(OR(D177="",F177=""),"-",IF(D177&gt;F177*1.05,"Выше рынка",IF(D177&lt;F177*0.95,"Ниже рынка","На уровне")))</f>
        <v/>
      </c>
      <c r="F177" s="40">
        <f>IFERROR(AVERAGE('📊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G177" s="40">
        <f>IFERROR(MEDIAN('📊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H177" s="40">
        <f>IFERROR(MIN('📊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I177" s="40">
        <f>IFERROR(MAX('📊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данные'!K176),"")</f>
        <v/>
      </c>
      <c r="J177" s="41">
        <f>IF(AND(D177&lt;&gt;"",F177&lt;&gt;""),(D177-F177)/F177,"")</f>
        <v/>
      </c>
      <c r="K177" s="41">
        <f>IF(AND(D177&lt;&gt;"",G177&lt;&gt;""),(D177-G177)/G177,"")</f>
        <v/>
      </c>
      <c r="L177" s="41">
        <f>IF(AND(D177&lt;&gt;"",H177&lt;&gt;""),(D177-H177)/H177,"")</f>
        <v/>
      </c>
      <c r="M177" s="42">
        <f>IFERROR(RANK(D177,('📊 Исходные данные'!E176,'📊 Исходные данные'!F176,'📊 Исходные данные'!G176,'📊 Исходные данные'!H176,'📊 Исходные данные'!I176,'📊 Исходные данные'!J176,'📊 Исходные данные'!K176)),"")</f>
        <v/>
      </c>
      <c r="N177" s="39">
        <f>IF(M177="","-",IF(M177=1,"Дороже всех",IF(M177=2,"2-й по цене",IF(M177&lt;=4,"Средний","Ниже конкурентов"))))</f>
        <v/>
      </c>
      <c r="O177" s="41">
        <f>IF(AND(C177&gt;0,D177&gt;0),(D177-C177)/C177,"")</f>
        <v/>
      </c>
      <c r="P177" s="41">
        <f>IF(AND(C177&gt;0,D177&gt;0),(D177-C177)/D177,"")</f>
        <v/>
      </c>
      <c r="Q177" s="40">
        <f>IF(AND(C177&gt;0,D177&gt;0),D177-C177,"")</f>
        <v/>
      </c>
      <c r="R177" s="39">
        <f>IF(P177="","-",IF(P177&lt;0.1,"Низкая(&lt;10%)",IF(P177&lt;0.2,"Средняя(10-20%)","Хорошая(&gt;20%)")))</f>
        <v/>
      </c>
      <c r="S177" s="39">
        <f>IF(OR(H177="",C177=""),"-",IF((H177-C177)/H177&lt;0.05,"КРИТИЧНО",IF((H177-C177)/H177&lt;0.15,"УМЕРЕННЫЙ","НИЗКИЙ")))</f>
        <v/>
      </c>
      <c r="T177" s="43" t="n"/>
      <c r="U177" s="40">
        <f>IF(T177&gt;0,T177*D177,"")</f>
        <v/>
      </c>
      <c r="V177" s="40">
        <f>IF(T177&gt;0,T177*Q177,"")</f>
        <v/>
      </c>
      <c r="W177" s="41">
        <f>IF(U177&gt;0,V177/U177,"")</f>
        <v/>
      </c>
      <c r="X177" s="40">
        <f>IF(F177&lt;&gt;"",F177,"")</f>
        <v/>
      </c>
      <c r="Y177" s="41">
        <f>IF(AND(X177&lt;&gt;"",C177&gt;0),(X177-C177)/C177,"")</f>
        <v/>
      </c>
      <c r="Z177" s="41">
        <f>IF(AND(X177&lt;&gt;"",X177&gt;0),(X177-C177)/X177,"")</f>
        <v/>
      </c>
      <c r="AA177" s="40">
        <f>IF(AND(X177&lt;&gt;"",C177&gt;0),X177-C177,"")</f>
        <v/>
      </c>
      <c r="AB177" s="41">
        <f>IF(AND(X177&lt;&gt;"",D177&gt;0),(X177-D177)/D177,"")</f>
        <v/>
      </c>
      <c r="AC177" s="41">
        <f>IF(AND(Z177&lt;&gt;"",P177&lt;&gt;""),(Z177-P177)/ABS(IF(P177=0,1,P177)),"")</f>
        <v/>
      </c>
      <c r="AD177" s="40">
        <f>IF(AND(AA177&lt;&gt;"",Q177&lt;&gt;""),AA177-Q177,"")</f>
        <v/>
      </c>
      <c r="AE177" s="40">
        <f>IF(G177&lt;&gt;"",G177,"")</f>
        <v/>
      </c>
      <c r="AF177" s="41">
        <f>IF(AND(AE177&lt;&gt;"",C177&gt;0),(AE177-C177)/C177,"")</f>
        <v/>
      </c>
      <c r="AG177" s="41">
        <f>IF(AND(AE177&lt;&gt;"",AE177&gt;0),(AE177-C177)/AE177,"")</f>
        <v/>
      </c>
      <c r="AH177" s="40">
        <f>IF(AND(AE177&lt;&gt;"",C177&gt;0),AE177-C177,"")</f>
        <v/>
      </c>
      <c r="AI177" s="41">
        <f>IF(AND(AE177&lt;&gt;"",D177&gt;0),(AE177-D177)/D177,"")</f>
        <v/>
      </c>
      <c r="AJ177" s="41">
        <f>IF(AND(AG177&lt;&gt;"",P177&lt;&gt;""),(AG177-P177)/ABS(IF(P177=0,1,P177)),"")</f>
        <v/>
      </c>
      <c r="AK177" s="40">
        <f>IF(AND(AH177&lt;&gt;"",Q177&lt;&gt;""),AH177-Q177,"")</f>
        <v/>
      </c>
      <c r="AL177" s="40">
        <f>IF(H177&lt;&gt;"",H177,"")</f>
        <v/>
      </c>
      <c r="AM177" s="41">
        <f>IF(AND(AL177&lt;&gt;"",C177&gt;0),(AL177-C177)/C177,"")</f>
        <v/>
      </c>
      <c r="AN177" s="41">
        <f>IF(AND(AL177&lt;&gt;"",AL177&gt;0),(AL177-C177)/AL177,"")</f>
        <v/>
      </c>
      <c r="AO177" s="40">
        <f>IF(AND(AL177&lt;&gt;"",C177&gt;0),AL177-C177,"")</f>
        <v/>
      </c>
      <c r="AP177" s="41">
        <f>IF(AND(AL177&lt;&gt;"",D177&gt;0),(AL177-D177)/D177,"")</f>
        <v/>
      </c>
      <c r="AQ177" s="41">
        <f>IF(AND(AN177&lt;&gt;"",P177&lt;&gt;""),(AN177-P177)/ABS(IF(P177=0,1,P177)),"")</f>
        <v/>
      </c>
      <c r="AR177" s="40">
        <f>IF(AND(AO177&lt;&gt;"",Q177&lt;&gt;""),AO177-Q177,"")</f>
        <v/>
      </c>
      <c r="AS177" s="44" t="n"/>
      <c r="AT177" s="41">
        <f>IF(AND(AS177&gt;0,C177&gt;0),(AS177-C177)/C177,"")</f>
        <v/>
      </c>
      <c r="AU177" s="41">
        <f>IF(AND(AS177&gt;0,AS177&gt;0),(AS177-C177)/AS177,"")</f>
        <v/>
      </c>
      <c r="AV177" s="40">
        <f>IF(AND(AS177&gt;0,C177&gt;0),AS177-C177,"")</f>
        <v/>
      </c>
      <c r="AW177" s="41">
        <f>IF(AND(AS177&gt;0,D177&gt;0),(AS177-D177)/D177,"")</f>
        <v/>
      </c>
      <c r="AX177" s="41">
        <f>IF(AND(AU177&lt;&gt;"",P177&lt;&gt;""),(AU177-P177)/ABS(IF(P177=0,1,P177)),"")</f>
        <v/>
      </c>
      <c r="AY177" s="40">
        <f>IF(AND(AV177&lt;&gt;"",Q177&lt;&gt;""),AV177-Q177,"")</f>
        <v/>
      </c>
      <c r="AZ177" s="45" t="n"/>
      <c r="BA177" s="40">
        <f>IF(AND(AZ177&gt;0,C177&gt;0),C177/(1-AZ177),"")</f>
        <v/>
      </c>
      <c r="BB177" s="41">
        <f>IF(AND(BA177&lt;&gt;"",C177&gt;0),(BA177-C177)/C177,"")</f>
        <v/>
      </c>
      <c r="BC177" s="41">
        <f>IF(BA177&lt;&gt;"",AZ177,"")</f>
        <v/>
      </c>
      <c r="BD177" s="40">
        <f>IF(AND(BA177&lt;&gt;"",C177&gt;0),BA177-C177,"")</f>
        <v/>
      </c>
      <c r="BE177" s="41">
        <f>IF(AND(BA177&lt;&gt;"",D177&gt;0),(BA177-D177)/D177,"")</f>
        <v/>
      </c>
      <c r="BF177" s="41">
        <f>IF(AND(BC177&lt;&gt;"",P177&lt;&gt;""),(BC177-P177)/ABS(IF(P177=0,1,P177)),"")</f>
        <v/>
      </c>
      <c r="BG177" s="40">
        <f>IF(AND(BD177&lt;&gt;"",Q177&lt;&gt;""),BD177-Q177,"")</f>
        <v/>
      </c>
      <c r="BH177" s="40">
        <f>IF(AND(T177&gt;0,X177&lt;&gt;""),T177*X177,"")</f>
        <v/>
      </c>
      <c r="BI177" s="40">
        <f>IF(AND(T177&gt;0,AA177&lt;&gt;""),T177*AA177,"")</f>
        <v/>
      </c>
      <c r="BJ177" s="40">
        <f>IF(AND(T177&gt;0,AE177&lt;&gt;""),T177*AE177,"")</f>
        <v/>
      </c>
      <c r="BK177" s="40">
        <f>IF(AND(T177&gt;0,AH177&lt;&gt;""),T177*AH177,"")</f>
        <v/>
      </c>
      <c r="BL177" s="40">
        <f>IF(AND(T177&gt;0,AL177&lt;&gt;""),T177*AL177,"")</f>
        <v/>
      </c>
      <c r="BM177" s="40">
        <f>IF(AND(T177&gt;0,AO177&lt;&gt;""),T177*AO177,"")</f>
        <v/>
      </c>
      <c r="BN177" s="40">
        <f>IF(AND(T177&gt;0,AS177&gt;0),T177*AS177,"")</f>
        <v/>
      </c>
      <c r="BO177" s="40">
        <f>IF(AND(T177&gt;0,AV177&lt;&gt;""),T177*AV177,"")</f>
        <v/>
      </c>
      <c r="BP177" s="40">
        <f>IF(AND(T177&gt;0,BA177&lt;&gt;""),T177*BA177,"")</f>
        <v/>
      </c>
      <c r="BQ177" s="40">
        <f>IF(AND(T177&gt;0,BD177&lt;&gt;""),T177*BD177,"")</f>
        <v/>
      </c>
      <c r="BR177" s="46">
        <f>IF(AND(T177&gt;0,V177&gt;0,AA177&lt;&gt;0),V177/AA177-T177,"")</f>
        <v/>
      </c>
      <c r="BS177" s="41">
        <f>IF(AND(BR177&lt;&gt;"",T177&gt;0),BR177/T177,"")</f>
        <v/>
      </c>
      <c r="BT177" s="46">
        <f>IF(AND(T177&gt;0,V177&gt;0,AO177&lt;&gt;0),V177/AO177-T177,"")</f>
        <v/>
      </c>
      <c r="BU177" s="41">
        <f>IF(AND(BT177&lt;&gt;"",T177&gt;0),BT177/T177,"")</f>
        <v/>
      </c>
    </row>
    <row r="178">
      <c r="A178" s="36">
        <f>'📊 Исходные данные'!A177</f>
        <v/>
      </c>
      <c r="B178" s="37">
        <f>'📊 Исходные данные'!B177</f>
        <v/>
      </c>
      <c r="C178" s="38">
        <f>'📊 Исходные данные'!C177</f>
        <v/>
      </c>
      <c r="D178" s="38">
        <f>'📊 Исходные данные'!D177</f>
        <v/>
      </c>
      <c r="E178" s="39">
        <f>IF(OR(D178="",F178=""),"-",IF(D178&gt;F178*1.05,"Выше рынка",IF(D178&lt;F178*0.95,"Ниже рынка","На уровне")))</f>
        <v/>
      </c>
      <c r="F178" s="40">
        <f>IFERROR(AVERAGE('📊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G178" s="40">
        <f>IFERROR(MEDIAN('📊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H178" s="40">
        <f>IFERROR(MIN('📊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I178" s="40">
        <f>IFERROR(MAX('📊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данные'!K177),"")</f>
        <v/>
      </c>
      <c r="J178" s="41">
        <f>IF(AND(D178&lt;&gt;"",F178&lt;&gt;""),(D178-F178)/F178,"")</f>
        <v/>
      </c>
      <c r="K178" s="41">
        <f>IF(AND(D178&lt;&gt;"",G178&lt;&gt;""),(D178-G178)/G178,"")</f>
        <v/>
      </c>
      <c r="L178" s="41">
        <f>IF(AND(D178&lt;&gt;"",H178&lt;&gt;""),(D178-H178)/H178,"")</f>
        <v/>
      </c>
      <c r="M178" s="42">
        <f>IFERROR(RANK(D178,('📊 Исходные данные'!E177,'📊 Исходные данные'!F177,'📊 Исходные данные'!G177,'📊 Исходные данные'!H177,'📊 Исходные данные'!I177,'📊 Исходные данные'!J177,'📊 Исходные данные'!K177)),"")</f>
        <v/>
      </c>
      <c r="N178" s="39">
        <f>IF(M178="","-",IF(M178=1,"Дороже всех",IF(M178=2,"2-й по цене",IF(M178&lt;=4,"Средний","Ниже конкурентов"))))</f>
        <v/>
      </c>
      <c r="O178" s="41">
        <f>IF(AND(C178&gt;0,D178&gt;0),(D178-C178)/C178,"")</f>
        <v/>
      </c>
      <c r="P178" s="41">
        <f>IF(AND(C178&gt;0,D178&gt;0),(D178-C178)/D178,"")</f>
        <v/>
      </c>
      <c r="Q178" s="40">
        <f>IF(AND(C178&gt;0,D178&gt;0),D178-C178,"")</f>
        <v/>
      </c>
      <c r="R178" s="39">
        <f>IF(P178="","-",IF(P178&lt;0.1,"Низкая(&lt;10%)",IF(P178&lt;0.2,"Средняя(10-20%)","Хорошая(&gt;20%)")))</f>
        <v/>
      </c>
      <c r="S178" s="39">
        <f>IF(OR(H178="",C178=""),"-",IF((H178-C178)/H178&lt;0.05,"КРИТИЧНО",IF((H178-C178)/H178&lt;0.15,"УМЕРЕННЫЙ","НИЗКИЙ")))</f>
        <v/>
      </c>
      <c r="T178" s="43" t="n"/>
      <c r="U178" s="40">
        <f>IF(T178&gt;0,T178*D178,"")</f>
        <v/>
      </c>
      <c r="V178" s="40">
        <f>IF(T178&gt;0,T178*Q178,"")</f>
        <v/>
      </c>
      <c r="W178" s="41">
        <f>IF(U178&gt;0,V178/U178,"")</f>
        <v/>
      </c>
      <c r="X178" s="40">
        <f>IF(F178&lt;&gt;"",F178,"")</f>
        <v/>
      </c>
      <c r="Y178" s="41">
        <f>IF(AND(X178&lt;&gt;"",C178&gt;0),(X178-C178)/C178,"")</f>
        <v/>
      </c>
      <c r="Z178" s="41">
        <f>IF(AND(X178&lt;&gt;"",X178&gt;0),(X178-C178)/X178,"")</f>
        <v/>
      </c>
      <c r="AA178" s="40">
        <f>IF(AND(X178&lt;&gt;"",C178&gt;0),X178-C178,"")</f>
        <v/>
      </c>
      <c r="AB178" s="41">
        <f>IF(AND(X178&lt;&gt;"",D178&gt;0),(X178-D178)/D178,"")</f>
        <v/>
      </c>
      <c r="AC178" s="41">
        <f>IF(AND(Z178&lt;&gt;"",P178&lt;&gt;""),(Z178-P178)/ABS(IF(P178=0,1,P178)),"")</f>
        <v/>
      </c>
      <c r="AD178" s="40">
        <f>IF(AND(AA178&lt;&gt;"",Q178&lt;&gt;""),AA178-Q178,"")</f>
        <v/>
      </c>
      <c r="AE178" s="40">
        <f>IF(G178&lt;&gt;"",G178,"")</f>
        <v/>
      </c>
      <c r="AF178" s="41">
        <f>IF(AND(AE178&lt;&gt;"",C178&gt;0),(AE178-C178)/C178,"")</f>
        <v/>
      </c>
      <c r="AG178" s="41">
        <f>IF(AND(AE178&lt;&gt;"",AE178&gt;0),(AE178-C178)/AE178,"")</f>
        <v/>
      </c>
      <c r="AH178" s="40">
        <f>IF(AND(AE178&lt;&gt;"",C178&gt;0),AE178-C178,"")</f>
        <v/>
      </c>
      <c r="AI178" s="41">
        <f>IF(AND(AE178&lt;&gt;"",D178&gt;0),(AE178-D178)/D178,"")</f>
        <v/>
      </c>
      <c r="AJ178" s="41">
        <f>IF(AND(AG178&lt;&gt;"",P178&lt;&gt;""),(AG178-P178)/ABS(IF(P178=0,1,P178)),"")</f>
        <v/>
      </c>
      <c r="AK178" s="40">
        <f>IF(AND(AH178&lt;&gt;"",Q178&lt;&gt;""),AH178-Q178,"")</f>
        <v/>
      </c>
      <c r="AL178" s="40">
        <f>IF(H178&lt;&gt;"",H178,"")</f>
        <v/>
      </c>
      <c r="AM178" s="41">
        <f>IF(AND(AL178&lt;&gt;"",C178&gt;0),(AL178-C178)/C178,"")</f>
        <v/>
      </c>
      <c r="AN178" s="41">
        <f>IF(AND(AL178&lt;&gt;"",AL178&gt;0),(AL178-C178)/AL178,"")</f>
        <v/>
      </c>
      <c r="AO178" s="40">
        <f>IF(AND(AL178&lt;&gt;"",C178&gt;0),AL178-C178,"")</f>
        <v/>
      </c>
      <c r="AP178" s="41">
        <f>IF(AND(AL178&lt;&gt;"",D178&gt;0),(AL178-D178)/D178,"")</f>
        <v/>
      </c>
      <c r="AQ178" s="41">
        <f>IF(AND(AN178&lt;&gt;"",P178&lt;&gt;""),(AN178-P178)/ABS(IF(P178=0,1,P178)),"")</f>
        <v/>
      </c>
      <c r="AR178" s="40">
        <f>IF(AND(AO178&lt;&gt;"",Q178&lt;&gt;""),AO178-Q178,"")</f>
        <v/>
      </c>
      <c r="AS178" s="44" t="n"/>
      <c r="AT178" s="41">
        <f>IF(AND(AS178&gt;0,C178&gt;0),(AS178-C178)/C178,"")</f>
        <v/>
      </c>
      <c r="AU178" s="41">
        <f>IF(AND(AS178&gt;0,AS178&gt;0),(AS178-C178)/AS178,"")</f>
        <v/>
      </c>
      <c r="AV178" s="40">
        <f>IF(AND(AS178&gt;0,C178&gt;0),AS178-C178,"")</f>
        <v/>
      </c>
      <c r="AW178" s="41">
        <f>IF(AND(AS178&gt;0,D178&gt;0),(AS178-D178)/D178,"")</f>
        <v/>
      </c>
      <c r="AX178" s="41">
        <f>IF(AND(AU178&lt;&gt;"",P178&lt;&gt;""),(AU178-P178)/ABS(IF(P178=0,1,P178)),"")</f>
        <v/>
      </c>
      <c r="AY178" s="40">
        <f>IF(AND(AV178&lt;&gt;"",Q178&lt;&gt;""),AV178-Q178,"")</f>
        <v/>
      </c>
      <c r="AZ178" s="45" t="n"/>
      <c r="BA178" s="40">
        <f>IF(AND(AZ178&gt;0,C178&gt;0),C178/(1-AZ178),"")</f>
        <v/>
      </c>
      <c r="BB178" s="41">
        <f>IF(AND(BA178&lt;&gt;"",C178&gt;0),(BA178-C178)/C178,"")</f>
        <v/>
      </c>
      <c r="BC178" s="41">
        <f>IF(BA178&lt;&gt;"",AZ178,"")</f>
        <v/>
      </c>
      <c r="BD178" s="40">
        <f>IF(AND(BA178&lt;&gt;"",C178&gt;0),BA178-C178,"")</f>
        <v/>
      </c>
      <c r="BE178" s="41">
        <f>IF(AND(BA178&lt;&gt;"",D178&gt;0),(BA178-D178)/D178,"")</f>
        <v/>
      </c>
      <c r="BF178" s="41">
        <f>IF(AND(BC178&lt;&gt;"",P178&lt;&gt;""),(BC178-P178)/ABS(IF(P178=0,1,P178)),"")</f>
        <v/>
      </c>
      <c r="BG178" s="40">
        <f>IF(AND(BD178&lt;&gt;"",Q178&lt;&gt;""),BD178-Q178,"")</f>
        <v/>
      </c>
      <c r="BH178" s="40">
        <f>IF(AND(T178&gt;0,X178&lt;&gt;""),T178*X178,"")</f>
        <v/>
      </c>
      <c r="BI178" s="40">
        <f>IF(AND(T178&gt;0,AA178&lt;&gt;""),T178*AA178,"")</f>
        <v/>
      </c>
      <c r="BJ178" s="40">
        <f>IF(AND(T178&gt;0,AE178&lt;&gt;""),T178*AE178,"")</f>
        <v/>
      </c>
      <c r="BK178" s="40">
        <f>IF(AND(T178&gt;0,AH178&lt;&gt;""),T178*AH178,"")</f>
        <v/>
      </c>
      <c r="BL178" s="40">
        <f>IF(AND(T178&gt;0,AL178&lt;&gt;""),T178*AL178,"")</f>
        <v/>
      </c>
      <c r="BM178" s="40">
        <f>IF(AND(T178&gt;0,AO178&lt;&gt;""),T178*AO178,"")</f>
        <v/>
      </c>
      <c r="BN178" s="40">
        <f>IF(AND(T178&gt;0,AS178&gt;0),T178*AS178,"")</f>
        <v/>
      </c>
      <c r="BO178" s="40">
        <f>IF(AND(T178&gt;0,AV178&lt;&gt;""),T178*AV178,"")</f>
        <v/>
      </c>
      <c r="BP178" s="40">
        <f>IF(AND(T178&gt;0,BA178&lt;&gt;""),T178*BA178,"")</f>
        <v/>
      </c>
      <c r="BQ178" s="40">
        <f>IF(AND(T178&gt;0,BD178&lt;&gt;""),T178*BD178,"")</f>
        <v/>
      </c>
      <c r="BR178" s="46">
        <f>IF(AND(T178&gt;0,V178&gt;0,AA178&lt;&gt;0),V178/AA178-T178,"")</f>
        <v/>
      </c>
      <c r="BS178" s="41">
        <f>IF(AND(BR178&lt;&gt;"",T178&gt;0),BR178/T178,"")</f>
        <v/>
      </c>
      <c r="BT178" s="46">
        <f>IF(AND(T178&gt;0,V178&gt;0,AO178&lt;&gt;0),V178/AO178-T178,"")</f>
        <v/>
      </c>
      <c r="BU178" s="41">
        <f>IF(AND(BT178&lt;&gt;"",T178&gt;0),BT178/T178,"")</f>
        <v/>
      </c>
    </row>
    <row r="179">
      <c r="A179" s="36">
        <f>'📊 Исходные данные'!A178</f>
        <v/>
      </c>
      <c r="B179" s="37">
        <f>'📊 Исходные данные'!B178</f>
        <v/>
      </c>
      <c r="C179" s="38">
        <f>'📊 Исходные данные'!C178</f>
        <v/>
      </c>
      <c r="D179" s="38">
        <f>'📊 Исходные данные'!D178</f>
        <v/>
      </c>
      <c r="E179" s="39">
        <f>IF(OR(D179="",F179=""),"-",IF(D179&gt;F179*1.05,"Выше рынка",IF(D179&lt;F179*0.95,"Ниже рынка","На уровне")))</f>
        <v/>
      </c>
      <c r="F179" s="40">
        <f>IFERROR(AVERAGE('📊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G179" s="40">
        <f>IFERROR(MEDIAN('📊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H179" s="40">
        <f>IFERROR(MIN('📊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I179" s="40">
        <f>IFERROR(MAX('📊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данные'!K178),"")</f>
        <v/>
      </c>
      <c r="J179" s="41">
        <f>IF(AND(D179&lt;&gt;"",F179&lt;&gt;""),(D179-F179)/F179,"")</f>
        <v/>
      </c>
      <c r="K179" s="41">
        <f>IF(AND(D179&lt;&gt;"",G179&lt;&gt;""),(D179-G179)/G179,"")</f>
        <v/>
      </c>
      <c r="L179" s="41">
        <f>IF(AND(D179&lt;&gt;"",H179&lt;&gt;""),(D179-H179)/H179,"")</f>
        <v/>
      </c>
      <c r="M179" s="42">
        <f>IFERROR(RANK(D179,('📊 Исходные данные'!E178,'📊 Исходные данные'!F178,'📊 Исходные данные'!G178,'📊 Исходные данные'!H178,'📊 Исходные данные'!I178,'📊 Исходные данные'!J178,'📊 Исходные данные'!K178)),"")</f>
        <v/>
      </c>
      <c r="N179" s="39">
        <f>IF(M179="","-",IF(M179=1,"Дороже всех",IF(M179=2,"2-й по цене",IF(M179&lt;=4,"Средний","Ниже конкурентов"))))</f>
        <v/>
      </c>
      <c r="O179" s="41">
        <f>IF(AND(C179&gt;0,D179&gt;0),(D179-C179)/C179,"")</f>
        <v/>
      </c>
      <c r="P179" s="41">
        <f>IF(AND(C179&gt;0,D179&gt;0),(D179-C179)/D179,"")</f>
        <v/>
      </c>
      <c r="Q179" s="40">
        <f>IF(AND(C179&gt;0,D179&gt;0),D179-C179,"")</f>
        <v/>
      </c>
      <c r="R179" s="39">
        <f>IF(P179="","-",IF(P179&lt;0.1,"Низкая(&lt;10%)",IF(P179&lt;0.2,"Средняя(10-20%)","Хорошая(&gt;20%)")))</f>
        <v/>
      </c>
      <c r="S179" s="39">
        <f>IF(OR(H179="",C179=""),"-",IF((H179-C179)/H179&lt;0.05,"КРИТИЧНО",IF((H179-C179)/H179&lt;0.15,"УМЕРЕННЫЙ","НИЗКИЙ")))</f>
        <v/>
      </c>
      <c r="T179" s="43" t="n"/>
      <c r="U179" s="40">
        <f>IF(T179&gt;0,T179*D179,"")</f>
        <v/>
      </c>
      <c r="V179" s="40">
        <f>IF(T179&gt;0,T179*Q179,"")</f>
        <v/>
      </c>
      <c r="W179" s="41">
        <f>IF(U179&gt;0,V179/U179,"")</f>
        <v/>
      </c>
      <c r="X179" s="40">
        <f>IF(F179&lt;&gt;"",F179,"")</f>
        <v/>
      </c>
      <c r="Y179" s="41">
        <f>IF(AND(X179&lt;&gt;"",C179&gt;0),(X179-C179)/C179,"")</f>
        <v/>
      </c>
      <c r="Z179" s="41">
        <f>IF(AND(X179&lt;&gt;"",X179&gt;0),(X179-C179)/X179,"")</f>
        <v/>
      </c>
      <c r="AA179" s="40">
        <f>IF(AND(X179&lt;&gt;"",C179&gt;0),X179-C179,"")</f>
        <v/>
      </c>
      <c r="AB179" s="41">
        <f>IF(AND(X179&lt;&gt;"",D179&gt;0),(X179-D179)/D179,"")</f>
        <v/>
      </c>
      <c r="AC179" s="41">
        <f>IF(AND(Z179&lt;&gt;"",P179&lt;&gt;""),(Z179-P179)/ABS(IF(P179=0,1,P179)),"")</f>
        <v/>
      </c>
      <c r="AD179" s="40">
        <f>IF(AND(AA179&lt;&gt;"",Q179&lt;&gt;""),AA179-Q179,"")</f>
        <v/>
      </c>
      <c r="AE179" s="40">
        <f>IF(G179&lt;&gt;"",G179,"")</f>
        <v/>
      </c>
      <c r="AF179" s="41">
        <f>IF(AND(AE179&lt;&gt;"",C179&gt;0),(AE179-C179)/C179,"")</f>
        <v/>
      </c>
      <c r="AG179" s="41">
        <f>IF(AND(AE179&lt;&gt;"",AE179&gt;0),(AE179-C179)/AE179,"")</f>
        <v/>
      </c>
      <c r="AH179" s="40">
        <f>IF(AND(AE179&lt;&gt;"",C179&gt;0),AE179-C179,"")</f>
        <v/>
      </c>
      <c r="AI179" s="41">
        <f>IF(AND(AE179&lt;&gt;"",D179&gt;0),(AE179-D179)/D179,"")</f>
        <v/>
      </c>
      <c r="AJ179" s="41">
        <f>IF(AND(AG179&lt;&gt;"",P179&lt;&gt;""),(AG179-P179)/ABS(IF(P179=0,1,P179)),"")</f>
        <v/>
      </c>
      <c r="AK179" s="40">
        <f>IF(AND(AH179&lt;&gt;"",Q179&lt;&gt;""),AH179-Q179,"")</f>
        <v/>
      </c>
      <c r="AL179" s="40">
        <f>IF(H179&lt;&gt;"",H179,"")</f>
        <v/>
      </c>
      <c r="AM179" s="41">
        <f>IF(AND(AL179&lt;&gt;"",C179&gt;0),(AL179-C179)/C179,"")</f>
        <v/>
      </c>
      <c r="AN179" s="41">
        <f>IF(AND(AL179&lt;&gt;"",AL179&gt;0),(AL179-C179)/AL179,"")</f>
        <v/>
      </c>
      <c r="AO179" s="40">
        <f>IF(AND(AL179&lt;&gt;"",C179&gt;0),AL179-C179,"")</f>
        <v/>
      </c>
      <c r="AP179" s="41">
        <f>IF(AND(AL179&lt;&gt;"",D179&gt;0),(AL179-D179)/D179,"")</f>
        <v/>
      </c>
      <c r="AQ179" s="41">
        <f>IF(AND(AN179&lt;&gt;"",P179&lt;&gt;""),(AN179-P179)/ABS(IF(P179=0,1,P179)),"")</f>
        <v/>
      </c>
      <c r="AR179" s="40">
        <f>IF(AND(AO179&lt;&gt;"",Q179&lt;&gt;""),AO179-Q179,"")</f>
        <v/>
      </c>
      <c r="AS179" s="44" t="n"/>
      <c r="AT179" s="41">
        <f>IF(AND(AS179&gt;0,C179&gt;0),(AS179-C179)/C179,"")</f>
        <v/>
      </c>
      <c r="AU179" s="41">
        <f>IF(AND(AS179&gt;0,AS179&gt;0),(AS179-C179)/AS179,"")</f>
        <v/>
      </c>
      <c r="AV179" s="40">
        <f>IF(AND(AS179&gt;0,C179&gt;0),AS179-C179,"")</f>
        <v/>
      </c>
      <c r="AW179" s="41">
        <f>IF(AND(AS179&gt;0,D179&gt;0),(AS179-D179)/D179,"")</f>
        <v/>
      </c>
      <c r="AX179" s="41">
        <f>IF(AND(AU179&lt;&gt;"",P179&lt;&gt;""),(AU179-P179)/ABS(IF(P179=0,1,P179)),"")</f>
        <v/>
      </c>
      <c r="AY179" s="40">
        <f>IF(AND(AV179&lt;&gt;"",Q179&lt;&gt;""),AV179-Q179,"")</f>
        <v/>
      </c>
      <c r="AZ179" s="45" t="n"/>
      <c r="BA179" s="40">
        <f>IF(AND(AZ179&gt;0,C179&gt;0),C179/(1-AZ179),"")</f>
        <v/>
      </c>
      <c r="BB179" s="41">
        <f>IF(AND(BA179&lt;&gt;"",C179&gt;0),(BA179-C179)/C179,"")</f>
        <v/>
      </c>
      <c r="BC179" s="41">
        <f>IF(BA179&lt;&gt;"",AZ179,"")</f>
        <v/>
      </c>
      <c r="BD179" s="40">
        <f>IF(AND(BA179&lt;&gt;"",C179&gt;0),BA179-C179,"")</f>
        <v/>
      </c>
      <c r="BE179" s="41">
        <f>IF(AND(BA179&lt;&gt;"",D179&gt;0),(BA179-D179)/D179,"")</f>
        <v/>
      </c>
      <c r="BF179" s="41">
        <f>IF(AND(BC179&lt;&gt;"",P179&lt;&gt;""),(BC179-P179)/ABS(IF(P179=0,1,P179)),"")</f>
        <v/>
      </c>
      <c r="BG179" s="40">
        <f>IF(AND(BD179&lt;&gt;"",Q179&lt;&gt;""),BD179-Q179,"")</f>
        <v/>
      </c>
      <c r="BH179" s="40">
        <f>IF(AND(T179&gt;0,X179&lt;&gt;""),T179*X179,"")</f>
        <v/>
      </c>
      <c r="BI179" s="40">
        <f>IF(AND(T179&gt;0,AA179&lt;&gt;""),T179*AA179,"")</f>
        <v/>
      </c>
      <c r="BJ179" s="40">
        <f>IF(AND(T179&gt;0,AE179&lt;&gt;""),T179*AE179,"")</f>
        <v/>
      </c>
      <c r="BK179" s="40">
        <f>IF(AND(T179&gt;0,AH179&lt;&gt;""),T179*AH179,"")</f>
        <v/>
      </c>
      <c r="BL179" s="40">
        <f>IF(AND(T179&gt;0,AL179&lt;&gt;""),T179*AL179,"")</f>
        <v/>
      </c>
      <c r="BM179" s="40">
        <f>IF(AND(T179&gt;0,AO179&lt;&gt;""),T179*AO179,"")</f>
        <v/>
      </c>
      <c r="BN179" s="40">
        <f>IF(AND(T179&gt;0,AS179&gt;0),T179*AS179,"")</f>
        <v/>
      </c>
      <c r="BO179" s="40">
        <f>IF(AND(T179&gt;0,AV179&lt;&gt;""),T179*AV179,"")</f>
        <v/>
      </c>
      <c r="BP179" s="40">
        <f>IF(AND(T179&gt;0,BA179&lt;&gt;""),T179*BA179,"")</f>
        <v/>
      </c>
      <c r="BQ179" s="40">
        <f>IF(AND(T179&gt;0,BD179&lt;&gt;""),T179*BD179,"")</f>
        <v/>
      </c>
      <c r="BR179" s="46">
        <f>IF(AND(T179&gt;0,V179&gt;0,AA179&lt;&gt;0),V179/AA179-T179,"")</f>
        <v/>
      </c>
      <c r="BS179" s="41">
        <f>IF(AND(BR179&lt;&gt;"",T179&gt;0),BR179/T179,"")</f>
        <v/>
      </c>
      <c r="BT179" s="46">
        <f>IF(AND(T179&gt;0,V179&gt;0,AO179&lt;&gt;0),V179/AO179-T179,"")</f>
        <v/>
      </c>
      <c r="BU179" s="41">
        <f>IF(AND(BT179&lt;&gt;"",T179&gt;0),BT179/T179,"")</f>
        <v/>
      </c>
    </row>
    <row r="180">
      <c r="A180" s="36">
        <f>'📊 Исходные данные'!A179</f>
        <v/>
      </c>
      <c r="B180" s="37">
        <f>'📊 Исходные данные'!B179</f>
        <v/>
      </c>
      <c r="C180" s="38">
        <f>'📊 Исходные данные'!C179</f>
        <v/>
      </c>
      <c r="D180" s="38">
        <f>'📊 Исходные данные'!D179</f>
        <v/>
      </c>
      <c r="E180" s="39">
        <f>IF(OR(D180="",F180=""),"-",IF(D180&gt;F180*1.05,"Выше рынка",IF(D180&lt;F180*0.95,"Ниже рынка","На уровне")))</f>
        <v/>
      </c>
      <c r="F180" s="40">
        <f>IFERROR(AVERAGE('📊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G180" s="40">
        <f>IFERROR(MEDIAN('📊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H180" s="40">
        <f>IFERROR(MIN('📊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I180" s="40">
        <f>IFERROR(MAX('📊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данные'!K179),"")</f>
        <v/>
      </c>
      <c r="J180" s="41">
        <f>IF(AND(D180&lt;&gt;"",F180&lt;&gt;""),(D180-F180)/F180,"")</f>
        <v/>
      </c>
      <c r="K180" s="41">
        <f>IF(AND(D180&lt;&gt;"",G180&lt;&gt;""),(D180-G180)/G180,"")</f>
        <v/>
      </c>
      <c r="L180" s="41">
        <f>IF(AND(D180&lt;&gt;"",H180&lt;&gt;""),(D180-H180)/H180,"")</f>
        <v/>
      </c>
      <c r="M180" s="42">
        <f>IFERROR(RANK(D180,('📊 Исходные данные'!E179,'📊 Исходные данные'!F179,'📊 Исходные данные'!G179,'📊 Исходные данные'!H179,'📊 Исходные данные'!I179,'📊 Исходные данные'!J179,'📊 Исходные данные'!K179)),"")</f>
        <v/>
      </c>
      <c r="N180" s="39">
        <f>IF(M180="","-",IF(M180=1,"Дороже всех",IF(M180=2,"2-й по цене",IF(M180&lt;=4,"Средний","Ниже конкурентов"))))</f>
        <v/>
      </c>
      <c r="O180" s="41">
        <f>IF(AND(C180&gt;0,D180&gt;0),(D180-C180)/C180,"")</f>
        <v/>
      </c>
      <c r="P180" s="41">
        <f>IF(AND(C180&gt;0,D180&gt;0),(D180-C180)/D180,"")</f>
        <v/>
      </c>
      <c r="Q180" s="40">
        <f>IF(AND(C180&gt;0,D180&gt;0),D180-C180,"")</f>
        <v/>
      </c>
      <c r="R180" s="39">
        <f>IF(P180="","-",IF(P180&lt;0.1,"Низкая(&lt;10%)",IF(P180&lt;0.2,"Средняя(10-20%)","Хорошая(&gt;20%)")))</f>
        <v/>
      </c>
      <c r="S180" s="39">
        <f>IF(OR(H180="",C180=""),"-",IF((H180-C180)/H180&lt;0.05,"КРИТИЧНО",IF((H180-C180)/H180&lt;0.15,"УМЕРЕННЫЙ","НИЗКИЙ")))</f>
        <v/>
      </c>
      <c r="T180" s="43" t="n"/>
      <c r="U180" s="40">
        <f>IF(T180&gt;0,T180*D180,"")</f>
        <v/>
      </c>
      <c r="V180" s="40">
        <f>IF(T180&gt;0,T180*Q180,"")</f>
        <v/>
      </c>
      <c r="W180" s="41">
        <f>IF(U180&gt;0,V180/U180,"")</f>
        <v/>
      </c>
      <c r="X180" s="40">
        <f>IF(F180&lt;&gt;"",F180,"")</f>
        <v/>
      </c>
      <c r="Y180" s="41">
        <f>IF(AND(X180&lt;&gt;"",C180&gt;0),(X180-C180)/C180,"")</f>
        <v/>
      </c>
      <c r="Z180" s="41">
        <f>IF(AND(X180&lt;&gt;"",X180&gt;0),(X180-C180)/X180,"")</f>
        <v/>
      </c>
      <c r="AA180" s="40">
        <f>IF(AND(X180&lt;&gt;"",C180&gt;0),X180-C180,"")</f>
        <v/>
      </c>
      <c r="AB180" s="41">
        <f>IF(AND(X180&lt;&gt;"",D180&gt;0),(X180-D180)/D180,"")</f>
        <v/>
      </c>
      <c r="AC180" s="41">
        <f>IF(AND(Z180&lt;&gt;"",P180&lt;&gt;""),(Z180-P180)/ABS(IF(P180=0,1,P180)),"")</f>
        <v/>
      </c>
      <c r="AD180" s="40">
        <f>IF(AND(AA180&lt;&gt;"",Q180&lt;&gt;""),AA180-Q180,"")</f>
        <v/>
      </c>
      <c r="AE180" s="40">
        <f>IF(G180&lt;&gt;"",G180,"")</f>
        <v/>
      </c>
      <c r="AF180" s="41">
        <f>IF(AND(AE180&lt;&gt;"",C180&gt;0),(AE180-C180)/C180,"")</f>
        <v/>
      </c>
      <c r="AG180" s="41">
        <f>IF(AND(AE180&lt;&gt;"",AE180&gt;0),(AE180-C180)/AE180,"")</f>
        <v/>
      </c>
      <c r="AH180" s="40">
        <f>IF(AND(AE180&lt;&gt;"",C180&gt;0),AE180-C180,"")</f>
        <v/>
      </c>
      <c r="AI180" s="41">
        <f>IF(AND(AE180&lt;&gt;"",D180&gt;0),(AE180-D180)/D180,"")</f>
        <v/>
      </c>
      <c r="AJ180" s="41">
        <f>IF(AND(AG180&lt;&gt;"",P180&lt;&gt;""),(AG180-P180)/ABS(IF(P180=0,1,P180)),"")</f>
        <v/>
      </c>
      <c r="AK180" s="40">
        <f>IF(AND(AH180&lt;&gt;"",Q180&lt;&gt;""),AH180-Q180,"")</f>
        <v/>
      </c>
      <c r="AL180" s="40">
        <f>IF(H180&lt;&gt;"",H180,"")</f>
        <v/>
      </c>
      <c r="AM180" s="41">
        <f>IF(AND(AL180&lt;&gt;"",C180&gt;0),(AL180-C180)/C180,"")</f>
        <v/>
      </c>
      <c r="AN180" s="41">
        <f>IF(AND(AL180&lt;&gt;"",AL180&gt;0),(AL180-C180)/AL180,"")</f>
        <v/>
      </c>
      <c r="AO180" s="40">
        <f>IF(AND(AL180&lt;&gt;"",C180&gt;0),AL180-C180,"")</f>
        <v/>
      </c>
      <c r="AP180" s="41">
        <f>IF(AND(AL180&lt;&gt;"",D180&gt;0),(AL180-D180)/D180,"")</f>
        <v/>
      </c>
      <c r="AQ180" s="41">
        <f>IF(AND(AN180&lt;&gt;"",P180&lt;&gt;""),(AN180-P180)/ABS(IF(P180=0,1,P180)),"")</f>
        <v/>
      </c>
      <c r="AR180" s="40">
        <f>IF(AND(AO180&lt;&gt;"",Q180&lt;&gt;""),AO180-Q180,"")</f>
        <v/>
      </c>
      <c r="AS180" s="44" t="n"/>
      <c r="AT180" s="41">
        <f>IF(AND(AS180&gt;0,C180&gt;0),(AS180-C180)/C180,"")</f>
        <v/>
      </c>
      <c r="AU180" s="41">
        <f>IF(AND(AS180&gt;0,AS180&gt;0),(AS180-C180)/AS180,"")</f>
        <v/>
      </c>
      <c r="AV180" s="40">
        <f>IF(AND(AS180&gt;0,C180&gt;0),AS180-C180,"")</f>
        <v/>
      </c>
      <c r="AW180" s="41">
        <f>IF(AND(AS180&gt;0,D180&gt;0),(AS180-D180)/D180,"")</f>
        <v/>
      </c>
      <c r="AX180" s="41">
        <f>IF(AND(AU180&lt;&gt;"",P180&lt;&gt;""),(AU180-P180)/ABS(IF(P180=0,1,P180)),"")</f>
        <v/>
      </c>
      <c r="AY180" s="40">
        <f>IF(AND(AV180&lt;&gt;"",Q180&lt;&gt;""),AV180-Q180,"")</f>
        <v/>
      </c>
      <c r="AZ180" s="45" t="n"/>
      <c r="BA180" s="40">
        <f>IF(AND(AZ180&gt;0,C180&gt;0),C180/(1-AZ180),"")</f>
        <v/>
      </c>
      <c r="BB180" s="41">
        <f>IF(AND(BA180&lt;&gt;"",C180&gt;0),(BA180-C180)/C180,"")</f>
        <v/>
      </c>
      <c r="BC180" s="41">
        <f>IF(BA180&lt;&gt;"",AZ180,"")</f>
        <v/>
      </c>
      <c r="BD180" s="40">
        <f>IF(AND(BA180&lt;&gt;"",C180&gt;0),BA180-C180,"")</f>
        <v/>
      </c>
      <c r="BE180" s="41">
        <f>IF(AND(BA180&lt;&gt;"",D180&gt;0),(BA180-D180)/D180,"")</f>
        <v/>
      </c>
      <c r="BF180" s="41">
        <f>IF(AND(BC180&lt;&gt;"",P180&lt;&gt;""),(BC180-P180)/ABS(IF(P180=0,1,P180)),"")</f>
        <v/>
      </c>
      <c r="BG180" s="40">
        <f>IF(AND(BD180&lt;&gt;"",Q180&lt;&gt;""),BD180-Q180,"")</f>
        <v/>
      </c>
      <c r="BH180" s="40">
        <f>IF(AND(T180&gt;0,X180&lt;&gt;""),T180*X180,"")</f>
        <v/>
      </c>
      <c r="BI180" s="40">
        <f>IF(AND(T180&gt;0,AA180&lt;&gt;""),T180*AA180,"")</f>
        <v/>
      </c>
      <c r="BJ180" s="40">
        <f>IF(AND(T180&gt;0,AE180&lt;&gt;""),T180*AE180,"")</f>
        <v/>
      </c>
      <c r="BK180" s="40">
        <f>IF(AND(T180&gt;0,AH180&lt;&gt;""),T180*AH180,"")</f>
        <v/>
      </c>
      <c r="BL180" s="40">
        <f>IF(AND(T180&gt;0,AL180&lt;&gt;""),T180*AL180,"")</f>
        <v/>
      </c>
      <c r="BM180" s="40">
        <f>IF(AND(T180&gt;0,AO180&lt;&gt;""),T180*AO180,"")</f>
        <v/>
      </c>
      <c r="BN180" s="40">
        <f>IF(AND(T180&gt;0,AS180&gt;0),T180*AS180,"")</f>
        <v/>
      </c>
      <c r="BO180" s="40">
        <f>IF(AND(T180&gt;0,AV180&lt;&gt;""),T180*AV180,"")</f>
        <v/>
      </c>
      <c r="BP180" s="40">
        <f>IF(AND(T180&gt;0,BA180&lt;&gt;""),T180*BA180,"")</f>
        <v/>
      </c>
      <c r="BQ180" s="40">
        <f>IF(AND(T180&gt;0,BD180&lt;&gt;""),T180*BD180,"")</f>
        <v/>
      </c>
      <c r="BR180" s="46">
        <f>IF(AND(T180&gt;0,V180&gt;0,AA180&lt;&gt;0),V180/AA180-T180,"")</f>
        <v/>
      </c>
      <c r="BS180" s="41">
        <f>IF(AND(BR180&lt;&gt;"",T180&gt;0),BR180/T180,"")</f>
        <v/>
      </c>
      <c r="BT180" s="46">
        <f>IF(AND(T180&gt;0,V180&gt;0,AO180&lt;&gt;0),V180/AO180-T180,"")</f>
        <v/>
      </c>
      <c r="BU180" s="41">
        <f>IF(AND(BT180&lt;&gt;"",T180&gt;0),BT180/T180,"")</f>
        <v/>
      </c>
    </row>
    <row r="181">
      <c r="A181" s="36">
        <f>'📊 Исходные данные'!A180</f>
        <v/>
      </c>
      <c r="B181" s="37">
        <f>'📊 Исходные данные'!B180</f>
        <v/>
      </c>
      <c r="C181" s="38">
        <f>'📊 Исходные данные'!C180</f>
        <v/>
      </c>
      <c r="D181" s="38">
        <f>'📊 Исходные данные'!D180</f>
        <v/>
      </c>
      <c r="E181" s="39">
        <f>IF(OR(D181="",F181=""),"-",IF(D181&gt;F181*1.05,"Выше рынка",IF(D181&lt;F181*0.95,"Ниже рынка","На уровне")))</f>
        <v/>
      </c>
      <c r="F181" s="40">
        <f>IFERROR(AVERAGE('📊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G181" s="40">
        <f>IFERROR(MEDIAN('📊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H181" s="40">
        <f>IFERROR(MIN('📊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I181" s="40">
        <f>IFERROR(MAX('📊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данные'!K180),"")</f>
        <v/>
      </c>
      <c r="J181" s="41">
        <f>IF(AND(D181&lt;&gt;"",F181&lt;&gt;""),(D181-F181)/F181,"")</f>
        <v/>
      </c>
      <c r="K181" s="41">
        <f>IF(AND(D181&lt;&gt;"",G181&lt;&gt;""),(D181-G181)/G181,"")</f>
        <v/>
      </c>
      <c r="L181" s="41">
        <f>IF(AND(D181&lt;&gt;"",H181&lt;&gt;""),(D181-H181)/H181,"")</f>
        <v/>
      </c>
      <c r="M181" s="42">
        <f>IFERROR(RANK(D181,('📊 Исходные данные'!E180,'📊 Исходные данные'!F180,'📊 Исходные данные'!G180,'📊 Исходные данные'!H180,'📊 Исходные данные'!I180,'📊 Исходные данные'!J180,'📊 Исходные данные'!K180)),"")</f>
        <v/>
      </c>
      <c r="N181" s="39">
        <f>IF(M181="","-",IF(M181=1,"Дороже всех",IF(M181=2,"2-й по цене",IF(M181&lt;=4,"Средний","Ниже конкурентов"))))</f>
        <v/>
      </c>
      <c r="O181" s="41">
        <f>IF(AND(C181&gt;0,D181&gt;0),(D181-C181)/C181,"")</f>
        <v/>
      </c>
      <c r="P181" s="41">
        <f>IF(AND(C181&gt;0,D181&gt;0),(D181-C181)/D181,"")</f>
        <v/>
      </c>
      <c r="Q181" s="40">
        <f>IF(AND(C181&gt;0,D181&gt;0),D181-C181,"")</f>
        <v/>
      </c>
      <c r="R181" s="39">
        <f>IF(P181="","-",IF(P181&lt;0.1,"Низкая(&lt;10%)",IF(P181&lt;0.2,"Средняя(10-20%)","Хорошая(&gt;20%)")))</f>
        <v/>
      </c>
      <c r="S181" s="39">
        <f>IF(OR(H181="",C181=""),"-",IF((H181-C181)/H181&lt;0.05,"КРИТИЧНО",IF((H181-C181)/H181&lt;0.15,"УМЕРЕННЫЙ","НИЗКИЙ")))</f>
        <v/>
      </c>
      <c r="T181" s="43" t="n"/>
      <c r="U181" s="40">
        <f>IF(T181&gt;0,T181*D181,"")</f>
        <v/>
      </c>
      <c r="V181" s="40">
        <f>IF(T181&gt;0,T181*Q181,"")</f>
        <v/>
      </c>
      <c r="W181" s="41">
        <f>IF(U181&gt;0,V181/U181,"")</f>
        <v/>
      </c>
      <c r="X181" s="40">
        <f>IF(F181&lt;&gt;"",F181,"")</f>
        <v/>
      </c>
      <c r="Y181" s="41">
        <f>IF(AND(X181&lt;&gt;"",C181&gt;0),(X181-C181)/C181,"")</f>
        <v/>
      </c>
      <c r="Z181" s="41">
        <f>IF(AND(X181&lt;&gt;"",X181&gt;0),(X181-C181)/X181,"")</f>
        <v/>
      </c>
      <c r="AA181" s="40">
        <f>IF(AND(X181&lt;&gt;"",C181&gt;0),X181-C181,"")</f>
        <v/>
      </c>
      <c r="AB181" s="41">
        <f>IF(AND(X181&lt;&gt;"",D181&gt;0),(X181-D181)/D181,"")</f>
        <v/>
      </c>
      <c r="AC181" s="41">
        <f>IF(AND(Z181&lt;&gt;"",P181&lt;&gt;""),(Z181-P181)/ABS(IF(P181=0,1,P181)),"")</f>
        <v/>
      </c>
      <c r="AD181" s="40">
        <f>IF(AND(AA181&lt;&gt;"",Q181&lt;&gt;""),AA181-Q181,"")</f>
        <v/>
      </c>
      <c r="AE181" s="40">
        <f>IF(G181&lt;&gt;"",G181,"")</f>
        <v/>
      </c>
      <c r="AF181" s="41">
        <f>IF(AND(AE181&lt;&gt;"",C181&gt;0),(AE181-C181)/C181,"")</f>
        <v/>
      </c>
      <c r="AG181" s="41">
        <f>IF(AND(AE181&lt;&gt;"",AE181&gt;0),(AE181-C181)/AE181,"")</f>
        <v/>
      </c>
      <c r="AH181" s="40">
        <f>IF(AND(AE181&lt;&gt;"",C181&gt;0),AE181-C181,"")</f>
        <v/>
      </c>
      <c r="AI181" s="41">
        <f>IF(AND(AE181&lt;&gt;"",D181&gt;0),(AE181-D181)/D181,"")</f>
        <v/>
      </c>
      <c r="AJ181" s="41">
        <f>IF(AND(AG181&lt;&gt;"",P181&lt;&gt;""),(AG181-P181)/ABS(IF(P181=0,1,P181)),"")</f>
        <v/>
      </c>
      <c r="AK181" s="40">
        <f>IF(AND(AH181&lt;&gt;"",Q181&lt;&gt;""),AH181-Q181,"")</f>
        <v/>
      </c>
      <c r="AL181" s="40">
        <f>IF(H181&lt;&gt;"",H181,"")</f>
        <v/>
      </c>
      <c r="AM181" s="41">
        <f>IF(AND(AL181&lt;&gt;"",C181&gt;0),(AL181-C181)/C181,"")</f>
        <v/>
      </c>
      <c r="AN181" s="41">
        <f>IF(AND(AL181&lt;&gt;"",AL181&gt;0),(AL181-C181)/AL181,"")</f>
        <v/>
      </c>
      <c r="AO181" s="40">
        <f>IF(AND(AL181&lt;&gt;"",C181&gt;0),AL181-C181,"")</f>
        <v/>
      </c>
      <c r="AP181" s="41">
        <f>IF(AND(AL181&lt;&gt;"",D181&gt;0),(AL181-D181)/D181,"")</f>
        <v/>
      </c>
      <c r="AQ181" s="41">
        <f>IF(AND(AN181&lt;&gt;"",P181&lt;&gt;""),(AN181-P181)/ABS(IF(P181=0,1,P181)),"")</f>
        <v/>
      </c>
      <c r="AR181" s="40">
        <f>IF(AND(AO181&lt;&gt;"",Q181&lt;&gt;""),AO181-Q181,"")</f>
        <v/>
      </c>
      <c r="AS181" s="44" t="n"/>
      <c r="AT181" s="41">
        <f>IF(AND(AS181&gt;0,C181&gt;0),(AS181-C181)/C181,"")</f>
        <v/>
      </c>
      <c r="AU181" s="41">
        <f>IF(AND(AS181&gt;0,AS181&gt;0),(AS181-C181)/AS181,"")</f>
        <v/>
      </c>
      <c r="AV181" s="40">
        <f>IF(AND(AS181&gt;0,C181&gt;0),AS181-C181,"")</f>
        <v/>
      </c>
      <c r="AW181" s="41">
        <f>IF(AND(AS181&gt;0,D181&gt;0),(AS181-D181)/D181,"")</f>
        <v/>
      </c>
      <c r="AX181" s="41">
        <f>IF(AND(AU181&lt;&gt;"",P181&lt;&gt;""),(AU181-P181)/ABS(IF(P181=0,1,P181)),"")</f>
        <v/>
      </c>
      <c r="AY181" s="40">
        <f>IF(AND(AV181&lt;&gt;"",Q181&lt;&gt;""),AV181-Q181,"")</f>
        <v/>
      </c>
      <c r="AZ181" s="45" t="n"/>
      <c r="BA181" s="40">
        <f>IF(AND(AZ181&gt;0,C181&gt;0),C181/(1-AZ181),"")</f>
        <v/>
      </c>
      <c r="BB181" s="41">
        <f>IF(AND(BA181&lt;&gt;"",C181&gt;0),(BA181-C181)/C181,"")</f>
        <v/>
      </c>
      <c r="BC181" s="41">
        <f>IF(BA181&lt;&gt;"",AZ181,"")</f>
        <v/>
      </c>
      <c r="BD181" s="40">
        <f>IF(AND(BA181&lt;&gt;"",C181&gt;0),BA181-C181,"")</f>
        <v/>
      </c>
      <c r="BE181" s="41">
        <f>IF(AND(BA181&lt;&gt;"",D181&gt;0),(BA181-D181)/D181,"")</f>
        <v/>
      </c>
      <c r="BF181" s="41">
        <f>IF(AND(BC181&lt;&gt;"",P181&lt;&gt;""),(BC181-P181)/ABS(IF(P181=0,1,P181)),"")</f>
        <v/>
      </c>
      <c r="BG181" s="40">
        <f>IF(AND(BD181&lt;&gt;"",Q181&lt;&gt;""),BD181-Q181,"")</f>
        <v/>
      </c>
      <c r="BH181" s="40">
        <f>IF(AND(T181&gt;0,X181&lt;&gt;""),T181*X181,"")</f>
        <v/>
      </c>
      <c r="BI181" s="40">
        <f>IF(AND(T181&gt;0,AA181&lt;&gt;""),T181*AA181,"")</f>
        <v/>
      </c>
      <c r="BJ181" s="40">
        <f>IF(AND(T181&gt;0,AE181&lt;&gt;""),T181*AE181,"")</f>
        <v/>
      </c>
      <c r="BK181" s="40">
        <f>IF(AND(T181&gt;0,AH181&lt;&gt;""),T181*AH181,"")</f>
        <v/>
      </c>
      <c r="BL181" s="40">
        <f>IF(AND(T181&gt;0,AL181&lt;&gt;""),T181*AL181,"")</f>
        <v/>
      </c>
      <c r="BM181" s="40">
        <f>IF(AND(T181&gt;0,AO181&lt;&gt;""),T181*AO181,"")</f>
        <v/>
      </c>
      <c r="BN181" s="40">
        <f>IF(AND(T181&gt;0,AS181&gt;0),T181*AS181,"")</f>
        <v/>
      </c>
      <c r="BO181" s="40">
        <f>IF(AND(T181&gt;0,AV181&lt;&gt;""),T181*AV181,"")</f>
        <v/>
      </c>
      <c r="BP181" s="40">
        <f>IF(AND(T181&gt;0,BA181&lt;&gt;""),T181*BA181,"")</f>
        <v/>
      </c>
      <c r="BQ181" s="40">
        <f>IF(AND(T181&gt;0,BD181&lt;&gt;""),T181*BD181,"")</f>
        <v/>
      </c>
      <c r="BR181" s="46">
        <f>IF(AND(T181&gt;0,V181&gt;0,AA181&lt;&gt;0),V181/AA181-T181,"")</f>
        <v/>
      </c>
      <c r="BS181" s="41">
        <f>IF(AND(BR181&lt;&gt;"",T181&gt;0),BR181/T181,"")</f>
        <v/>
      </c>
      <c r="BT181" s="46">
        <f>IF(AND(T181&gt;0,V181&gt;0,AO181&lt;&gt;0),V181/AO181-T181,"")</f>
        <v/>
      </c>
      <c r="BU181" s="41">
        <f>IF(AND(BT181&lt;&gt;"",T181&gt;0),BT181/T181,"")</f>
        <v/>
      </c>
    </row>
    <row r="182">
      <c r="A182" s="36">
        <f>'📊 Исходные данные'!A181</f>
        <v/>
      </c>
      <c r="B182" s="37">
        <f>'📊 Исходные данные'!B181</f>
        <v/>
      </c>
      <c r="C182" s="38">
        <f>'📊 Исходные данные'!C181</f>
        <v/>
      </c>
      <c r="D182" s="38">
        <f>'📊 Исходные данные'!D181</f>
        <v/>
      </c>
      <c r="E182" s="39">
        <f>IF(OR(D182="",F182=""),"-",IF(D182&gt;F182*1.05,"Выше рынка",IF(D182&lt;F182*0.95,"Ниже рынка","На уровне")))</f>
        <v/>
      </c>
      <c r="F182" s="40">
        <f>IFERROR(AVERAGE('📊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G182" s="40">
        <f>IFERROR(MEDIAN('📊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H182" s="40">
        <f>IFERROR(MIN('📊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I182" s="40">
        <f>IFERROR(MAX('📊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данные'!K181),"")</f>
        <v/>
      </c>
      <c r="J182" s="41">
        <f>IF(AND(D182&lt;&gt;"",F182&lt;&gt;""),(D182-F182)/F182,"")</f>
        <v/>
      </c>
      <c r="K182" s="41">
        <f>IF(AND(D182&lt;&gt;"",G182&lt;&gt;""),(D182-G182)/G182,"")</f>
        <v/>
      </c>
      <c r="L182" s="41">
        <f>IF(AND(D182&lt;&gt;"",H182&lt;&gt;""),(D182-H182)/H182,"")</f>
        <v/>
      </c>
      <c r="M182" s="42">
        <f>IFERROR(RANK(D182,('📊 Исходные данные'!E181,'📊 Исходные данные'!F181,'📊 Исходные данные'!G181,'📊 Исходные данные'!H181,'📊 Исходные данные'!I181,'📊 Исходные данные'!J181,'📊 Исходные данные'!K181)),"")</f>
        <v/>
      </c>
      <c r="N182" s="39">
        <f>IF(M182="","-",IF(M182=1,"Дороже всех",IF(M182=2,"2-й по цене",IF(M182&lt;=4,"Средний","Ниже конкурентов"))))</f>
        <v/>
      </c>
      <c r="O182" s="41">
        <f>IF(AND(C182&gt;0,D182&gt;0),(D182-C182)/C182,"")</f>
        <v/>
      </c>
      <c r="P182" s="41">
        <f>IF(AND(C182&gt;0,D182&gt;0),(D182-C182)/D182,"")</f>
        <v/>
      </c>
      <c r="Q182" s="40">
        <f>IF(AND(C182&gt;0,D182&gt;0),D182-C182,"")</f>
        <v/>
      </c>
      <c r="R182" s="39">
        <f>IF(P182="","-",IF(P182&lt;0.1,"Низкая(&lt;10%)",IF(P182&lt;0.2,"Средняя(10-20%)","Хорошая(&gt;20%)")))</f>
        <v/>
      </c>
      <c r="S182" s="39">
        <f>IF(OR(H182="",C182=""),"-",IF((H182-C182)/H182&lt;0.05,"КРИТИЧНО",IF((H182-C182)/H182&lt;0.15,"УМЕРЕННЫЙ","НИЗКИЙ")))</f>
        <v/>
      </c>
      <c r="T182" s="43" t="n"/>
      <c r="U182" s="40">
        <f>IF(T182&gt;0,T182*D182,"")</f>
        <v/>
      </c>
      <c r="V182" s="40">
        <f>IF(T182&gt;0,T182*Q182,"")</f>
        <v/>
      </c>
      <c r="W182" s="41">
        <f>IF(U182&gt;0,V182/U182,"")</f>
        <v/>
      </c>
      <c r="X182" s="40">
        <f>IF(F182&lt;&gt;"",F182,"")</f>
        <v/>
      </c>
      <c r="Y182" s="41">
        <f>IF(AND(X182&lt;&gt;"",C182&gt;0),(X182-C182)/C182,"")</f>
        <v/>
      </c>
      <c r="Z182" s="41">
        <f>IF(AND(X182&lt;&gt;"",X182&gt;0),(X182-C182)/X182,"")</f>
        <v/>
      </c>
      <c r="AA182" s="40">
        <f>IF(AND(X182&lt;&gt;"",C182&gt;0),X182-C182,"")</f>
        <v/>
      </c>
      <c r="AB182" s="41">
        <f>IF(AND(X182&lt;&gt;"",D182&gt;0),(X182-D182)/D182,"")</f>
        <v/>
      </c>
      <c r="AC182" s="41">
        <f>IF(AND(Z182&lt;&gt;"",P182&lt;&gt;""),(Z182-P182)/ABS(IF(P182=0,1,P182)),"")</f>
        <v/>
      </c>
      <c r="AD182" s="40">
        <f>IF(AND(AA182&lt;&gt;"",Q182&lt;&gt;""),AA182-Q182,"")</f>
        <v/>
      </c>
      <c r="AE182" s="40">
        <f>IF(G182&lt;&gt;"",G182,"")</f>
        <v/>
      </c>
      <c r="AF182" s="41">
        <f>IF(AND(AE182&lt;&gt;"",C182&gt;0),(AE182-C182)/C182,"")</f>
        <v/>
      </c>
      <c r="AG182" s="41">
        <f>IF(AND(AE182&lt;&gt;"",AE182&gt;0),(AE182-C182)/AE182,"")</f>
        <v/>
      </c>
      <c r="AH182" s="40">
        <f>IF(AND(AE182&lt;&gt;"",C182&gt;0),AE182-C182,"")</f>
        <v/>
      </c>
      <c r="AI182" s="41">
        <f>IF(AND(AE182&lt;&gt;"",D182&gt;0),(AE182-D182)/D182,"")</f>
        <v/>
      </c>
      <c r="AJ182" s="41">
        <f>IF(AND(AG182&lt;&gt;"",P182&lt;&gt;""),(AG182-P182)/ABS(IF(P182=0,1,P182)),"")</f>
        <v/>
      </c>
      <c r="AK182" s="40">
        <f>IF(AND(AH182&lt;&gt;"",Q182&lt;&gt;""),AH182-Q182,"")</f>
        <v/>
      </c>
      <c r="AL182" s="40">
        <f>IF(H182&lt;&gt;"",H182,"")</f>
        <v/>
      </c>
      <c r="AM182" s="41">
        <f>IF(AND(AL182&lt;&gt;"",C182&gt;0),(AL182-C182)/C182,"")</f>
        <v/>
      </c>
      <c r="AN182" s="41">
        <f>IF(AND(AL182&lt;&gt;"",AL182&gt;0),(AL182-C182)/AL182,"")</f>
        <v/>
      </c>
      <c r="AO182" s="40">
        <f>IF(AND(AL182&lt;&gt;"",C182&gt;0),AL182-C182,"")</f>
        <v/>
      </c>
      <c r="AP182" s="41">
        <f>IF(AND(AL182&lt;&gt;"",D182&gt;0),(AL182-D182)/D182,"")</f>
        <v/>
      </c>
      <c r="AQ182" s="41">
        <f>IF(AND(AN182&lt;&gt;"",P182&lt;&gt;""),(AN182-P182)/ABS(IF(P182=0,1,P182)),"")</f>
        <v/>
      </c>
      <c r="AR182" s="40">
        <f>IF(AND(AO182&lt;&gt;"",Q182&lt;&gt;""),AO182-Q182,"")</f>
        <v/>
      </c>
      <c r="AS182" s="44" t="n"/>
      <c r="AT182" s="41">
        <f>IF(AND(AS182&gt;0,C182&gt;0),(AS182-C182)/C182,"")</f>
        <v/>
      </c>
      <c r="AU182" s="41">
        <f>IF(AND(AS182&gt;0,AS182&gt;0),(AS182-C182)/AS182,"")</f>
        <v/>
      </c>
      <c r="AV182" s="40">
        <f>IF(AND(AS182&gt;0,C182&gt;0),AS182-C182,"")</f>
        <v/>
      </c>
      <c r="AW182" s="41">
        <f>IF(AND(AS182&gt;0,D182&gt;0),(AS182-D182)/D182,"")</f>
        <v/>
      </c>
      <c r="AX182" s="41">
        <f>IF(AND(AU182&lt;&gt;"",P182&lt;&gt;""),(AU182-P182)/ABS(IF(P182=0,1,P182)),"")</f>
        <v/>
      </c>
      <c r="AY182" s="40">
        <f>IF(AND(AV182&lt;&gt;"",Q182&lt;&gt;""),AV182-Q182,"")</f>
        <v/>
      </c>
      <c r="AZ182" s="45" t="n"/>
      <c r="BA182" s="40">
        <f>IF(AND(AZ182&gt;0,C182&gt;0),C182/(1-AZ182),"")</f>
        <v/>
      </c>
      <c r="BB182" s="41">
        <f>IF(AND(BA182&lt;&gt;"",C182&gt;0),(BA182-C182)/C182,"")</f>
        <v/>
      </c>
      <c r="BC182" s="41">
        <f>IF(BA182&lt;&gt;"",AZ182,"")</f>
        <v/>
      </c>
      <c r="BD182" s="40">
        <f>IF(AND(BA182&lt;&gt;"",C182&gt;0),BA182-C182,"")</f>
        <v/>
      </c>
      <c r="BE182" s="41">
        <f>IF(AND(BA182&lt;&gt;"",D182&gt;0),(BA182-D182)/D182,"")</f>
        <v/>
      </c>
      <c r="BF182" s="41">
        <f>IF(AND(BC182&lt;&gt;"",P182&lt;&gt;""),(BC182-P182)/ABS(IF(P182=0,1,P182)),"")</f>
        <v/>
      </c>
      <c r="BG182" s="40">
        <f>IF(AND(BD182&lt;&gt;"",Q182&lt;&gt;""),BD182-Q182,"")</f>
        <v/>
      </c>
      <c r="BH182" s="40">
        <f>IF(AND(T182&gt;0,X182&lt;&gt;""),T182*X182,"")</f>
        <v/>
      </c>
      <c r="BI182" s="40">
        <f>IF(AND(T182&gt;0,AA182&lt;&gt;""),T182*AA182,"")</f>
        <v/>
      </c>
      <c r="BJ182" s="40">
        <f>IF(AND(T182&gt;0,AE182&lt;&gt;""),T182*AE182,"")</f>
        <v/>
      </c>
      <c r="BK182" s="40">
        <f>IF(AND(T182&gt;0,AH182&lt;&gt;""),T182*AH182,"")</f>
        <v/>
      </c>
      <c r="BL182" s="40">
        <f>IF(AND(T182&gt;0,AL182&lt;&gt;""),T182*AL182,"")</f>
        <v/>
      </c>
      <c r="BM182" s="40">
        <f>IF(AND(T182&gt;0,AO182&lt;&gt;""),T182*AO182,"")</f>
        <v/>
      </c>
      <c r="BN182" s="40">
        <f>IF(AND(T182&gt;0,AS182&gt;0),T182*AS182,"")</f>
        <v/>
      </c>
      <c r="BO182" s="40">
        <f>IF(AND(T182&gt;0,AV182&lt;&gt;""),T182*AV182,"")</f>
        <v/>
      </c>
      <c r="BP182" s="40">
        <f>IF(AND(T182&gt;0,BA182&lt;&gt;""),T182*BA182,"")</f>
        <v/>
      </c>
      <c r="BQ182" s="40">
        <f>IF(AND(T182&gt;0,BD182&lt;&gt;""),T182*BD182,"")</f>
        <v/>
      </c>
      <c r="BR182" s="46">
        <f>IF(AND(T182&gt;0,V182&gt;0,AA182&lt;&gt;0),V182/AA182-T182,"")</f>
        <v/>
      </c>
      <c r="BS182" s="41">
        <f>IF(AND(BR182&lt;&gt;"",T182&gt;0),BR182/T182,"")</f>
        <v/>
      </c>
      <c r="BT182" s="46">
        <f>IF(AND(T182&gt;0,V182&gt;0,AO182&lt;&gt;0),V182/AO182-T182,"")</f>
        <v/>
      </c>
      <c r="BU182" s="41">
        <f>IF(AND(BT182&lt;&gt;"",T182&gt;0),BT182/T182,"")</f>
        <v/>
      </c>
    </row>
  </sheetData>
  <autoFilter ref="A2:BU182"/>
  <mergeCells count="11">
    <mergeCell ref="C1:E1"/>
    <mergeCell ref="AS1:AY1"/>
    <mergeCell ref="O1:S1"/>
    <mergeCell ref="F1:N1"/>
    <mergeCell ref="A1:B1"/>
    <mergeCell ref="AZ1:BG1"/>
    <mergeCell ref="AL1:AR1"/>
    <mergeCell ref="X1:AD1"/>
    <mergeCell ref="AE1:AK1"/>
    <mergeCell ref="BH1:BU1"/>
    <mergeCell ref="T1:W1"/>
  </mergeCells>
  <conditionalFormatting sqref="J3:J182">
    <cfRule type="colorScale" priority="1">
      <colorScale>
        <cfvo type="min"/>
        <cfvo type="num" val="0"/>
        <cfvo type="max"/>
        <color rgb="0063BE7B"/>
        <color rgb="00FFEB84"/>
        <color rgb="00F8696B"/>
      </colorScale>
    </cfRule>
  </conditionalFormatting>
  <conditionalFormatting sqref="P3:P18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:Q182">
    <cfRule type="dataBar" priority="3">
      <dataBar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 ht="36" customHeight="1">
      <c r="B2" s="47" t="inlineStr">
        <is>
          <t>ЗЕЛЕНОЕ ЯБЛОКО - Dashboard цен и маржи</t>
        </is>
      </c>
    </row>
    <row r="3" ht="16" customHeight="1">
      <c r="B3" s="48" t="inlineStr">
        <is>
          <t>Основные показатели по всему прайс-листу | Автообновление</t>
        </is>
      </c>
    </row>
    <row r="5" ht="22" customHeight="1">
      <c r="B5" s="49" t="inlineStr">
        <is>
          <t>Всего позиций</t>
        </is>
      </c>
      <c r="C5" s="21" t="inlineStr">
        <is>
          <t>Выше рынка</t>
        </is>
      </c>
      <c r="D5" s="17" t="inlineStr">
        <is>
          <t>Ниже рынка</t>
        </is>
      </c>
      <c r="E5" s="14" t="inlineStr">
        <is>
          <t>Средняя маржа</t>
        </is>
      </c>
      <c r="F5" s="14" t="inlineStr">
        <is>
          <t>Средняя наценка</t>
        </is>
      </c>
      <c r="G5" s="50" t="inlineStr">
        <is>
          <t>С критич.риском</t>
        </is>
      </c>
    </row>
    <row r="6" ht="34" customHeight="1">
      <c r="B6" s="51">
        <f>COUNTA('🔢 Расчеты'!A3:A10000)</f>
        <v/>
      </c>
      <c r="C6" s="51">
        <f>COUNTIF('🔢 Расчеты'!E3:E10000,"Выше рынка")</f>
        <v/>
      </c>
      <c r="D6" s="51">
        <f>COUNTIF('🔢 Расчеты'!E3:E10000,"Ниже рынка")</f>
        <v/>
      </c>
      <c r="E6" s="52">
        <f>IFERROR(AVERAGE(IF('🔢 Расчеты'!P3:P182&lt;&gt;"",'🔢 Расчеты'!P3:P182)),"")</f>
        <v/>
      </c>
      <c r="F6" s="52">
        <f>IFERROR(AVERAGE(IF('🔢 Расчеты'!O3:O182&lt;&gt;"",'🔢 Расчеты'!O3:O182)),"")</f>
        <v/>
      </c>
      <c r="G6" s="51">
        <f>COUNTIF('🔢 Расчеты'!S3:S10000,"КРИТИЧНО")</f>
        <v/>
      </c>
    </row>
    <row r="8" ht="8" customHeight="1"/>
    <row r="9" ht="22" customHeight="1">
      <c r="B9" s="49" t="inlineStr">
        <is>
          <t>Ср.ВП/ед (расч.)</t>
        </is>
      </c>
      <c r="C9" s="49" t="inlineStr">
        <is>
          <t>Ср.цена ЗЯ</t>
        </is>
      </c>
      <c r="D9" s="49" t="inlineStr">
        <is>
          <t>Ср.цена рынка</t>
        </is>
      </c>
      <c r="E9" s="14" t="inlineStr">
        <is>
          <t>Ср.откл.от рынка</t>
        </is>
      </c>
      <c r="F9" s="19" t="inlineStr">
        <is>
          <t>На уровне рынка</t>
        </is>
      </c>
      <c r="G9" s="17" t="inlineStr">
        <is>
          <t>Хор.маржа(&gt;20%)</t>
        </is>
      </c>
    </row>
    <row r="10" ht="34" customHeight="1">
      <c r="B10" s="53">
        <f>IFERROR(AVERAGE(IF('🔢 Расчеты'!Q3:Q182&lt;&gt;"",'🔢 Расчеты'!Q3:Q182)),"")</f>
        <v/>
      </c>
      <c r="C10" s="53">
        <f>IFERROR(AVERAGE(IF('🔢 Расчеты'!D3:D182&lt;&gt;"",'🔢 Расчеты'!D3:D182)),"")</f>
        <v/>
      </c>
      <c r="D10" s="53">
        <f>IFERROR(AVERAGE(IF('🔢 Расчеты'!F3:F182&lt;&gt;"",'🔢 Расчеты'!F3:F182)),"")</f>
        <v/>
      </c>
      <c r="E10" s="54">
        <f>IFERROR(AVERAGE(IF('🔢 Расчеты'!J3:J182&lt;&gt;"",'🔢 Расчеты'!J3:J182)),"")</f>
        <v/>
      </c>
      <c r="F10" s="51">
        <f>COUNTIF('🔢 Расчеты'!E3:E10000,"На уровне")</f>
        <v/>
      </c>
      <c r="G10" s="51">
        <f>COUNTIF('🔢 Расчеты'!R3:R10000,"Хорошая(&gt;20%)")</f>
        <v/>
      </c>
    </row>
    <row r="12" ht="8" customHeight="1"/>
    <row r="13" ht="22" customHeight="1">
      <c r="B13" s="55" t="inlineStr">
        <is>
          <t>Топ-10 позиций по текущей марже %</t>
        </is>
      </c>
      <c r="E13" s="56" t="inlineStr">
        <is>
          <t>Топ-10 выше рынка (откл.от средней)</t>
        </is>
      </c>
    </row>
    <row r="14" ht="18" customHeight="1">
      <c r="B14" s="57" t="inlineStr">
        <is>
          <t>Наименование</t>
        </is>
      </c>
      <c r="C14" s="57" t="inlineStr">
        <is>
          <t>Маржа %</t>
        </is>
      </c>
      <c r="D14" s="57" t="inlineStr">
        <is>
          <t>ВП/ед</t>
        </is>
      </c>
      <c r="E14" s="58" t="inlineStr">
        <is>
          <t>Наименование</t>
        </is>
      </c>
      <c r="F14" s="58" t="inlineStr">
        <is>
          <t>Откл.%</t>
        </is>
      </c>
      <c r="G14" s="58" t="inlineStr">
        <is>
          <t>Цена ЗЯ</t>
        </is>
      </c>
    </row>
    <row r="15" ht="17" customHeight="1">
      <c r="B15" s="8">
        <f>IFERROR(INDEX('🔢 Расчеты'!A$3:A$182,MATCH(LARGE(IF('🔢 Расчеты'!P$3:P$182&lt;&gt;"",'🔢 Расчеты'!P$3:P$182),1),'🔢 Расчеты'!P$3:P$182,0)),"")</f>
        <v/>
      </c>
      <c r="C15" s="59">
        <f>IFERROR(LARGE(IF('🔢 Расчеты'!P$3:P$182&lt;&gt;"",'🔢 Расчеты'!P$3:P$182),1),"")</f>
        <v/>
      </c>
      <c r="D15" s="40">
        <f>IFERROR(INDEX('🔢 Расчеты'!Q$3:Q$182,MATCH(LARGE(IF('🔢 Расчеты'!P$3:P$182&lt;&gt;"",'🔢 Расчеты'!P$3:P$182),1),'🔢 Расчеты'!P$3:P$182,0)),"")</f>
        <v/>
      </c>
      <c r="E15" s="8">
        <f>IFERROR(INDEX('🔢 Расчеты'!A$3:A$182,MATCH(LARGE(IF('🔢 Расчеты'!J$3:J$182&lt;&gt;"",'🔢 Расчеты'!J$3:J$182),1),'🔢 Расчеты'!J$3:J$182,0)),"")</f>
        <v/>
      </c>
      <c r="F15" s="60">
        <f>IFERROR(LARGE(IF('🔢 Расчеты'!J$3:J$182&lt;&gt;"",'🔢 Расчеты'!J$3:J$182),1),"")</f>
        <v/>
      </c>
      <c r="G15" s="40">
        <f>IFERROR(INDEX('🔢 Расчеты'!D$3:D$182,MATCH(LARGE(IF('🔢 Расчеты'!J$3:J$182&lt;&gt;"",'🔢 Расчеты'!J$3:J$182),1),'🔢 Расчеты'!J$3:J$182,0)),"")</f>
        <v/>
      </c>
    </row>
    <row r="16" ht="17" customHeight="1">
      <c r="B16" s="8">
        <f>IFERROR(INDEX('🔢 Расчеты'!A$3:A$182,MATCH(LARGE(IF('🔢 Расчеты'!P$3:P$182&lt;&gt;"",'🔢 Расчеты'!P$3:P$182),2),'🔢 Расчеты'!P$3:P$182,0)),"")</f>
        <v/>
      </c>
      <c r="C16" s="59">
        <f>IFERROR(LARGE(IF('🔢 Расчеты'!P$3:P$182&lt;&gt;"",'🔢 Расчеты'!P$3:P$182),2),"")</f>
        <v/>
      </c>
      <c r="D16" s="40">
        <f>IFERROR(INDEX('🔢 Расчеты'!Q$3:Q$182,MATCH(LARGE(IF('🔢 Расчеты'!P$3:P$182&lt;&gt;"",'🔢 Расчеты'!P$3:P$182),2),'🔢 Расчеты'!P$3:P$182,0)),"")</f>
        <v/>
      </c>
      <c r="E16" s="8">
        <f>IFERROR(INDEX('🔢 Расчеты'!A$3:A$182,MATCH(LARGE(IF('🔢 Расчеты'!J$3:J$182&lt;&gt;"",'🔢 Расчеты'!J$3:J$182),2),'🔢 Расчеты'!J$3:J$182,0)),"")</f>
        <v/>
      </c>
      <c r="F16" s="60">
        <f>IFERROR(LARGE(IF('🔢 Расчеты'!J$3:J$182&lt;&gt;"",'🔢 Расчеты'!J$3:J$182),2),"")</f>
        <v/>
      </c>
      <c r="G16" s="40">
        <f>IFERROR(INDEX('🔢 Расчеты'!D$3:D$182,MATCH(LARGE(IF('🔢 Расчеты'!J$3:J$182&lt;&gt;"",'🔢 Расчеты'!J$3:J$182),2),'🔢 Расчеты'!J$3:J$182,0)),"")</f>
        <v/>
      </c>
    </row>
    <row r="17" ht="17" customHeight="1">
      <c r="B17" s="8">
        <f>IFERROR(INDEX('🔢 Расчеты'!A$3:A$182,MATCH(LARGE(IF('🔢 Расчеты'!P$3:P$182&lt;&gt;"",'🔢 Расчеты'!P$3:P$182),3),'🔢 Расчеты'!P$3:P$182,0)),"")</f>
        <v/>
      </c>
      <c r="C17" s="59">
        <f>IFERROR(LARGE(IF('🔢 Расчеты'!P$3:P$182&lt;&gt;"",'🔢 Расчеты'!P$3:P$182),3),"")</f>
        <v/>
      </c>
      <c r="D17" s="40">
        <f>IFERROR(INDEX('🔢 Расчеты'!Q$3:Q$182,MATCH(LARGE(IF('🔢 Расчеты'!P$3:P$182&lt;&gt;"",'🔢 Расчеты'!P$3:P$182),3),'🔢 Расчеты'!P$3:P$182,0)),"")</f>
        <v/>
      </c>
      <c r="E17" s="8">
        <f>IFERROR(INDEX('🔢 Расчеты'!A$3:A$182,MATCH(LARGE(IF('🔢 Расчеты'!J$3:J$182&lt;&gt;"",'🔢 Расчеты'!J$3:J$182),3),'🔢 Расчеты'!J$3:J$182,0)),"")</f>
        <v/>
      </c>
      <c r="F17" s="60">
        <f>IFERROR(LARGE(IF('🔢 Расчеты'!J$3:J$182&lt;&gt;"",'🔢 Расчеты'!J$3:J$182),3),"")</f>
        <v/>
      </c>
      <c r="G17" s="40">
        <f>IFERROR(INDEX('🔢 Расчеты'!D$3:D$182,MATCH(LARGE(IF('🔢 Расчеты'!J$3:J$182&lt;&gt;"",'🔢 Расчеты'!J$3:J$182),3),'🔢 Расчеты'!J$3:J$182,0)),"")</f>
        <v/>
      </c>
    </row>
    <row r="18" ht="17" customHeight="1">
      <c r="B18" s="8">
        <f>IFERROR(INDEX('🔢 Расчеты'!A$3:A$182,MATCH(LARGE(IF('🔢 Расчеты'!P$3:P$182&lt;&gt;"",'🔢 Расчеты'!P$3:P$182),4),'🔢 Расчеты'!P$3:P$182,0)),"")</f>
        <v/>
      </c>
      <c r="C18" s="59">
        <f>IFERROR(LARGE(IF('🔢 Расчеты'!P$3:P$182&lt;&gt;"",'🔢 Расчеты'!P$3:P$182),4),"")</f>
        <v/>
      </c>
      <c r="D18" s="40">
        <f>IFERROR(INDEX('🔢 Расчеты'!Q$3:Q$182,MATCH(LARGE(IF('🔢 Расчеты'!P$3:P$182&lt;&gt;"",'🔢 Расчеты'!P$3:P$182),4),'🔢 Расчеты'!P$3:P$182,0)),"")</f>
        <v/>
      </c>
      <c r="E18" s="8">
        <f>IFERROR(INDEX('🔢 Расчеты'!A$3:A$182,MATCH(LARGE(IF('🔢 Расчеты'!J$3:J$182&lt;&gt;"",'🔢 Расчеты'!J$3:J$182),4),'🔢 Расчеты'!J$3:J$182,0)),"")</f>
        <v/>
      </c>
      <c r="F18" s="60">
        <f>IFERROR(LARGE(IF('🔢 Расчеты'!J$3:J$182&lt;&gt;"",'🔢 Расчеты'!J$3:J$182),4),"")</f>
        <v/>
      </c>
      <c r="G18" s="40">
        <f>IFERROR(INDEX('🔢 Расчеты'!D$3:D$182,MATCH(LARGE(IF('🔢 Расчеты'!J$3:J$182&lt;&gt;"",'🔢 Расчеты'!J$3:J$182),4),'🔢 Расчеты'!J$3:J$182,0)),"")</f>
        <v/>
      </c>
    </row>
    <row r="19" ht="17" customHeight="1">
      <c r="B19" s="8">
        <f>IFERROR(INDEX('🔢 Расчеты'!A$3:A$182,MATCH(LARGE(IF('🔢 Расчеты'!P$3:P$182&lt;&gt;"",'🔢 Расчеты'!P$3:P$182),5),'🔢 Расчеты'!P$3:P$182,0)),"")</f>
        <v/>
      </c>
      <c r="C19" s="59">
        <f>IFERROR(LARGE(IF('🔢 Расчеты'!P$3:P$182&lt;&gt;"",'🔢 Расчеты'!P$3:P$182),5),"")</f>
        <v/>
      </c>
      <c r="D19" s="40">
        <f>IFERROR(INDEX('🔢 Расчеты'!Q$3:Q$182,MATCH(LARGE(IF('🔢 Расчеты'!P$3:P$182&lt;&gt;"",'🔢 Расчеты'!P$3:P$182),5),'🔢 Расчеты'!P$3:P$182,0)),"")</f>
        <v/>
      </c>
      <c r="E19" s="8">
        <f>IFERROR(INDEX('🔢 Расчеты'!A$3:A$182,MATCH(LARGE(IF('🔢 Расчеты'!J$3:J$182&lt;&gt;"",'🔢 Расчеты'!J$3:J$182),5),'🔢 Расчеты'!J$3:J$182,0)),"")</f>
        <v/>
      </c>
      <c r="F19" s="60">
        <f>IFERROR(LARGE(IF('🔢 Расчеты'!J$3:J$182&lt;&gt;"",'🔢 Расчеты'!J$3:J$182),5),"")</f>
        <v/>
      </c>
      <c r="G19" s="40">
        <f>IFERROR(INDEX('🔢 Расчеты'!D$3:D$182,MATCH(LARGE(IF('🔢 Расчеты'!J$3:J$182&lt;&gt;"",'🔢 Расчеты'!J$3:J$182),5),'🔢 Расчеты'!J$3:J$182,0)),"")</f>
        <v/>
      </c>
    </row>
    <row r="20" ht="17" customHeight="1">
      <c r="B20" s="8">
        <f>IFERROR(INDEX('🔢 Расчеты'!A$3:A$182,MATCH(LARGE(IF('🔢 Расчеты'!P$3:P$182&lt;&gt;"",'🔢 Расчеты'!P$3:P$182),6),'🔢 Расчеты'!P$3:P$182,0)),"")</f>
        <v/>
      </c>
      <c r="C20" s="59">
        <f>IFERROR(LARGE(IF('🔢 Расчеты'!P$3:P$182&lt;&gt;"",'🔢 Расчеты'!P$3:P$182),6),"")</f>
        <v/>
      </c>
      <c r="D20" s="40">
        <f>IFERROR(INDEX('🔢 Расчеты'!Q$3:Q$182,MATCH(LARGE(IF('🔢 Расчеты'!P$3:P$182&lt;&gt;"",'🔢 Расчеты'!P$3:P$182),6),'🔢 Расчеты'!P$3:P$182,0)),"")</f>
        <v/>
      </c>
      <c r="E20" s="8">
        <f>IFERROR(INDEX('🔢 Расчеты'!A$3:A$182,MATCH(LARGE(IF('🔢 Расчеты'!J$3:J$182&lt;&gt;"",'🔢 Расчеты'!J$3:J$182),6),'🔢 Расчеты'!J$3:J$182,0)),"")</f>
        <v/>
      </c>
      <c r="F20" s="60">
        <f>IFERROR(LARGE(IF('🔢 Расчеты'!J$3:J$182&lt;&gt;"",'🔢 Расчеты'!J$3:J$182),6),"")</f>
        <v/>
      </c>
      <c r="G20" s="40">
        <f>IFERROR(INDEX('🔢 Расчеты'!D$3:D$182,MATCH(LARGE(IF('🔢 Расчеты'!J$3:J$182&lt;&gt;"",'🔢 Расчеты'!J$3:J$182),6),'🔢 Расчеты'!J$3:J$182,0)),"")</f>
        <v/>
      </c>
    </row>
    <row r="21" ht="17" customHeight="1">
      <c r="B21" s="8">
        <f>IFERROR(INDEX('🔢 Расчеты'!A$3:A$182,MATCH(LARGE(IF('🔢 Расчеты'!P$3:P$182&lt;&gt;"",'🔢 Расчеты'!P$3:P$182),7),'🔢 Расчеты'!P$3:P$182,0)),"")</f>
        <v/>
      </c>
      <c r="C21" s="59">
        <f>IFERROR(LARGE(IF('🔢 Расчеты'!P$3:P$182&lt;&gt;"",'🔢 Расчеты'!P$3:P$182),7),"")</f>
        <v/>
      </c>
      <c r="D21" s="40">
        <f>IFERROR(INDEX('🔢 Расчеты'!Q$3:Q$182,MATCH(LARGE(IF('🔢 Расчеты'!P$3:P$182&lt;&gt;"",'🔢 Расчеты'!P$3:P$182),7),'🔢 Расчеты'!P$3:P$182,0)),"")</f>
        <v/>
      </c>
      <c r="E21" s="8">
        <f>IFERROR(INDEX('🔢 Расчеты'!A$3:A$182,MATCH(LARGE(IF('🔢 Расчеты'!J$3:J$182&lt;&gt;"",'🔢 Расчеты'!J$3:J$182),7),'🔢 Расчеты'!J$3:J$182,0)),"")</f>
        <v/>
      </c>
      <c r="F21" s="60">
        <f>IFERROR(LARGE(IF('🔢 Расчеты'!J$3:J$182&lt;&gt;"",'🔢 Расчеты'!J$3:J$182),7),"")</f>
        <v/>
      </c>
      <c r="G21" s="40">
        <f>IFERROR(INDEX('🔢 Расчеты'!D$3:D$182,MATCH(LARGE(IF('🔢 Расчеты'!J$3:J$182&lt;&gt;"",'🔢 Расчеты'!J$3:J$182),7),'🔢 Расчеты'!J$3:J$182,0)),"")</f>
        <v/>
      </c>
    </row>
    <row r="22" ht="17" customHeight="1">
      <c r="B22" s="8">
        <f>IFERROR(INDEX('🔢 Расчеты'!A$3:A$182,MATCH(LARGE(IF('🔢 Расчеты'!P$3:P$182&lt;&gt;"",'🔢 Расчеты'!P$3:P$182),8),'🔢 Расчеты'!P$3:P$182,0)),"")</f>
        <v/>
      </c>
      <c r="C22" s="59">
        <f>IFERROR(LARGE(IF('🔢 Расчеты'!P$3:P$182&lt;&gt;"",'🔢 Расчеты'!P$3:P$182),8),"")</f>
        <v/>
      </c>
      <c r="D22" s="40">
        <f>IFERROR(INDEX('🔢 Расчеты'!Q$3:Q$182,MATCH(LARGE(IF('🔢 Расчеты'!P$3:P$182&lt;&gt;"",'🔢 Расчеты'!P$3:P$182),8),'🔢 Расчеты'!P$3:P$182,0)),"")</f>
        <v/>
      </c>
      <c r="E22" s="8">
        <f>IFERROR(INDEX('🔢 Расчеты'!A$3:A$182,MATCH(LARGE(IF('🔢 Расчеты'!J$3:J$182&lt;&gt;"",'🔢 Расчеты'!J$3:J$182),8),'🔢 Расчеты'!J$3:J$182,0)),"")</f>
        <v/>
      </c>
      <c r="F22" s="60">
        <f>IFERROR(LARGE(IF('🔢 Расчеты'!J$3:J$182&lt;&gt;"",'🔢 Расчеты'!J$3:J$182),8),"")</f>
        <v/>
      </c>
      <c r="G22" s="40">
        <f>IFERROR(INDEX('🔢 Расчеты'!D$3:D$182,MATCH(LARGE(IF('🔢 Расчеты'!J$3:J$182&lt;&gt;"",'🔢 Расчеты'!J$3:J$182),8),'🔢 Расчеты'!J$3:J$182,0)),"")</f>
        <v/>
      </c>
    </row>
    <row r="23" ht="17" customHeight="1">
      <c r="B23" s="8">
        <f>IFERROR(INDEX('🔢 Расчеты'!A$3:A$182,MATCH(LARGE(IF('🔢 Расчеты'!P$3:P$182&lt;&gt;"",'🔢 Расчеты'!P$3:P$182),9),'🔢 Расчеты'!P$3:P$182,0)),"")</f>
        <v/>
      </c>
      <c r="C23" s="59">
        <f>IFERROR(LARGE(IF('🔢 Расчеты'!P$3:P$182&lt;&gt;"",'🔢 Расчеты'!P$3:P$182),9),"")</f>
        <v/>
      </c>
      <c r="D23" s="40">
        <f>IFERROR(INDEX('🔢 Расчеты'!Q$3:Q$182,MATCH(LARGE(IF('🔢 Расчеты'!P$3:P$182&lt;&gt;"",'🔢 Расчеты'!P$3:P$182),9),'🔢 Расчеты'!P$3:P$182,0)),"")</f>
        <v/>
      </c>
      <c r="E23" s="8">
        <f>IFERROR(INDEX('🔢 Расчеты'!A$3:A$182,MATCH(LARGE(IF('🔢 Расчеты'!J$3:J$182&lt;&gt;"",'🔢 Расчеты'!J$3:J$182),9),'🔢 Расчеты'!J$3:J$182,0)),"")</f>
        <v/>
      </c>
      <c r="F23" s="60">
        <f>IFERROR(LARGE(IF('🔢 Расчеты'!J$3:J$182&lt;&gt;"",'🔢 Расчеты'!J$3:J$182),9),"")</f>
        <v/>
      </c>
      <c r="G23" s="40">
        <f>IFERROR(INDEX('🔢 Расчеты'!D$3:D$182,MATCH(LARGE(IF('🔢 Расчеты'!J$3:J$182&lt;&gt;"",'🔢 Расчеты'!J$3:J$182),9),'🔢 Расчеты'!J$3:J$182,0)),"")</f>
        <v/>
      </c>
    </row>
    <row r="24" ht="17" customHeight="1">
      <c r="B24" s="8">
        <f>IFERROR(INDEX('🔢 Расчеты'!A$3:A$182,MATCH(LARGE(IF('🔢 Расчеты'!P$3:P$182&lt;&gt;"",'🔢 Расчеты'!P$3:P$182),10),'🔢 Расчеты'!P$3:P$182,0)),"")</f>
        <v/>
      </c>
      <c r="C24" s="59">
        <f>IFERROR(LARGE(IF('🔢 Расчеты'!P$3:P$182&lt;&gt;"",'🔢 Расчеты'!P$3:P$182),10),"")</f>
        <v/>
      </c>
      <c r="D24" s="40">
        <f>IFERROR(INDEX('🔢 Расчеты'!Q$3:Q$182,MATCH(LARGE(IF('🔢 Расчеты'!P$3:P$182&lt;&gt;"",'🔢 Расчеты'!P$3:P$182),10),'🔢 Расчеты'!P$3:P$182,0)),"")</f>
        <v/>
      </c>
      <c r="E24" s="8">
        <f>IFERROR(INDEX('🔢 Расчеты'!A$3:A$182,MATCH(LARGE(IF('🔢 Расчеты'!J$3:J$182&lt;&gt;"",'🔢 Расчеты'!J$3:J$182),10),'🔢 Расчеты'!J$3:J$182,0)),"")</f>
        <v/>
      </c>
      <c r="F24" s="60">
        <f>IFERROR(LARGE(IF('🔢 Расчеты'!J$3:J$182&lt;&gt;"",'🔢 Расчеты'!J$3:J$182),10),"")</f>
        <v/>
      </c>
      <c r="G24" s="40">
        <f>IFERROR(INDEX('🔢 Расчеты'!D$3:D$182,MATCH(LARGE(IF('🔢 Расчеты'!J$3:J$182&lt;&gt;"",'🔢 Расчеты'!J$3:J$182),10),'🔢 Расчеты'!J$3:J$182,0)),"")</f>
        <v/>
      </c>
    </row>
  </sheetData>
  <mergeCells count="4">
    <mergeCell ref="B3:G3"/>
    <mergeCell ref="B2:G2"/>
    <mergeCell ref="B13:D13"/>
    <mergeCell ref="E13:G13"/>
  </mergeCells>
  <conditionalFormatting sqref="C15:C24">
    <cfRule type="colorScale" priority="1">
      <colorScale>
        <cfvo type="min"/>
        <cfvo type="max"/>
        <color rgb="00FFEB84"/>
        <color rgb="0063BE7B"/>
      </colorScale>
    </cfRule>
  </conditionalFormatting>
  <conditionalFormatting sqref="F15:F24">
    <cfRule type="colorScale" priority="2">
      <colorScale>
        <cfvo type="min"/>
        <cfvo type="max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2" ht="32" customHeight="1">
      <c r="B2" s="61" t="inlineStr">
        <is>
          <t>СЦЕНАРНЫЙ АНАЛИЗ - Сравнение 5 сценариев по всем позициям</t>
        </is>
      </c>
    </row>
    <row r="3" ht="16" customHeight="1">
      <c r="B3" s="13" t="inlineStr">
        <is>
          <t>Кол-во продаж вводится вручную на листе Расчеты (кол. T) или на листе Продажи. При отсутствии - расчёты по ценам активны.</t>
        </is>
      </c>
    </row>
    <row r="5" ht="22" customHeight="1">
      <c r="B5" s="7" t="inlineStr">
        <is>
          <t>Сценарий</t>
        </is>
      </c>
      <c r="C5" s="7" t="inlineStr">
        <is>
          <t>Описание</t>
        </is>
      </c>
      <c r="D5" s="7" t="inlineStr">
        <is>
          <t>Ср.новая цена</t>
        </is>
      </c>
      <c r="E5" s="7" t="inlineStr">
        <is>
          <t>Ср.новая маржа</t>
        </is>
      </c>
      <c r="F5" s="7" t="inlineStr">
        <is>
          <t>Ср.ВП/ед</t>
        </is>
      </c>
      <c r="G5" s="7" t="inlineStr">
        <is>
          <t>Сумм.прогн.ВП</t>
        </is>
      </c>
      <c r="H5" s="7" t="inlineStr">
        <is>
          <t>Вывод</t>
        </is>
      </c>
    </row>
    <row r="6" ht="22" customHeight="1">
      <c r="B6" s="62" t="inlineStr">
        <is>
          <t>Текущая</t>
        </is>
      </c>
      <c r="C6" s="63" t="inlineStr">
        <is>
          <t>Действующая цена ЗЯ</t>
        </is>
      </c>
      <c r="D6" s="64">
        <f>IFERROR(AVERAGE(IF('🔢 Расчеты'!D3:D182&lt;&gt;"",'🔢 Расчеты'!D3:D182)),"")</f>
        <v/>
      </c>
      <c r="E6" s="65">
        <f>IFERROR(AVERAGE(IF('🔢 Расчеты'!P3:P182&lt;&gt;"",'🔢 Расчеты'!P3:P182)),"")</f>
        <v/>
      </c>
      <c r="F6" s="64">
        <f>IFERROR(AVERAGE(IF('🔢 Расчеты'!Q3:Q182&lt;&gt;"",'🔢 Расчеты'!Q3:Q182)),"")</f>
        <v/>
      </c>
      <c r="G6" s="64">
        <f>SUM('🔢 Расчеты'!V3:V182)</f>
        <v/>
      </c>
      <c r="H6" s="66" t="inlineStr">
        <is>
          <t>Базовый уровень</t>
        </is>
      </c>
    </row>
    <row r="7" ht="22" customHeight="1">
      <c r="B7" s="67" t="inlineStr">
        <is>
          <t>С1: Средняя рынка</t>
        </is>
      </c>
      <c r="C7" s="68" t="inlineStr">
        <is>
          <t>Цена = средняя по конкурентам</t>
        </is>
      </c>
      <c r="D7" s="69">
        <f>IFERROR(AVERAGE(IF('🔢 Расчеты'!X3:X182&lt;&gt;"",'🔢 Расчеты'!X3:X182)),"")</f>
        <v/>
      </c>
      <c r="E7" s="70">
        <f>IFERROR(AVERAGE(IF('🔢 Расчеты'!Z3:Z182&lt;&gt;"",'🔢 Расчеты'!Z3:Z182)),"")</f>
        <v/>
      </c>
      <c r="F7" s="69">
        <f>IFERROR(AVERAGE(IF('🔢 Расчеты'!AA3:AA182&lt;&gt;"",'🔢 Расчеты'!AA3:AA182)),"")</f>
        <v/>
      </c>
      <c r="G7" s="69">
        <f>SUM('🔢 Расчеты'!BI3:BI182)</f>
        <v/>
      </c>
      <c r="H7" s="71" t="inlineStr">
        <is>
          <t>Выравнивание по рынку</t>
        </is>
      </c>
    </row>
    <row r="8" ht="22" customHeight="1">
      <c r="B8" s="67" t="inlineStr">
        <is>
          <t>С2: Медиана рынка</t>
        </is>
      </c>
      <c r="C8" s="68" t="inlineStr">
        <is>
          <t>Цена = медианная по конкурентам</t>
        </is>
      </c>
      <c r="D8" s="69">
        <f>IFERROR(AVERAGE(IF('🔢 Расчеты'!AE3:AE182&lt;&gt;"",'🔢 Расчеты'!AE3:AE182)),"")</f>
        <v/>
      </c>
      <c r="E8" s="70">
        <f>IFERROR(AVERAGE(IF('🔢 Расчеты'!AG3:AG182&lt;&gt;"",'🔢 Расчеты'!AG3:AG182)),"")</f>
        <v/>
      </c>
      <c r="F8" s="69">
        <f>IFERROR(AVERAGE(IF('🔢 Расчеты'!AH3:AH182&lt;&gt;"",'🔢 Расчеты'!AH3:AH182)),"")</f>
        <v/>
      </c>
      <c r="G8" s="69">
        <f>SUM('🔢 Расчеты'!BK3:BK182)</f>
        <v/>
      </c>
      <c r="H8" s="71" t="inlineStr">
        <is>
          <t>Устойчив к выбросам</t>
        </is>
      </c>
    </row>
    <row r="9" ht="22" customHeight="1">
      <c r="B9" s="72" t="inlineStr">
        <is>
          <t>С3: Мин.конкурент</t>
        </is>
      </c>
      <c r="C9" s="73" t="inlineStr">
        <is>
          <t>Цена = минимальный конкурент</t>
        </is>
      </c>
      <c r="D9" s="74">
        <f>IFERROR(AVERAGE(IF('🔢 Расчеты'!AL3:AL182&lt;&gt;"",'🔢 Расчеты'!AL3:AL182)),"")</f>
        <v/>
      </c>
      <c r="E9" s="75">
        <f>IFERROR(AVERAGE(IF('🔢 Расчеты'!AN3:AN182&lt;&gt;"",'🔢 Расчеты'!AN3:AN182)),"")</f>
        <v/>
      </c>
      <c r="F9" s="74">
        <f>IFERROR(AVERAGE(IF('🔢 Расчеты'!AO3:AO182&lt;&gt;"",'🔢 Расчеты'!AO3:AO182)),"")</f>
        <v/>
      </c>
      <c r="G9" s="74">
        <f>SUM('🔢 Расчеты'!BM3:BM182)</f>
        <v/>
      </c>
      <c r="H9" s="76" t="inlineStr">
        <is>
          <t>Риск потери маржи</t>
        </is>
      </c>
    </row>
    <row r="10" ht="22" customHeight="1">
      <c r="B10" s="77" t="inlineStr">
        <is>
          <t>С4: Произв.цена</t>
        </is>
      </c>
      <c r="C10" s="78" t="inlineStr">
        <is>
          <t>Пользовательская цена (кол.AS в Расчетах)</t>
        </is>
      </c>
      <c r="D10" s="79">
        <f>IFERROR(AVERAGE(IF('🔢 Расчеты'!AS3:AS182&gt;0,'🔢 Расчеты'!AS3:AS182)),"")</f>
        <v/>
      </c>
      <c r="E10" s="80">
        <f>IFERROR(AVERAGE(IF('🔢 Расчеты'!AU3:AU182&lt;&gt;"",'🔢 Расчеты'!AU3:AU182)),"")</f>
        <v/>
      </c>
      <c r="F10" s="79">
        <f>IFERROR(AVERAGE(IF('🔢 Расчеты'!AV3:AV182&lt;&gt;"",'🔢 Расчеты'!AV3:AV182)),"")</f>
        <v/>
      </c>
      <c r="G10" s="79">
        <f>SUM('🔢 Расчеты'!BO3:BO182)</f>
        <v/>
      </c>
      <c r="H10" s="81" t="inlineStr">
        <is>
          <t>Пользовательский сценарий</t>
        </is>
      </c>
    </row>
    <row r="11" ht="22" customHeight="1">
      <c r="B11" s="82" t="inlineStr">
        <is>
          <t>С5: Целевая маржа</t>
        </is>
      </c>
      <c r="C11" s="83" t="inlineStr">
        <is>
          <t>Цена по целевой марже (кол.AZ в Расчетах)</t>
        </is>
      </c>
      <c r="D11" s="84">
        <f>IFERROR(AVERAGE(IF('🔢 Расчеты'!BA3:BA182&lt;&gt;"",'🔢 Расчеты'!BA3:BA182)),"")</f>
        <v/>
      </c>
      <c r="E11" s="85">
        <f>IFERROR(AVERAGE(IF('🔢 Расчеты'!BC3:BC182&lt;&gt;"",'🔢 Расчеты'!BC3:BC182)),"")</f>
        <v/>
      </c>
      <c r="F11" s="84">
        <f>IFERROR(AVERAGE(IF('🔢 Расчеты'!BD3:BD182&lt;&gt;"",'🔢 Расчеты'!BD3:BD182)),"")</f>
        <v/>
      </c>
      <c r="G11" s="84">
        <f>SUM('🔢 Расчеты'!BQ3:BQ182)</f>
        <v/>
      </c>
      <c r="H11" s="86" t="inlineStr">
        <is>
          <t>Маржинальный сценарий</t>
        </is>
      </c>
    </row>
    <row r="13" ht="8" customHeight="1"/>
    <row r="14" ht="22" customHeight="1">
      <c r="B14" s="87" t="inlineStr">
        <is>
          <t>АВТОМАТИЧЕСКИЕ СИГНАЛЫ</t>
        </is>
      </c>
    </row>
    <row r="15" ht="22" customHeight="1">
      <c r="B15" s="62" t="inlineStr">
        <is>
          <t>Позиций с ценой ВЫШЕ рынка</t>
        </is>
      </c>
      <c r="D15" s="88">
        <f>COUNTIF('🔢 Расчеты'!E3:E10000,"Выше рынка")</f>
        <v/>
      </c>
      <c r="E15" s="89" t="inlineStr">
        <is>
          <t>Рассмотреть снижение цены до С1 или С2</t>
        </is>
      </c>
    </row>
    <row r="16" ht="22" customHeight="1">
      <c r="B16" s="62" t="inlineStr">
        <is>
          <t>Позиций с ценой НИЖЕ рынка</t>
        </is>
      </c>
      <c r="D16" s="88">
        <f>COUNTIF('🔢 Расчеты'!E3:E10000,"Ниже рынка")</f>
        <v/>
      </c>
      <c r="E16" s="89" t="inlineStr">
        <is>
          <t>Потенциал повышения цены без потери конкурентоспособности</t>
        </is>
      </c>
    </row>
    <row r="17" ht="22" customHeight="1">
      <c r="B17" s="62" t="inlineStr">
        <is>
          <t>Позиций с КРИТИЧНЫМ риском ВП (С3)</t>
        </is>
      </c>
      <c r="D17" s="88">
        <f>COUNTIF('🔢 Расчеты'!S3:S10000,"КРИТИЧНО")</f>
        <v/>
      </c>
      <c r="E17" s="89" t="inlineStr">
        <is>
          <t>Снижение до мин.конкурента даёт маржу &lt;5% - опасно</t>
        </is>
      </c>
    </row>
    <row r="18" ht="22" customHeight="1">
      <c r="B18" s="62" t="inlineStr">
        <is>
          <t>Позиций с УМЕРЕННЫМ риском (С3)</t>
        </is>
      </c>
      <c r="D18" s="88">
        <f>COUNTIF('🔢 Расчеты'!S3:S10000,"УМЕРЕННЫЙ")</f>
        <v/>
      </c>
      <c r="E18" s="89" t="inlineStr">
        <is>
          <t>Требует мониторинга при изменении цены</t>
        </is>
      </c>
    </row>
    <row r="19" ht="22" customHeight="1">
      <c r="B19" s="62" t="inlineStr">
        <is>
          <t>Позиций с ХОРОШЕЙ маржой (&gt;20%)</t>
        </is>
      </c>
      <c r="D19" s="88">
        <f>COUNTIF('🔢 Расчеты'!R3:R10000,"Хорошая(&gt;20%)")</f>
        <v/>
      </c>
      <c r="E19" s="89" t="inlineStr">
        <is>
          <t>Высокая ценовая гибкость</t>
        </is>
      </c>
    </row>
    <row r="20" ht="22" customHeight="1">
      <c r="B20" s="62" t="inlineStr">
        <is>
          <t>Позиций с НИЗКОЙ маржой (&lt;10%)</t>
        </is>
      </c>
      <c r="D20" s="88">
        <f>COUNTIF('🔢 Расчеты'!R3:R10000,"Низкая(&lt;10%)")</f>
        <v/>
      </c>
      <c r="E20" s="89" t="inlineStr">
        <is>
          <t>Приоритет: переговоры с поставщиком / ценовая корректировка</t>
        </is>
      </c>
    </row>
  </sheetData>
  <mergeCells count="15">
    <mergeCell ref="B14:H14"/>
    <mergeCell ref="B16:C16"/>
    <mergeCell ref="E17:H17"/>
    <mergeCell ref="B15:C15"/>
    <mergeCell ref="E18:H18"/>
    <mergeCell ref="E19:H19"/>
    <mergeCell ref="B19:C19"/>
    <mergeCell ref="B20:C20"/>
    <mergeCell ref="E20:H20"/>
    <mergeCell ref="E16:H16"/>
    <mergeCell ref="E15:H15"/>
    <mergeCell ref="B2:H2"/>
    <mergeCell ref="B17:C17"/>
    <mergeCell ref="B18:C18"/>
    <mergeCell ref="B3:H3"/>
  </mergeCells>
  <conditionalFormatting sqref="D15:D20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2026-07-20T07:17:10Z</dcterms:created>
  <dcterms:modified xmlns:dcterms="http://purl.org/dc/terms/" xmlns:xsi="http://www.w3.org/2001/XMLSchema-instance" xsi:type="dcterms:W3CDTF">2026-07-20T07:17:12Z</dcterms:modified>
</cp:coreProperties>
</file>