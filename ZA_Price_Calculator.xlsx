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Мониторинг\"/>
    </mc:Choice>
  </mc:AlternateContent>
  <bookViews>
    <workbookView xWindow="0" yWindow="0" windowWidth="23040" windowHeight="9384" activeTab="1"/>
  </bookViews>
  <sheets>
    <sheet name="📋 Инструкция" sheetId="1" r:id="rId1"/>
    <sheet name="📊 Исходные данные" sheetId="2" r:id="rId2"/>
    <sheet name="🛒 Продажи" sheetId="3" r:id="rId3"/>
    <sheet name="🔢 Расчеты" sheetId="4" r:id="rId4"/>
    <sheet name="📈 Dashboard" sheetId="5" r:id="rId5"/>
    <sheet name="📋 Сценарный анализ" sheetId="6" r:id="rId6"/>
  </sheets>
  <definedNames>
    <definedName name="_xlnm._FilterDatabase" localSheetId="1" hidden="1">'📊 Исходные данные'!$A$1:$K$88</definedName>
    <definedName name="_xlnm._FilterDatabase" localSheetId="3" hidden="1">'🔢 Расчеты'!$A$2:$BU$89</definedName>
  </definedNames>
  <calcPr calcId="152511"/>
</workbook>
</file>

<file path=xl/calcChain.xml><?xml version="1.0" encoding="utf-8"?>
<calcChain xmlns="http://schemas.openxmlformats.org/spreadsheetml/2006/main">
  <c r="M11" i="4" l="1"/>
  <c r="N11" i="4" s="1"/>
  <c r="M12" i="4"/>
  <c r="N12" i="4" s="1"/>
  <c r="M13" i="4"/>
  <c r="N13" i="4" s="1"/>
  <c r="D10" i="6"/>
  <c r="BN89" i="4"/>
  <c r="BB89" i="4"/>
  <c r="BA89" i="4"/>
  <c r="AU89" i="4"/>
  <c r="Y89" i="4"/>
  <c r="X89" i="4"/>
  <c r="BH89" i="4" s="1"/>
  <c r="V89" i="4"/>
  <c r="U89" i="4"/>
  <c r="I89" i="4"/>
  <c r="H89" i="4"/>
  <c r="AL89" i="4" s="1"/>
  <c r="G89" i="4"/>
  <c r="AE89" i="4" s="1"/>
  <c r="F89" i="4"/>
  <c r="D89" i="4"/>
  <c r="K89" i="4" s="1"/>
  <c r="C89" i="4"/>
  <c r="AV89" i="4" s="1"/>
  <c r="BO89" i="4" s="1"/>
  <c r="B89" i="4"/>
  <c r="A89" i="4"/>
  <c r="BN88" i="4"/>
  <c r="BJ88" i="4"/>
  <c r="BA88" i="4"/>
  <c r="AW88" i="4"/>
  <c r="AU88" i="4"/>
  <c r="AP88" i="4"/>
  <c r="W88" i="4"/>
  <c r="V88" i="4"/>
  <c r="U88" i="4"/>
  <c r="O88" i="4"/>
  <c r="M88" i="4"/>
  <c r="N88" i="4" s="1"/>
  <c r="I88" i="4"/>
  <c r="H88" i="4"/>
  <c r="AL88" i="4" s="1"/>
  <c r="G88" i="4"/>
  <c r="AE88" i="4" s="1"/>
  <c r="F88" i="4"/>
  <c r="D88" i="4"/>
  <c r="L88" i="4" s="1"/>
  <c r="C88" i="4"/>
  <c r="AT88" i="4" s="1"/>
  <c r="B88" i="4"/>
  <c r="A88" i="4"/>
  <c r="BT87" i="4"/>
  <c r="BU87" i="4" s="1"/>
  <c r="BP87" i="4"/>
  <c r="BN87" i="4"/>
  <c r="BB87" i="4"/>
  <c r="AV87" i="4"/>
  <c r="BO87" i="4" s="1"/>
  <c r="AU87" i="4"/>
  <c r="AO87" i="4"/>
  <c r="AM87" i="4"/>
  <c r="AL87" i="4"/>
  <c r="BL87" i="4" s="1"/>
  <c r="AG87" i="4"/>
  <c r="X87" i="4"/>
  <c r="V87" i="4"/>
  <c r="U87" i="4"/>
  <c r="W87" i="4" s="1"/>
  <c r="S87" i="4"/>
  <c r="I87" i="4"/>
  <c r="H87" i="4"/>
  <c r="G87" i="4"/>
  <c r="AE87" i="4" s="1"/>
  <c r="F87" i="4"/>
  <c r="D87" i="4"/>
  <c r="C87" i="4"/>
  <c r="BA87" i="4" s="1"/>
  <c r="B87" i="4"/>
  <c r="A87" i="4"/>
  <c r="BN86" i="4"/>
  <c r="BH86" i="4"/>
  <c r="AU86" i="4"/>
  <c r="AL86" i="4"/>
  <c r="AE86" i="4"/>
  <c r="V86" i="4"/>
  <c r="U86" i="4"/>
  <c r="L86" i="4"/>
  <c r="K86" i="4"/>
  <c r="I86" i="4"/>
  <c r="H86" i="4"/>
  <c r="G86" i="4"/>
  <c r="F86" i="4"/>
  <c r="X86" i="4" s="1"/>
  <c r="D86" i="4"/>
  <c r="C86" i="4"/>
  <c r="AM86" i="4" s="1"/>
  <c r="B86" i="4"/>
  <c r="A86" i="4"/>
  <c r="BP85" i="4"/>
  <c r="BO85" i="4"/>
  <c r="BN85" i="4"/>
  <c r="BL85" i="4"/>
  <c r="BF85" i="4"/>
  <c r="BC85" i="4"/>
  <c r="BA85" i="4"/>
  <c r="BD85" i="4" s="1"/>
  <c r="AW85" i="4"/>
  <c r="AU85" i="4"/>
  <c r="AT85" i="4"/>
  <c r="AL85" i="4"/>
  <c r="AI85" i="4"/>
  <c r="AB85" i="4"/>
  <c r="Z85" i="4"/>
  <c r="X85" i="4"/>
  <c r="BH85" i="4" s="1"/>
  <c r="V85" i="4"/>
  <c r="U85" i="4"/>
  <c r="S85" i="4"/>
  <c r="R85" i="4"/>
  <c r="P85" i="4"/>
  <c r="AC85" i="4" s="1"/>
  <c r="J85" i="4"/>
  <c r="I85" i="4"/>
  <c r="H85" i="4"/>
  <c r="G85" i="4"/>
  <c r="AE85" i="4" s="1"/>
  <c r="F85" i="4"/>
  <c r="D85" i="4"/>
  <c r="M85" i="4" s="1"/>
  <c r="N85" i="4" s="1"/>
  <c r="C85" i="4"/>
  <c r="AV85" i="4" s="1"/>
  <c r="B85" i="4"/>
  <c r="A85" i="4"/>
  <c r="BN84" i="4"/>
  <c r="BJ84" i="4"/>
  <c r="BD84" i="4"/>
  <c r="BA84" i="4"/>
  <c r="AW84" i="4"/>
  <c r="AU84" i="4"/>
  <c r="AI84" i="4"/>
  <c r="AG84" i="4"/>
  <c r="AE84" i="4"/>
  <c r="AH84" i="4" s="1"/>
  <c r="V84" i="4"/>
  <c r="U84" i="4"/>
  <c r="Q84" i="4"/>
  <c r="O84" i="4"/>
  <c r="M84" i="4"/>
  <c r="N84" i="4" s="1"/>
  <c r="K84" i="4"/>
  <c r="I84" i="4"/>
  <c r="H84" i="4"/>
  <c r="G84" i="4"/>
  <c r="F84" i="4"/>
  <c r="D84" i="4"/>
  <c r="L84" i="4" s="1"/>
  <c r="C84" i="4"/>
  <c r="AT84" i="4" s="1"/>
  <c r="B84" i="4"/>
  <c r="A84" i="4"/>
  <c r="BP83" i="4"/>
  <c r="BN83" i="4"/>
  <c r="BD83" i="4"/>
  <c r="BQ83" i="4" s="1"/>
  <c r="BC83" i="4"/>
  <c r="BB83" i="4"/>
  <c r="AW83" i="4"/>
  <c r="AV83" i="4"/>
  <c r="BO83" i="4" s="1"/>
  <c r="AU83" i="4"/>
  <c r="AT83" i="4"/>
  <c r="AL83" i="4"/>
  <c r="W83" i="4"/>
  <c r="V83" i="4"/>
  <c r="U83" i="4"/>
  <c r="S83" i="4"/>
  <c r="M83" i="4"/>
  <c r="N83" i="4" s="1"/>
  <c r="I83" i="4"/>
  <c r="H83" i="4"/>
  <c r="G83" i="4"/>
  <c r="AE83" i="4" s="1"/>
  <c r="F83" i="4"/>
  <c r="X83" i="4" s="1"/>
  <c r="Z83" i="4" s="1"/>
  <c r="D83" i="4"/>
  <c r="O83" i="4" s="1"/>
  <c r="C83" i="4"/>
  <c r="BA83" i="4" s="1"/>
  <c r="B83" i="4"/>
  <c r="A83" i="4"/>
  <c r="BN82" i="4"/>
  <c r="BJ82" i="4"/>
  <c r="AW82" i="4"/>
  <c r="AU82" i="4"/>
  <c r="AP82" i="4"/>
  <c r="AL82" i="4"/>
  <c r="X82" i="4"/>
  <c r="W82" i="4"/>
  <c r="V82" i="4"/>
  <c r="U82" i="4"/>
  <c r="M82" i="4"/>
  <c r="N82" i="4" s="1"/>
  <c r="K82" i="4"/>
  <c r="I82" i="4"/>
  <c r="H82" i="4"/>
  <c r="G82" i="4"/>
  <c r="AE82" i="4" s="1"/>
  <c r="F82" i="4"/>
  <c r="E82" i="4" s="1"/>
  <c r="D82" i="4"/>
  <c r="L82" i="4" s="1"/>
  <c r="C82" i="4"/>
  <c r="B82" i="4"/>
  <c r="A82" i="4"/>
  <c r="BN81" i="4"/>
  <c r="BL81" i="4"/>
  <c r="BA81" i="4"/>
  <c r="AU81" i="4"/>
  <c r="AP81" i="4"/>
  <c r="AO81" i="4"/>
  <c r="AN81" i="4"/>
  <c r="AL81" i="4"/>
  <c r="AM81" i="4" s="1"/>
  <c r="AF81" i="4"/>
  <c r="X81" i="4"/>
  <c r="AA81" i="4" s="1"/>
  <c r="BI81" i="4" s="1"/>
  <c r="V81" i="4"/>
  <c r="U81" i="4"/>
  <c r="W81" i="4" s="1"/>
  <c r="S81" i="4"/>
  <c r="J81" i="4"/>
  <c r="I81" i="4"/>
  <c r="H81" i="4"/>
  <c r="G81" i="4"/>
  <c r="AE81" i="4" s="1"/>
  <c r="BJ81" i="4" s="1"/>
  <c r="F81" i="4"/>
  <c r="D81" i="4"/>
  <c r="AW81" i="4" s="1"/>
  <c r="C81" i="4"/>
  <c r="B81" i="4"/>
  <c r="A81" i="4"/>
  <c r="BN80" i="4"/>
  <c r="BA80" i="4"/>
  <c r="AU80" i="4"/>
  <c r="AO80" i="4"/>
  <c r="BM80" i="4" s="1"/>
  <c r="AN80" i="4"/>
  <c r="AL80" i="4"/>
  <c r="BL80" i="4" s="1"/>
  <c r="AE80" i="4"/>
  <c r="V80" i="4"/>
  <c r="U80" i="4"/>
  <c r="W80" i="4" s="1"/>
  <c r="S80" i="4"/>
  <c r="K80" i="4"/>
  <c r="J80" i="4"/>
  <c r="I80" i="4"/>
  <c r="H80" i="4"/>
  <c r="G80" i="4"/>
  <c r="F80" i="4"/>
  <c r="X80" i="4" s="1"/>
  <c r="D80" i="4"/>
  <c r="L80" i="4" s="1"/>
  <c r="C80" i="4"/>
  <c r="B80" i="4"/>
  <c r="A80" i="4"/>
  <c r="BN79" i="4"/>
  <c r="BH79" i="4"/>
  <c r="AU79" i="4"/>
  <c r="AL79" i="4"/>
  <c r="AE79" i="4"/>
  <c r="V79" i="4"/>
  <c r="U79" i="4"/>
  <c r="S79" i="4"/>
  <c r="J79" i="4"/>
  <c r="I79" i="4"/>
  <c r="H79" i="4"/>
  <c r="G79" i="4"/>
  <c r="F79" i="4"/>
  <c r="X79" i="4" s="1"/>
  <c r="D79" i="4"/>
  <c r="L79" i="4" s="1"/>
  <c r="C79" i="4"/>
  <c r="B79" i="4"/>
  <c r="A79" i="4"/>
  <c r="BN78" i="4"/>
  <c r="AW78" i="4"/>
  <c r="AV78" i="4"/>
  <c r="AU78" i="4"/>
  <c r="AP78" i="4"/>
  <c r="AN78" i="4"/>
  <c r="AE78" i="4"/>
  <c r="V78" i="4"/>
  <c r="U78" i="4"/>
  <c r="W78" i="4" s="1"/>
  <c r="S78" i="4"/>
  <c r="L78" i="4"/>
  <c r="K78" i="4"/>
  <c r="J78" i="4"/>
  <c r="I78" i="4"/>
  <c r="H78" i="4"/>
  <c r="AL78" i="4" s="1"/>
  <c r="BL78" i="4" s="1"/>
  <c r="G78" i="4"/>
  <c r="F78" i="4"/>
  <c r="X78" i="4" s="1"/>
  <c r="D78" i="4"/>
  <c r="C78" i="4"/>
  <c r="B78" i="4"/>
  <c r="A78" i="4"/>
  <c r="BN77" i="4"/>
  <c r="AV77" i="4"/>
  <c r="BO77" i="4" s="1"/>
  <c r="AU77" i="4"/>
  <c r="AT77" i="4"/>
  <c r="AL77" i="4"/>
  <c r="AE77" i="4"/>
  <c r="V77" i="4"/>
  <c r="U77" i="4"/>
  <c r="W77" i="4" s="1"/>
  <c r="I77" i="4"/>
  <c r="H77" i="4"/>
  <c r="G77" i="4"/>
  <c r="F77" i="4"/>
  <c r="X77" i="4" s="1"/>
  <c r="D77" i="4"/>
  <c r="C77" i="4"/>
  <c r="S77" i="4" s="1"/>
  <c r="B77" i="4"/>
  <c r="A77" i="4"/>
  <c r="BN76" i="4"/>
  <c r="BK76" i="4"/>
  <c r="BJ76" i="4"/>
  <c r="BC76" i="4"/>
  <c r="BB76" i="4"/>
  <c r="BA76" i="4"/>
  <c r="AU76" i="4"/>
  <c r="AT76" i="4"/>
  <c r="AI76" i="4"/>
  <c r="AH76" i="4"/>
  <c r="AE76" i="4"/>
  <c r="AG76" i="4" s="1"/>
  <c r="V76" i="4"/>
  <c r="U76" i="4"/>
  <c r="W76" i="4" s="1"/>
  <c r="S76" i="4"/>
  <c r="K76" i="4"/>
  <c r="I76" i="4"/>
  <c r="H76" i="4"/>
  <c r="AL76" i="4" s="1"/>
  <c r="G76" i="4"/>
  <c r="F76" i="4"/>
  <c r="D76" i="4"/>
  <c r="L76" i="4" s="1"/>
  <c r="C76" i="4"/>
  <c r="B76" i="4"/>
  <c r="A76" i="4"/>
  <c r="BP75" i="4"/>
  <c r="BO75" i="4"/>
  <c r="BN75" i="4"/>
  <c r="BA75" i="4"/>
  <c r="AU75" i="4"/>
  <c r="AT75" i="4"/>
  <c r="AF75" i="4"/>
  <c r="AA75" i="4"/>
  <c r="X75" i="4"/>
  <c r="BH75" i="4" s="1"/>
  <c r="V75" i="4"/>
  <c r="U75" i="4"/>
  <c r="W75" i="4" s="1"/>
  <c r="R75" i="4"/>
  <c r="Q75" i="4"/>
  <c r="P75" i="4"/>
  <c r="AX75" i="4" s="1"/>
  <c r="I75" i="4"/>
  <c r="H75" i="4"/>
  <c r="G75" i="4"/>
  <c r="AE75" i="4" s="1"/>
  <c r="F75" i="4"/>
  <c r="D75" i="4"/>
  <c r="C75" i="4"/>
  <c r="AV75" i="4" s="1"/>
  <c r="AY75" i="4" s="1"/>
  <c r="B75" i="4"/>
  <c r="A75" i="4"/>
  <c r="BO74" i="4"/>
  <c r="BN74" i="4"/>
  <c r="BA74" i="4"/>
  <c r="AW74" i="4"/>
  <c r="AV74" i="4"/>
  <c r="AU74" i="4"/>
  <c r="V74" i="4"/>
  <c r="U74" i="4"/>
  <c r="P74" i="4"/>
  <c r="R74" i="4" s="1"/>
  <c r="O74" i="4"/>
  <c r="M74" i="4"/>
  <c r="N74" i="4" s="1"/>
  <c r="I74" i="4"/>
  <c r="H74" i="4"/>
  <c r="S74" i="4" s="1"/>
  <c r="G74" i="4"/>
  <c r="AE74" i="4" s="1"/>
  <c r="F74" i="4"/>
  <c r="E74" i="4"/>
  <c r="D74" i="4"/>
  <c r="L74" i="4" s="1"/>
  <c r="C74" i="4"/>
  <c r="AT74" i="4" s="1"/>
  <c r="B74" i="4"/>
  <c r="A74" i="4"/>
  <c r="BO73" i="4"/>
  <c r="BN73" i="4"/>
  <c r="AV73" i="4"/>
  <c r="AU73" i="4"/>
  <c r="AT73" i="4"/>
  <c r="AE73" i="4"/>
  <c r="V73" i="4"/>
  <c r="U73" i="4"/>
  <c r="W73" i="4" s="1"/>
  <c r="S73" i="4"/>
  <c r="P73" i="4"/>
  <c r="K73" i="4"/>
  <c r="I73" i="4"/>
  <c r="H73" i="4"/>
  <c r="AL73" i="4" s="1"/>
  <c r="G73" i="4"/>
  <c r="F73" i="4"/>
  <c r="X73" i="4" s="1"/>
  <c r="E73" i="4"/>
  <c r="D73" i="4"/>
  <c r="L73" i="4" s="1"/>
  <c r="C73" i="4"/>
  <c r="B73" i="4"/>
  <c r="A73" i="4"/>
  <c r="BN72" i="4"/>
  <c r="AV72" i="4"/>
  <c r="AU72" i="4"/>
  <c r="AT72" i="4"/>
  <c r="AL72" i="4"/>
  <c r="V72" i="4"/>
  <c r="U72" i="4"/>
  <c r="W72" i="4" s="1"/>
  <c r="S72" i="4"/>
  <c r="L72" i="4"/>
  <c r="K72" i="4"/>
  <c r="J72" i="4"/>
  <c r="I72" i="4"/>
  <c r="H72" i="4"/>
  <c r="G72" i="4"/>
  <c r="AE72" i="4" s="1"/>
  <c r="F72" i="4"/>
  <c r="X72" i="4" s="1"/>
  <c r="D72" i="4"/>
  <c r="C72" i="4"/>
  <c r="B72" i="4"/>
  <c r="A72" i="4"/>
  <c r="BP71" i="4"/>
  <c r="BN71" i="4"/>
  <c r="BH71" i="4"/>
  <c r="BA71" i="4"/>
  <c r="AU71" i="4"/>
  <c r="AT71" i="4"/>
  <c r="AG71" i="4"/>
  <c r="AA71" i="4"/>
  <c r="Z71" i="4"/>
  <c r="Y71" i="4"/>
  <c r="X71" i="4"/>
  <c r="V71" i="4"/>
  <c r="U71" i="4"/>
  <c r="W71" i="4" s="1"/>
  <c r="Q71" i="4"/>
  <c r="P71" i="4"/>
  <c r="J71" i="4"/>
  <c r="I71" i="4"/>
  <c r="H71" i="4"/>
  <c r="G71" i="4"/>
  <c r="AE71" i="4" s="1"/>
  <c r="AI71" i="4" s="1"/>
  <c r="F71" i="4"/>
  <c r="D71" i="4"/>
  <c r="AW71" i="4" s="1"/>
  <c r="C71" i="4"/>
  <c r="O71" i="4" s="1"/>
  <c r="B71" i="4"/>
  <c r="A71" i="4"/>
  <c r="BN70" i="4"/>
  <c r="AW70" i="4"/>
  <c r="AV70" i="4"/>
  <c r="AU70" i="4"/>
  <c r="W70" i="4"/>
  <c r="V70" i="4"/>
  <c r="U70" i="4"/>
  <c r="P70" i="4"/>
  <c r="R70" i="4" s="1"/>
  <c r="O70" i="4"/>
  <c r="M70" i="4"/>
  <c r="N70" i="4" s="1"/>
  <c r="I70" i="4"/>
  <c r="H70" i="4"/>
  <c r="G70" i="4"/>
  <c r="K70" i="4" s="1"/>
  <c r="F70" i="4"/>
  <c r="D70" i="4"/>
  <c r="L70" i="4" s="1"/>
  <c r="C70" i="4"/>
  <c r="AT70" i="4" s="1"/>
  <c r="B70" i="4"/>
  <c r="A70" i="4"/>
  <c r="BN69" i="4"/>
  <c r="BL69" i="4"/>
  <c r="AV69" i="4"/>
  <c r="AU69" i="4"/>
  <c r="AT69" i="4"/>
  <c r="AM69" i="4"/>
  <c r="AL69" i="4"/>
  <c r="AE69" i="4"/>
  <c r="V69" i="4"/>
  <c r="U69" i="4"/>
  <c r="W69" i="4" s="1"/>
  <c r="M69" i="4"/>
  <c r="N69" i="4" s="1"/>
  <c r="L69" i="4"/>
  <c r="I69" i="4"/>
  <c r="H69" i="4"/>
  <c r="G69" i="4"/>
  <c r="F69" i="4"/>
  <c r="X69" i="4" s="1"/>
  <c r="E69" i="4"/>
  <c r="D69" i="4"/>
  <c r="C69" i="4"/>
  <c r="S69" i="4" s="1"/>
  <c r="B69" i="4"/>
  <c r="A69" i="4"/>
  <c r="BN68" i="4"/>
  <c r="AU68" i="4"/>
  <c r="AL68" i="4"/>
  <c r="AI68" i="4"/>
  <c r="X68" i="4"/>
  <c r="BH68" i="4" s="1"/>
  <c r="V68" i="4"/>
  <c r="U68" i="4"/>
  <c r="W68" i="4" s="1"/>
  <c r="L68" i="4"/>
  <c r="K68" i="4"/>
  <c r="I68" i="4"/>
  <c r="H68" i="4"/>
  <c r="G68" i="4"/>
  <c r="AE68" i="4" s="1"/>
  <c r="F68" i="4"/>
  <c r="D68" i="4"/>
  <c r="C68" i="4"/>
  <c r="B68" i="4"/>
  <c r="A68" i="4"/>
  <c r="BP67" i="4"/>
  <c r="BN67" i="4"/>
  <c r="BI67" i="4"/>
  <c r="BH67" i="4"/>
  <c r="BA67" i="4"/>
  <c r="AW67" i="4"/>
  <c r="AU67" i="4"/>
  <c r="AG67" i="4"/>
  <c r="AA67" i="4"/>
  <c r="AD67" i="4" s="1"/>
  <c r="Z67" i="4"/>
  <c r="Y67" i="4"/>
  <c r="X67" i="4"/>
  <c r="AB67" i="4" s="1"/>
  <c r="V67" i="4"/>
  <c r="U67" i="4"/>
  <c r="W67" i="4" s="1"/>
  <c r="Q67" i="4"/>
  <c r="P67" i="4"/>
  <c r="R67" i="4" s="1"/>
  <c r="O67" i="4"/>
  <c r="M67" i="4"/>
  <c r="N67" i="4" s="1"/>
  <c r="J67" i="4"/>
  <c r="I67" i="4"/>
  <c r="H67" i="4"/>
  <c r="G67" i="4"/>
  <c r="AE67" i="4" s="1"/>
  <c r="F67" i="4"/>
  <c r="E67" i="4"/>
  <c r="D67" i="4"/>
  <c r="L67" i="4" s="1"/>
  <c r="C67" i="4"/>
  <c r="AV67" i="4" s="1"/>
  <c r="B67" i="4"/>
  <c r="A67" i="4"/>
  <c r="BN66" i="4"/>
  <c r="AW66" i="4"/>
  <c r="AV66" i="4"/>
  <c r="AU66" i="4"/>
  <c r="AL66" i="4"/>
  <c r="X66" i="4"/>
  <c r="V66" i="4"/>
  <c r="U66" i="4"/>
  <c r="M66" i="4"/>
  <c r="N66" i="4" s="1"/>
  <c r="K66" i="4"/>
  <c r="I66" i="4"/>
  <c r="H66" i="4"/>
  <c r="G66" i="4"/>
  <c r="AE66" i="4" s="1"/>
  <c r="F66" i="4"/>
  <c r="J66" i="4" s="1"/>
  <c r="E66" i="4"/>
  <c r="D66" i="4"/>
  <c r="L66" i="4" s="1"/>
  <c r="C66" i="4"/>
  <c r="B66" i="4"/>
  <c r="A66" i="4"/>
  <c r="BN65" i="4"/>
  <c r="AU65" i="4"/>
  <c r="AL65" i="4"/>
  <c r="BL65" i="4" s="1"/>
  <c r="AE65" i="4"/>
  <c r="AB65" i="4"/>
  <c r="Z65" i="4"/>
  <c r="W65" i="4"/>
  <c r="V65" i="4"/>
  <c r="U65" i="4"/>
  <c r="M65" i="4"/>
  <c r="N65" i="4" s="1"/>
  <c r="L65" i="4"/>
  <c r="K65" i="4"/>
  <c r="I65" i="4"/>
  <c r="H65" i="4"/>
  <c r="G65" i="4"/>
  <c r="F65" i="4"/>
  <c r="X65" i="4" s="1"/>
  <c r="D65" i="4"/>
  <c r="C65" i="4"/>
  <c r="B65" i="4"/>
  <c r="A65" i="4"/>
  <c r="BN64" i="4"/>
  <c r="BL64" i="4"/>
  <c r="AW64" i="4"/>
  <c r="AU64" i="4"/>
  <c r="AP64" i="4"/>
  <c r="AL64" i="4"/>
  <c r="W64" i="4"/>
  <c r="V64" i="4"/>
  <c r="U64" i="4"/>
  <c r="O64" i="4"/>
  <c r="M64" i="4"/>
  <c r="N64" i="4" s="1"/>
  <c r="I64" i="4"/>
  <c r="H64" i="4"/>
  <c r="G64" i="4"/>
  <c r="F64" i="4"/>
  <c r="E64" i="4" s="1"/>
  <c r="D64" i="4"/>
  <c r="L64" i="4" s="1"/>
  <c r="C64" i="4"/>
  <c r="S64" i="4" s="1"/>
  <c r="B64" i="4"/>
  <c r="A64" i="4"/>
  <c r="BN63" i="4"/>
  <c r="BA63" i="4"/>
  <c r="AX63" i="4"/>
  <c r="AU63" i="4"/>
  <c r="X63" i="4"/>
  <c r="V63" i="4"/>
  <c r="U63" i="4"/>
  <c r="W63" i="4" s="1"/>
  <c r="Q63" i="4"/>
  <c r="P63" i="4"/>
  <c r="R63" i="4" s="1"/>
  <c r="O63" i="4"/>
  <c r="I63" i="4"/>
  <c r="H63" i="4"/>
  <c r="G63" i="4"/>
  <c r="F63" i="4"/>
  <c r="D63" i="4"/>
  <c r="AW63" i="4" s="1"/>
  <c r="C63" i="4"/>
  <c r="AV63" i="4" s="1"/>
  <c r="BO63" i="4" s="1"/>
  <c r="B63" i="4"/>
  <c r="A63" i="4"/>
  <c r="BN62" i="4"/>
  <c r="AY62" i="4"/>
  <c r="AW62" i="4"/>
  <c r="AV62" i="4"/>
  <c r="BO62" i="4" s="1"/>
  <c r="AU62" i="4"/>
  <c r="AL62" i="4"/>
  <c r="W62" i="4"/>
  <c r="V62" i="4"/>
  <c r="U62" i="4"/>
  <c r="Q62" i="4"/>
  <c r="O62" i="4"/>
  <c r="M62" i="4"/>
  <c r="N62" i="4" s="1"/>
  <c r="I62" i="4"/>
  <c r="H62" i="4"/>
  <c r="G62" i="4"/>
  <c r="F62" i="4"/>
  <c r="D62" i="4"/>
  <c r="L62" i="4" s="1"/>
  <c r="C62" i="4"/>
  <c r="AT62" i="4" s="1"/>
  <c r="B62" i="4"/>
  <c r="A62" i="4"/>
  <c r="BN61" i="4"/>
  <c r="AU61" i="4"/>
  <c r="AL61" i="4"/>
  <c r="X61" i="4"/>
  <c r="V61" i="4"/>
  <c r="U61" i="4"/>
  <c r="W61" i="4" s="1"/>
  <c r="S61" i="4"/>
  <c r="L61" i="4"/>
  <c r="I61" i="4"/>
  <c r="H61" i="4"/>
  <c r="G61" i="4"/>
  <c r="AE61" i="4" s="1"/>
  <c r="F61" i="4"/>
  <c r="D61" i="4"/>
  <c r="J61" i="4" s="1"/>
  <c r="C61" i="4"/>
  <c r="B61" i="4"/>
  <c r="A61" i="4"/>
  <c r="BT60" i="4"/>
  <c r="BU60" i="4" s="1"/>
  <c r="BN60" i="4"/>
  <c r="BL60" i="4"/>
  <c r="BE60" i="4"/>
  <c r="BA60" i="4"/>
  <c r="BC60" i="4" s="1"/>
  <c r="AW60" i="4"/>
  <c r="AV60" i="4"/>
  <c r="AU60" i="4"/>
  <c r="AR60" i="4"/>
  <c r="AP60" i="4"/>
  <c r="AN60" i="4"/>
  <c r="AL60" i="4"/>
  <c r="AO60" i="4" s="1"/>
  <c r="BM60" i="4" s="1"/>
  <c r="W60" i="4"/>
  <c r="V60" i="4"/>
  <c r="U60" i="4"/>
  <c r="S60" i="4"/>
  <c r="Q60" i="4"/>
  <c r="O60" i="4"/>
  <c r="M60" i="4"/>
  <c r="N60" i="4" s="1"/>
  <c r="I60" i="4"/>
  <c r="H60" i="4"/>
  <c r="G60" i="4"/>
  <c r="K60" i="4" s="1"/>
  <c r="F60" i="4"/>
  <c r="D60" i="4"/>
  <c r="L60" i="4" s="1"/>
  <c r="C60" i="4"/>
  <c r="B60" i="4"/>
  <c r="A60" i="4"/>
  <c r="BN59" i="4"/>
  <c r="AU59" i="4"/>
  <c r="AT59" i="4"/>
  <c r="AH59" i="4"/>
  <c r="AG59" i="4"/>
  <c r="V59" i="4"/>
  <c r="U59" i="4"/>
  <c r="S59" i="4"/>
  <c r="Q59" i="4"/>
  <c r="I59" i="4"/>
  <c r="H59" i="4"/>
  <c r="AL59" i="4" s="1"/>
  <c r="G59" i="4"/>
  <c r="AE59" i="4" s="1"/>
  <c r="F59" i="4"/>
  <c r="X59" i="4" s="1"/>
  <c r="E59" i="4"/>
  <c r="D59" i="4"/>
  <c r="M59" i="4" s="1"/>
  <c r="N59" i="4" s="1"/>
  <c r="C59" i="4"/>
  <c r="B59" i="4"/>
  <c r="A59" i="4"/>
  <c r="BN58" i="4"/>
  <c r="AW58" i="4"/>
  <c r="AU58" i="4"/>
  <c r="AL58" i="4"/>
  <c r="AP58" i="4" s="1"/>
  <c r="X58" i="4"/>
  <c r="V58" i="4"/>
  <c r="U58" i="4"/>
  <c r="W58" i="4" s="1"/>
  <c r="K58" i="4"/>
  <c r="J58" i="4"/>
  <c r="I58" i="4"/>
  <c r="H58" i="4"/>
  <c r="G58" i="4"/>
  <c r="AE58" i="4" s="1"/>
  <c r="F58" i="4"/>
  <c r="D58" i="4"/>
  <c r="AI58" i="4" s="1"/>
  <c r="C58" i="4"/>
  <c r="B58" i="4"/>
  <c r="A58" i="4"/>
  <c r="BN57" i="4"/>
  <c r="BL57" i="4"/>
  <c r="BJ57" i="4"/>
  <c r="BA57" i="4"/>
  <c r="AU57" i="4"/>
  <c r="AL57" i="4"/>
  <c r="AI57" i="4"/>
  <c r="AE57" i="4"/>
  <c r="AA57" i="4"/>
  <c r="Z57" i="4"/>
  <c r="Y57" i="4"/>
  <c r="V57" i="4"/>
  <c r="W57" i="4" s="1"/>
  <c r="U57" i="4"/>
  <c r="M57" i="4"/>
  <c r="N57" i="4" s="1"/>
  <c r="K57" i="4"/>
  <c r="J57" i="4"/>
  <c r="I57" i="4"/>
  <c r="H57" i="4"/>
  <c r="S57" i="4" s="1"/>
  <c r="G57" i="4"/>
  <c r="F57" i="4"/>
  <c r="X57" i="4" s="1"/>
  <c r="BH57" i="4" s="1"/>
  <c r="E57" i="4"/>
  <c r="D57" i="4"/>
  <c r="AW57" i="4" s="1"/>
  <c r="C57" i="4"/>
  <c r="B57" i="4"/>
  <c r="A57" i="4"/>
  <c r="BN56" i="4"/>
  <c r="BM56" i="4"/>
  <c r="BC56" i="4"/>
  <c r="BB56" i="4"/>
  <c r="AU56" i="4"/>
  <c r="AP56" i="4"/>
  <c r="AO56" i="4"/>
  <c r="AE56" i="4"/>
  <c r="X56" i="4"/>
  <c r="W56" i="4"/>
  <c r="V56" i="4"/>
  <c r="BT56" i="4" s="1"/>
  <c r="BU56" i="4" s="1"/>
  <c r="U56" i="4"/>
  <c r="L56" i="4"/>
  <c r="K56" i="4"/>
  <c r="I56" i="4"/>
  <c r="H56" i="4"/>
  <c r="AL56" i="4" s="1"/>
  <c r="BL56" i="4" s="1"/>
  <c r="G56" i="4"/>
  <c r="F56" i="4"/>
  <c r="D56" i="4"/>
  <c r="C56" i="4"/>
  <c r="BA56" i="4" s="1"/>
  <c r="BD56" i="4" s="1"/>
  <c r="BQ56" i="4" s="1"/>
  <c r="B56" i="4"/>
  <c r="A56" i="4"/>
  <c r="BN55" i="4"/>
  <c r="BM55" i="4"/>
  <c r="BL55" i="4"/>
  <c r="BC55" i="4"/>
  <c r="BA55" i="4"/>
  <c r="AY55" i="4"/>
  <c r="AW55" i="4"/>
  <c r="AV55" i="4"/>
  <c r="BO55" i="4" s="1"/>
  <c r="AU55" i="4"/>
  <c r="AT55" i="4"/>
  <c r="AP55" i="4"/>
  <c r="AN55" i="4"/>
  <c r="AM55" i="4"/>
  <c r="AL55" i="4"/>
  <c r="AO55" i="4" s="1"/>
  <c r="V55" i="4"/>
  <c r="U55" i="4"/>
  <c r="W55" i="4" s="1"/>
  <c r="Q55" i="4"/>
  <c r="O55" i="4"/>
  <c r="I55" i="4"/>
  <c r="H55" i="4"/>
  <c r="S55" i="4" s="1"/>
  <c r="G55" i="4"/>
  <c r="AE55" i="4" s="1"/>
  <c r="F55" i="4"/>
  <c r="E55" i="4" s="1"/>
  <c r="D55" i="4"/>
  <c r="L55" i="4" s="1"/>
  <c r="C55" i="4"/>
  <c r="B55" i="4"/>
  <c r="A55" i="4"/>
  <c r="BN54" i="4"/>
  <c r="BD54" i="4"/>
  <c r="BC54" i="4"/>
  <c r="BB54" i="4"/>
  <c r="BA54" i="4"/>
  <c r="BP54" i="4" s="1"/>
  <c r="AU54" i="4"/>
  <c r="AT54" i="4"/>
  <c r="X54" i="4"/>
  <c r="W54" i="4"/>
  <c r="V54" i="4"/>
  <c r="U54" i="4"/>
  <c r="P54" i="4"/>
  <c r="R54" i="4" s="1"/>
  <c r="O54" i="4"/>
  <c r="M54" i="4"/>
  <c r="N54" i="4" s="1"/>
  <c r="I54" i="4"/>
  <c r="H54" i="4"/>
  <c r="G54" i="4"/>
  <c r="AE54" i="4" s="1"/>
  <c r="F54" i="4"/>
  <c r="E54" i="4" s="1"/>
  <c r="D54" i="4"/>
  <c r="C54" i="4"/>
  <c r="Q54" i="4" s="1"/>
  <c r="B54" i="4"/>
  <c r="A54" i="4"/>
  <c r="BN53" i="4"/>
  <c r="BJ53" i="4"/>
  <c r="BD53" i="4"/>
  <c r="BC53" i="4"/>
  <c r="BF53" i="4" s="1"/>
  <c r="BB53" i="4"/>
  <c r="BA53" i="4"/>
  <c r="BP53" i="4" s="1"/>
  <c r="AU53" i="4"/>
  <c r="AT53" i="4"/>
  <c r="AJ53" i="4"/>
  <c r="AI53" i="4"/>
  <c r="AH53" i="4"/>
  <c r="AG53" i="4"/>
  <c r="AE53" i="4"/>
  <c r="W53" i="4"/>
  <c r="V53" i="4"/>
  <c r="U53" i="4"/>
  <c r="Q53" i="4"/>
  <c r="P53" i="4"/>
  <c r="R53" i="4" s="1"/>
  <c r="M53" i="4"/>
  <c r="N53" i="4" s="1"/>
  <c r="K53" i="4"/>
  <c r="I53" i="4"/>
  <c r="H53" i="4"/>
  <c r="G53" i="4"/>
  <c r="F53" i="4"/>
  <c r="D53" i="4"/>
  <c r="AW53" i="4" s="1"/>
  <c r="C53" i="4"/>
  <c r="O53" i="4" s="1"/>
  <c r="B53" i="4"/>
  <c r="A53" i="4"/>
  <c r="BN52" i="4"/>
  <c r="BA52" i="4"/>
  <c r="AV52" i="4"/>
  <c r="BO52" i="4" s="1"/>
  <c r="AU52" i="4"/>
  <c r="AT52" i="4"/>
  <c r="AI52" i="4"/>
  <c r="AH52" i="4"/>
  <c r="AG52" i="4"/>
  <c r="AJ52" i="4" s="1"/>
  <c r="W52" i="4"/>
  <c r="V52" i="4"/>
  <c r="U52" i="4"/>
  <c r="Q52" i="4"/>
  <c r="AY52" i="4" s="1"/>
  <c r="P52" i="4"/>
  <c r="O52" i="4"/>
  <c r="I52" i="4"/>
  <c r="H52" i="4"/>
  <c r="G52" i="4"/>
  <c r="AE52" i="4" s="1"/>
  <c r="AF52" i="4" s="1"/>
  <c r="F52" i="4"/>
  <c r="X52" i="4" s="1"/>
  <c r="D52" i="4"/>
  <c r="AW52" i="4" s="1"/>
  <c r="C52" i="4"/>
  <c r="B52" i="4"/>
  <c r="A52" i="4"/>
  <c r="BN51" i="4"/>
  <c r="BL51" i="4"/>
  <c r="BJ51" i="4"/>
  <c r="AU51" i="4"/>
  <c r="AL51" i="4"/>
  <c r="AE51" i="4"/>
  <c r="V51" i="4"/>
  <c r="U51" i="4"/>
  <c r="J51" i="4"/>
  <c r="I51" i="4"/>
  <c r="H51" i="4"/>
  <c r="G51" i="4"/>
  <c r="F51" i="4"/>
  <c r="X51" i="4" s="1"/>
  <c r="D51" i="4"/>
  <c r="C51" i="4"/>
  <c r="B51" i="4"/>
  <c r="A51" i="4"/>
  <c r="BN50" i="4"/>
  <c r="BA50" i="4"/>
  <c r="AU50" i="4"/>
  <c r="AP50" i="4"/>
  <c r="V50" i="4"/>
  <c r="U50" i="4"/>
  <c r="W50" i="4" s="1"/>
  <c r="S50" i="4"/>
  <c r="Q50" i="4"/>
  <c r="K50" i="4"/>
  <c r="J50" i="4"/>
  <c r="I50" i="4"/>
  <c r="H50" i="4"/>
  <c r="AL50" i="4" s="1"/>
  <c r="G50" i="4"/>
  <c r="AE50" i="4" s="1"/>
  <c r="F50" i="4"/>
  <c r="X50" i="4" s="1"/>
  <c r="D50" i="4"/>
  <c r="AW50" i="4" s="1"/>
  <c r="C50" i="4"/>
  <c r="B50" i="4"/>
  <c r="A50" i="4"/>
  <c r="BP49" i="4"/>
  <c r="BO49" i="4"/>
  <c r="BN49" i="4"/>
  <c r="BG49" i="4"/>
  <c r="BE49" i="4"/>
  <c r="BA49" i="4"/>
  <c r="BD49" i="4" s="1"/>
  <c r="BQ49" i="4" s="1"/>
  <c r="AY49" i="4"/>
  <c r="AX49" i="4"/>
  <c r="AW49" i="4"/>
  <c r="AV49" i="4"/>
  <c r="AU49" i="4"/>
  <c r="AH49" i="4"/>
  <c r="AG49" i="4"/>
  <c r="AJ49" i="4" s="1"/>
  <c r="W49" i="4"/>
  <c r="V49" i="4"/>
  <c r="U49" i="4"/>
  <c r="Q49" i="4"/>
  <c r="P49" i="4"/>
  <c r="R49" i="4" s="1"/>
  <c r="O49" i="4"/>
  <c r="I49" i="4"/>
  <c r="H49" i="4"/>
  <c r="G49" i="4"/>
  <c r="AE49" i="4" s="1"/>
  <c r="F49" i="4"/>
  <c r="D49" i="4"/>
  <c r="M49" i="4" s="1"/>
  <c r="N49" i="4" s="1"/>
  <c r="C49" i="4"/>
  <c r="AT49" i="4" s="1"/>
  <c r="B49" i="4"/>
  <c r="A49" i="4"/>
  <c r="BN48" i="4"/>
  <c r="BD48" i="4"/>
  <c r="BC48" i="4"/>
  <c r="BA48" i="4"/>
  <c r="BB48" i="4" s="1"/>
  <c r="AV48" i="4"/>
  <c r="AU48" i="4"/>
  <c r="AT48" i="4"/>
  <c r="AL48" i="4"/>
  <c r="W48" i="4"/>
  <c r="V48" i="4"/>
  <c r="U48" i="4"/>
  <c r="L48" i="4"/>
  <c r="I48" i="4"/>
  <c r="H48" i="4"/>
  <c r="S48" i="4" s="1"/>
  <c r="G48" i="4"/>
  <c r="AE48" i="4" s="1"/>
  <c r="F48" i="4"/>
  <c r="X48" i="4" s="1"/>
  <c r="D48" i="4"/>
  <c r="M48" i="4" s="1"/>
  <c r="N48" i="4" s="1"/>
  <c r="C48" i="4"/>
  <c r="B48" i="4"/>
  <c r="A48" i="4"/>
  <c r="BN47" i="4"/>
  <c r="BJ47" i="4"/>
  <c r="BA47" i="4"/>
  <c r="BP47" i="4" s="1"/>
  <c r="AV47" i="4"/>
  <c r="AU47" i="4"/>
  <c r="AT47" i="4"/>
  <c r="AE47" i="4"/>
  <c r="AA47" i="4"/>
  <c r="X47" i="4"/>
  <c r="W47" i="4"/>
  <c r="V47" i="4"/>
  <c r="U47" i="4"/>
  <c r="I47" i="4"/>
  <c r="H47" i="4"/>
  <c r="S47" i="4" s="1"/>
  <c r="G47" i="4"/>
  <c r="F47" i="4"/>
  <c r="D47" i="4"/>
  <c r="C47" i="4"/>
  <c r="B47" i="4"/>
  <c r="A47" i="4"/>
  <c r="BN46" i="4"/>
  <c r="BJ46" i="4"/>
  <c r="AU46" i="4"/>
  <c r="AT46" i="4"/>
  <c r="AI46" i="4"/>
  <c r="AE46" i="4"/>
  <c r="V46" i="4"/>
  <c r="U46" i="4"/>
  <c r="W46" i="4" s="1"/>
  <c r="S46" i="4"/>
  <c r="I46" i="4"/>
  <c r="H46" i="4"/>
  <c r="AL46" i="4" s="1"/>
  <c r="G46" i="4"/>
  <c r="F46" i="4"/>
  <c r="X46" i="4" s="1"/>
  <c r="D46" i="4"/>
  <c r="C46" i="4"/>
  <c r="B46" i="4"/>
  <c r="A46" i="4"/>
  <c r="BP45" i="4"/>
  <c r="BO45" i="4"/>
  <c r="BN45" i="4"/>
  <c r="BA45" i="4"/>
  <c r="AY45" i="4"/>
  <c r="AV45" i="4"/>
  <c r="AU45" i="4"/>
  <c r="AT45" i="4"/>
  <c r="AI45" i="4"/>
  <c r="AH45" i="4"/>
  <c r="AG45" i="4"/>
  <c r="AE45" i="4"/>
  <c r="AF45" i="4" s="1"/>
  <c r="AA45" i="4"/>
  <c r="V45" i="4"/>
  <c r="U45" i="4"/>
  <c r="W45" i="4" s="1"/>
  <c r="Q45" i="4"/>
  <c r="P45" i="4"/>
  <c r="J45" i="4"/>
  <c r="I45" i="4"/>
  <c r="H45" i="4"/>
  <c r="G45" i="4"/>
  <c r="F45" i="4"/>
  <c r="X45" i="4" s="1"/>
  <c r="D45" i="4"/>
  <c r="AW45" i="4" s="1"/>
  <c r="C45" i="4"/>
  <c r="B45" i="4"/>
  <c r="A45" i="4"/>
  <c r="BN44" i="4"/>
  <c r="BE44" i="4"/>
  <c r="BA44" i="4"/>
  <c r="BD44" i="4" s="1"/>
  <c r="AW44" i="4"/>
  <c r="AV44" i="4"/>
  <c r="AU44" i="4"/>
  <c r="AT44" i="4"/>
  <c r="W44" i="4"/>
  <c r="V44" i="4"/>
  <c r="U44" i="4"/>
  <c r="P44" i="4"/>
  <c r="R44" i="4" s="1"/>
  <c r="O44" i="4"/>
  <c r="I44" i="4"/>
  <c r="H44" i="4"/>
  <c r="G44" i="4"/>
  <c r="AE44" i="4" s="1"/>
  <c r="F44" i="4"/>
  <c r="D44" i="4"/>
  <c r="M44" i="4" s="1"/>
  <c r="N44" i="4" s="1"/>
  <c r="C44" i="4"/>
  <c r="B44" i="4"/>
  <c r="A44" i="4"/>
  <c r="BN43" i="4"/>
  <c r="BD43" i="4"/>
  <c r="BC43" i="4"/>
  <c r="BA43" i="4"/>
  <c r="BB43" i="4" s="1"/>
  <c r="AV43" i="4"/>
  <c r="AU43" i="4"/>
  <c r="AT43" i="4"/>
  <c r="AL43" i="4"/>
  <c r="AE43" i="4"/>
  <c r="W43" i="4"/>
  <c r="V43" i="4"/>
  <c r="U43" i="4"/>
  <c r="M43" i="4"/>
  <c r="N43" i="4" s="1"/>
  <c r="L43" i="4"/>
  <c r="I43" i="4"/>
  <c r="H43" i="4"/>
  <c r="S43" i="4" s="1"/>
  <c r="G43" i="4"/>
  <c r="F43" i="4"/>
  <c r="X43" i="4" s="1"/>
  <c r="D43" i="4"/>
  <c r="C43" i="4"/>
  <c r="Q43" i="4" s="1"/>
  <c r="B43" i="4"/>
  <c r="A43" i="4"/>
  <c r="BN42" i="4"/>
  <c r="BJ42" i="4"/>
  <c r="AU42" i="4"/>
  <c r="AI42" i="4"/>
  <c r="AE42" i="4"/>
  <c r="V42" i="4"/>
  <c r="U42" i="4"/>
  <c r="W42" i="4" s="1"/>
  <c r="I42" i="4"/>
  <c r="H42" i="4"/>
  <c r="AL42" i="4" s="1"/>
  <c r="G42" i="4"/>
  <c r="F42" i="4"/>
  <c r="X42" i="4" s="1"/>
  <c r="D42" i="4"/>
  <c r="C42" i="4"/>
  <c r="B42" i="4"/>
  <c r="A42" i="4"/>
  <c r="BP41" i="4"/>
  <c r="BO41" i="4"/>
  <c r="BN41" i="4"/>
  <c r="BI41" i="4"/>
  <c r="BH41" i="4"/>
  <c r="BA41" i="4"/>
  <c r="AX41" i="4"/>
  <c r="AV41" i="4"/>
  <c r="AU41" i="4"/>
  <c r="AT41" i="4"/>
  <c r="AI41" i="4"/>
  <c r="AH41" i="4"/>
  <c r="AG41" i="4"/>
  <c r="AJ41" i="4" s="1"/>
  <c r="AE41" i="4"/>
  <c r="AF41" i="4" s="1"/>
  <c r="AA41" i="4"/>
  <c r="AD41" i="4" s="1"/>
  <c r="Z41" i="4"/>
  <c r="AC41" i="4" s="1"/>
  <c r="V41" i="4"/>
  <c r="U41" i="4"/>
  <c r="W41" i="4" s="1"/>
  <c r="R41" i="4"/>
  <c r="Q41" i="4"/>
  <c r="AY41" i="4" s="1"/>
  <c r="P41" i="4"/>
  <c r="J41" i="4"/>
  <c r="I41" i="4"/>
  <c r="H41" i="4"/>
  <c r="G41" i="4"/>
  <c r="F41" i="4"/>
  <c r="X41" i="4" s="1"/>
  <c r="AB41" i="4" s="1"/>
  <c r="D41" i="4"/>
  <c r="AW41" i="4" s="1"/>
  <c r="C41" i="4"/>
  <c r="B41" i="4"/>
  <c r="A41" i="4"/>
  <c r="BN40" i="4"/>
  <c r="BE40" i="4"/>
  <c r="BA40" i="4"/>
  <c r="BD40" i="4" s="1"/>
  <c r="BQ40" i="4" s="1"/>
  <c r="AX40" i="4"/>
  <c r="AW40" i="4"/>
  <c r="AV40" i="4"/>
  <c r="AU40" i="4"/>
  <c r="AT40" i="4"/>
  <c r="AG40" i="4"/>
  <c r="AJ40" i="4" s="1"/>
  <c r="X40" i="4"/>
  <c r="W40" i="4"/>
  <c r="V40" i="4"/>
  <c r="U40" i="4"/>
  <c r="P40" i="4"/>
  <c r="R40" i="4" s="1"/>
  <c r="O40" i="4"/>
  <c r="I40" i="4"/>
  <c r="H40" i="4"/>
  <c r="G40" i="4"/>
  <c r="AE40" i="4" s="1"/>
  <c r="F40" i="4"/>
  <c r="J40" i="4" s="1"/>
  <c r="D40" i="4"/>
  <c r="M40" i="4" s="1"/>
  <c r="N40" i="4" s="1"/>
  <c r="C40" i="4"/>
  <c r="Q40" i="4" s="1"/>
  <c r="B40" i="4"/>
  <c r="A40" i="4"/>
  <c r="BN39" i="4"/>
  <c r="BL39" i="4"/>
  <c r="BD39" i="4"/>
  <c r="BC39" i="4"/>
  <c r="BA39" i="4"/>
  <c r="BB39" i="4" s="1"/>
  <c r="AV39" i="4"/>
  <c r="AU39" i="4"/>
  <c r="AT39" i="4"/>
  <c r="AL39" i="4"/>
  <c r="AE39" i="4"/>
  <c r="V39" i="4"/>
  <c r="W39" i="4" s="1"/>
  <c r="U39" i="4"/>
  <c r="L39" i="4"/>
  <c r="I39" i="4"/>
  <c r="H39" i="4"/>
  <c r="S39" i="4" s="1"/>
  <c r="G39" i="4"/>
  <c r="F39" i="4"/>
  <c r="X39" i="4" s="1"/>
  <c r="D39" i="4"/>
  <c r="M39" i="4" s="1"/>
  <c r="N39" i="4" s="1"/>
  <c r="C39" i="4"/>
  <c r="B39" i="4"/>
  <c r="A39" i="4"/>
  <c r="BN38" i="4"/>
  <c r="BJ38" i="4"/>
  <c r="BA38" i="4"/>
  <c r="AU38" i="4"/>
  <c r="AE38" i="4"/>
  <c r="V38" i="4"/>
  <c r="U38" i="4"/>
  <c r="W38" i="4" s="1"/>
  <c r="L38" i="4"/>
  <c r="K38" i="4"/>
  <c r="I38" i="4"/>
  <c r="H38" i="4"/>
  <c r="AL38" i="4" s="1"/>
  <c r="G38" i="4"/>
  <c r="F38" i="4"/>
  <c r="X38" i="4" s="1"/>
  <c r="D38" i="4"/>
  <c r="C38" i="4"/>
  <c r="B38" i="4"/>
  <c r="A38" i="4"/>
  <c r="BP37" i="4"/>
  <c r="BO37" i="4"/>
  <c r="BN37" i="4"/>
  <c r="BH37" i="4"/>
  <c r="BA37" i="4"/>
  <c r="AV37" i="4"/>
  <c r="AU37" i="4"/>
  <c r="AT37" i="4"/>
  <c r="AI37" i="4"/>
  <c r="AH37" i="4"/>
  <c r="AG37" i="4"/>
  <c r="AJ37" i="4" s="1"/>
  <c r="AE37" i="4"/>
  <c r="AF37" i="4" s="1"/>
  <c r="AA37" i="4"/>
  <c r="Z37" i="4"/>
  <c r="AC37" i="4" s="1"/>
  <c r="Y37" i="4"/>
  <c r="V37" i="4"/>
  <c r="U37" i="4"/>
  <c r="W37" i="4" s="1"/>
  <c r="Q37" i="4"/>
  <c r="AY37" i="4" s="1"/>
  <c r="P37" i="4"/>
  <c r="AX37" i="4" s="1"/>
  <c r="J37" i="4"/>
  <c r="I37" i="4"/>
  <c r="H37" i="4"/>
  <c r="G37" i="4"/>
  <c r="F37" i="4"/>
  <c r="X37" i="4" s="1"/>
  <c r="AB37" i="4" s="1"/>
  <c r="D37" i="4"/>
  <c r="AW37" i="4" s="1"/>
  <c r="C37" i="4"/>
  <c r="O37" i="4" s="1"/>
  <c r="B37" i="4"/>
  <c r="A37" i="4"/>
  <c r="BO36" i="4"/>
  <c r="BN36" i="4"/>
  <c r="BE36" i="4"/>
  <c r="BA36" i="4"/>
  <c r="BD36" i="4" s="1"/>
  <c r="BQ36" i="4" s="1"/>
  <c r="AX36" i="4"/>
  <c r="AW36" i="4"/>
  <c r="AV36" i="4"/>
  <c r="AU36" i="4"/>
  <c r="AT36" i="4"/>
  <c r="AG36" i="4"/>
  <c r="AJ36" i="4" s="1"/>
  <c r="W36" i="4"/>
  <c r="V36" i="4"/>
  <c r="U36" i="4"/>
  <c r="P36" i="4"/>
  <c r="R36" i="4" s="1"/>
  <c r="O36" i="4"/>
  <c r="I36" i="4"/>
  <c r="H36" i="4"/>
  <c r="G36" i="4"/>
  <c r="AE36" i="4" s="1"/>
  <c r="F36" i="4"/>
  <c r="J36" i="4" s="1"/>
  <c r="D36" i="4"/>
  <c r="M36" i="4" s="1"/>
  <c r="N36" i="4" s="1"/>
  <c r="C36" i="4"/>
  <c r="Q36" i="4" s="1"/>
  <c r="B36" i="4"/>
  <c r="A36" i="4"/>
  <c r="BN35" i="4"/>
  <c r="BL35" i="4"/>
  <c r="BD35" i="4"/>
  <c r="BC35" i="4"/>
  <c r="BA35" i="4"/>
  <c r="BB35" i="4" s="1"/>
  <c r="AV35" i="4"/>
  <c r="AU35" i="4"/>
  <c r="AT35" i="4"/>
  <c r="AM35" i="4"/>
  <c r="AL35" i="4"/>
  <c r="AE35" i="4"/>
  <c r="V35" i="4"/>
  <c r="U35" i="4"/>
  <c r="W35" i="4" s="1"/>
  <c r="M35" i="4"/>
  <c r="N35" i="4" s="1"/>
  <c r="L35" i="4"/>
  <c r="I35" i="4"/>
  <c r="H35" i="4"/>
  <c r="S35" i="4" s="1"/>
  <c r="G35" i="4"/>
  <c r="F35" i="4"/>
  <c r="D35" i="4"/>
  <c r="C35" i="4"/>
  <c r="Q35" i="4" s="1"/>
  <c r="B35" i="4"/>
  <c r="A35" i="4"/>
  <c r="BN34" i="4"/>
  <c r="BJ34" i="4"/>
  <c r="AU34" i="4"/>
  <c r="AT34" i="4"/>
  <c r="AE34" i="4"/>
  <c r="V34" i="4"/>
  <c r="U34" i="4"/>
  <c r="W34" i="4" s="1"/>
  <c r="S34" i="4"/>
  <c r="K34" i="4"/>
  <c r="J34" i="4"/>
  <c r="I34" i="4"/>
  <c r="H34" i="4"/>
  <c r="AL34" i="4" s="1"/>
  <c r="G34" i="4"/>
  <c r="F34" i="4"/>
  <c r="X34" i="4" s="1"/>
  <c r="D34" i="4"/>
  <c r="L34" i="4" s="1"/>
  <c r="C34" i="4"/>
  <c r="B34" i="4"/>
  <c r="A34" i="4"/>
  <c r="BN33" i="4"/>
  <c r="BA33" i="4"/>
  <c r="AU33" i="4"/>
  <c r="AT33" i="4"/>
  <c r="AI33" i="4"/>
  <c r="Z33" i="4"/>
  <c r="AC33" i="4" s="1"/>
  <c r="V33" i="4"/>
  <c r="U33" i="4"/>
  <c r="W33" i="4" s="1"/>
  <c r="R33" i="4"/>
  <c r="Q33" i="4"/>
  <c r="P33" i="4"/>
  <c r="AX33" i="4" s="1"/>
  <c r="J33" i="4"/>
  <c r="I33" i="4"/>
  <c r="H33" i="4"/>
  <c r="G33" i="4"/>
  <c r="AE33" i="4" s="1"/>
  <c r="F33" i="4"/>
  <c r="X33" i="4" s="1"/>
  <c r="D33" i="4"/>
  <c r="AW33" i="4" s="1"/>
  <c r="C33" i="4"/>
  <c r="O33" i="4" s="1"/>
  <c r="B33" i="4"/>
  <c r="A33" i="4"/>
  <c r="BO32" i="4"/>
  <c r="BN32" i="4"/>
  <c r="BE32" i="4"/>
  <c r="BA32" i="4"/>
  <c r="BD32" i="4" s="1"/>
  <c r="BQ32" i="4" s="1"/>
  <c r="AX32" i="4"/>
  <c r="AW32" i="4"/>
  <c r="AV32" i="4"/>
  <c r="AU32" i="4"/>
  <c r="AF32" i="4"/>
  <c r="X32" i="4"/>
  <c r="W32" i="4"/>
  <c r="V32" i="4"/>
  <c r="U32" i="4"/>
  <c r="P32" i="4"/>
  <c r="R32" i="4" s="1"/>
  <c r="O32" i="4"/>
  <c r="I32" i="4"/>
  <c r="H32" i="4"/>
  <c r="G32" i="4"/>
  <c r="AE32" i="4" s="1"/>
  <c r="F32" i="4"/>
  <c r="J32" i="4" s="1"/>
  <c r="D32" i="4"/>
  <c r="M32" i="4" s="1"/>
  <c r="N32" i="4" s="1"/>
  <c r="C32" i="4"/>
  <c r="AT32" i="4" s="1"/>
  <c r="B32" i="4"/>
  <c r="A32" i="4"/>
  <c r="BN31" i="4"/>
  <c r="BC31" i="4"/>
  <c r="AV31" i="4"/>
  <c r="AU31" i="4"/>
  <c r="AT31" i="4"/>
  <c r="AL31" i="4"/>
  <c r="AE31" i="4"/>
  <c r="V31" i="4"/>
  <c r="U31" i="4"/>
  <c r="W31" i="4" s="1"/>
  <c r="I31" i="4"/>
  <c r="H31" i="4"/>
  <c r="S31" i="4" s="1"/>
  <c r="G31" i="4"/>
  <c r="F31" i="4"/>
  <c r="X31" i="4" s="1"/>
  <c r="D31" i="4"/>
  <c r="C31" i="4"/>
  <c r="BA31" i="4" s="1"/>
  <c r="BD31" i="4" s="1"/>
  <c r="B31" i="4"/>
  <c r="A31" i="4"/>
  <c r="BN30" i="4"/>
  <c r="BJ30" i="4"/>
  <c r="AU30" i="4"/>
  <c r="AT30" i="4"/>
  <c r="AI30" i="4"/>
  <c r="AE30" i="4"/>
  <c r="V30" i="4"/>
  <c r="U30" i="4"/>
  <c r="W30" i="4" s="1"/>
  <c r="S30" i="4"/>
  <c r="I30" i="4"/>
  <c r="H30" i="4"/>
  <c r="AL30" i="4" s="1"/>
  <c r="G30" i="4"/>
  <c r="F30" i="4"/>
  <c r="X30" i="4" s="1"/>
  <c r="D30" i="4"/>
  <c r="C30" i="4"/>
  <c r="B30" i="4"/>
  <c r="A30" i="4"/>
  <c r="BO29" i="4"/>
  <c r="BN29" i="4"/>
  <c r="BC29" i="4"/>
  <c r="BF29" i="4" s="1"/>
  <c r="BA29" i="4"/>
  <c r="AX29" i="4"/>
  <c r="AU29" i="4"/>
  <c r="AT29" i="4"/>
  <c r="Z29" i="4"/>
  <c r="AC29" i="4" s="1"/>
  <c r="V29" i="4"/>
  <c r="U29" i="4"/>
  <c r="W29" i="4" s="1"/>
  <c r="R29" i="4"/>
  <c r="P29" i="4"/>
  <c r="J29" i="4"/>
  <c r="I29" i="4"/>
  <c r="H29" i="4"/>
  <c r="G29" i="4"/>
  <c r="AE29" i="4" s="1"/>
  <c r="F29" i="4"/>
  <c r="X29" i="4" s="1"/>
  <c r="D29" i="4"/>
  <c r="C29" i="4"/>
  <c r="AV29" i="4" s="1"/>
  <c r="B29" i="4"/>
  <c r="A29" i="4"/>
  <c r="BO28" i="4"/>
  <c r="BN28" i="4"/>
  <c r="BE28" i="4"/>
  <c r="BA28" i="4"/>
  <c r="AX28" i="4"/>
  <c r="AW28" i="4"/>
  <c r="AV28" i="4"/>
  <c r="AU28" i="4"/>
  <c r="AL28" i="4"/>
  <c r="AI28" i="4"/>
  <c r="X28" i="4"/>
  <c r="W28" i="4"/>
  <c r="V28" i="4"/>
  <c r="U28" i="4"/>
  <c r="P28" i="4"/>
  <c r="R28" i="4" s="1"/>
  <c r="O28" i="4"/>
  <c r="M28" i="4"/>
  <c r="N28" i="4" s="1"/>
  <c r="J28" i="4"/>
  <c r="I28" i="4"/>
  <c r="H28" i="4"/>
  <c r="S28" i="4" s="1"/>
  <c r="G28" i="4"/>
  <c r="AE28" i="4" s="1"/>
  <c r="F28" i="4"/>
  <c r="E28" i="4" s="1"/>
  <c r="D28" i="4"/>
  <c r="C28" i="4"/>
  <c r="AT28" i="4" s="1"/>
  <c r="B28" i="4"/>
  <c r="A28" i="4"/>
  <c r="BN27" i="4"/>
  <c r="BE27" i="4"/>
  <c r="BD27" i="4"/>
  <c r="BQ27" i="4" s="1"/>
  <c r="BB27" i="4"/>
  <c r="AX27" i="4"/>
  <c r="AW27" i="4"/>
  <c r="AV27" i="4"/>
  <c r="AU27" i="4"/>
  <c r="AT27" i="4"/>
  <c r="AG27" i="4"/>
  <c r="Y27" i="4"/>
  <c r="X27" i="4"/>
  <c r="V27" i="4"/>
  <c r="U27" i="4"/>
  <c r="W27" i="4" s="1"/>
  <c r="P27" i="4"/>
  <c r="R27" i="4" s="1"/>
  <c r="M27" i="4"/>
  <c r="N27" i="4" s="1"/>
  <c r="I27" i="4"/>
  <c r="H27" i="4"/>
  <c r="S27" i="4" s="1"/>
  <c r="G27" i="4"/>
  <c r="AE27" i="4" s="1"/>
  <c r="F27" i="4"/>
  <c r="E27" i="4"/>
  <c r="D27" i="4"/>
  <c r="C27" i="4"/>
  <c r="BA27" i="4" s="1"/>
  <c r="BP27" i="4" s="1"/>
  <c r="B27" i="4"/>
  <c r="A27" i="4"/>
  <c r="BN26" i="4"/>
  <c r="BJ26" i="4"/>
  <c r="AU26" i="4"/>
  <c r="AL26" i="4"/>
  <c r="AE26" i="4"/>
  <c r="AB26" i="4"/>
  <c r="V26" i="4"/>
  <c r="U26" i="4"/>
  <c r="M26" i="4"/>
  <c r="N26" i="4" s="1"/>
  <c r="K26" i="4"/>
  <c r="J26" i="4"/>
  <c r="I26" i="4"/>
  <c r="H26" i="4"/>
  <c r="G26" i="4"/>
  <c r="F26" i="4"/>
  <c r="X26" i="4" s="1"/>
  <c r="D26" i="4"/>
  <c r="AW26" i="4" s="1"/>
  <c r="C26" i="4"/>
  <c r="B26" i="4"/>
  <c r="A26" i="4"/>
  <c r="BN25" i="4"/>
  <c r="BH25" i="4"/>
  <c r="AU25" i="4"/>
  <c r="AP25" i="4"/>
  <c r="AL25" i="4"/>
  <c r="AG25" i="4"/>
  <c r="AE25" i="4"/>
  <c r="Z25" i="4"/>
  <c r="Y25" i="4"/>
  <c r="V25" i="4"/>
  <c r="U25" i="4"/>
  <c r="K25" i="4"/>
  <c r="I25" i="4"/>
  <c r="H25" i="4"/>
  <c r="S25" i="4" s="1"/>
  <c r="G25" i="4"/>
  <c r="F25" i="4"/>
  <c r="X25" i="4" s="1"/>
  <c r="E25" i="4"/>
  <c r="D25" i="4"/>
  <c r="L25" i="4" s="1"/>
  <c r="C25" i="4"/>
  <c r="B25" i="4"/>
  <c r="A25" i="4"/>
  <c r="BN24" i="4"/>
  <c r="BA24" i="4"/>
  <c r="AW24" i="4"/>
  <c r="AV24" i="4"/>
  <c r="AU24" i="4"/>
  <c r="AI24" i="4"/>
  <c r="AH24" i="4"/>
  <c r="AK24" i="4" s="1"/>
  <c r="V24" i="4"/>
  <c r="U24" i="4"/>
  <c r="W24" i="4" s="1"/>
  <c r="Q24" i="4"/>
  <c r="P24" i="4"/>
  <c r="K24" i="4"/>
  <c r="J24" i="4"/>
  <c r="I24" i="4"/>
  <c r="H24" i="4"/>
  <c r="G24" i="4"/>
  <c r="AE24" i="4" s="1"/>
  <c r="F24" i="4"/>
  <c r="X24" i="4" s="1"/>
  <c r="D24" i="4"/>
  <c r="C24" i="4"/>
  <c r="O24" i="4" s="1"/>
  <c r="B24" i="4"/>
  <c r="A24" i="4"/>
  <c r="BN23" i="4"/>
  <c r="BA23" i="4"/>
  <c r="AV23" i="4"/>
  <c r="BO23" i="4" s="1"/>
  <c r="AU23" i="4"/>
  <c r="AT23" i="4"/>
  <c r="AG23" i="4"/>
  <c r="AF23" i="4"/>
  <c r="AA23" i="4"/>
  <c r="BI23" i="4" s="1"/>
  <c r="X23" i="4"/>
  <c r="W23" i="4"/>
  <c r="V23" i="4"/>
  <c r="U23" i="4"/>
  <c r="M23" i="4"/>
  <c r="N23" i="4" s="1"/>
  <c r="I23" i="4"/>
  <c r="H23" i="4"/>
  <c r="G23" i="4"/>
  <c r="AE23" i="4" s="1"/>
  <c r="F23" i="4"/>
  <c r="D23" i="4"/>
  <c r="E23" i="4" s="1"/>
  <c r="C23" i="4"/>
  <c r="B23" i="4"/>
  <c r="A23" i="4"/>
  <c r="BN22" i="4"/>
  <c r="BL22" i="4"/>
  <c r="AW22" i="4"/>
  <c r="AU22" i="4"/>
  <c r="AM22" i="4"/>
  <c r="V22" i="4"/>
  <c r="U22" i="4"/>
  <c r="L22" i="4"/>
  <c r="K22" i="4"/>
  <c r="I22" i="4"/>
  <c r="H22" i="4"/>
  <c r="AL22" i="4" s="1"/>
  <c r="G22" i="4"/>
  <c r="AE22" i="4" s="1"/>
  <c r="F22" i="4"/>
  <c r="X22" i="4" s="1"/>
  <c r="D22" i="4"/>
  <c r="C22" i="4"/>
  <c r="O22" i="4" s="1"/>
  <c r="B22" i="4"/>
  <c r="A22" i="4"/>
  <c r="BP21" i="4"/>
  <c r="BN21" i="4"/>
  <c r="BD21" i="4"/>
  <c r="BG21" i="4" s="1"/>
  <c r="BA21" i="4"/>
  <c r="AV21" i="4"/>
  <c r="BO21" i="4" s="1"/>
  <c r="AU21" i="4"/>
  <c r="AX21" i="4" s="1"/>
  <c r="AT21" i="4"/>
  <c r="AL21" i="4"/>
  <c r="BL21" i="4" s="1"/>
  <c r="V21" i="4"/>
  <c r="U21" i="4"/>
  <c r="W21" i="4" s="1"/>
  <c r="R21" i="4"/>
  <c r="Q21" i="4"/>
  <c r="AY21" i="4" s="1"/>
  <c r="M21" i="4"/>
  <c r="N21" i="4" s="1"/>
  <c r="J21" i="4"/>
  <c r="I21" i="4"/>
  <c r="H21" i="4"/>
  <c r="G21" i="4"/>
  <c r="AE21" i="4" s="1"/>
  <c r="F21" i="4"/>
  <c r="X21" i="4" s="1"/>
  <c r="BH21" i="4" s="1"/>
  <c r="E21" i="4"/>
  <c r="D21" i="4"/>
  <c r="AW21" i="4" s="1"/>
  <c r="C21" i="4"/>
  <c r="P21" i="4" s="1"/>
  <c r="B21" i="4"/>
  <c r="A21" i="4"/>
  <c r="BN20" i="4"/>
  <c r="BJ20" i="4"/>
  <c r="AW20" i="4"/>
  <c r="AU20" i="4"/>
  <c r="AG20" i="4"/>
  <c r="X20" i="4"/>
  <c r="V20" i="4"/>
  <c r="U20" i="4"/>
  <c r="W20" i="4" s="1"/>
  <c r="J20" i="4"/>
  <c r="I20" i="4"/>
  <c r="H20" i="4"/>
  <c r="AL20" i="4" s="1"/>
  <c r="G20" i="4"/>
  <c r="AE20" i="4" s="1"/>
  <c r="F20" i="4"/>
  <c r="D20" i="4"/>
  <c r="M20" i="4" s="1"/>
  <c r="N20" i="4" s="1"/>
  <c r="C20" i="4"/>
  <c r="B20" i="4"/>
  <c r="A20" i="4"/>
  <c r="BN19" i="4"/>
  <c r="AY19" i="4"/>
  <c r="AW19" i="4"/>
  <c r="AV19" i="4"/>
  <c r="BO19" i="4" s="1"/>
  <c r="AU19" i="4"/>
  <c r="AX19" i="4" s="1"/>
  <c r="AL19" i="4"/>
  <c r="AE19" i="4"/>
  <c r="W19" i="4"/>
  <c r="V19" i="4"/>
  <c r="U19" i="4"/>
  <c r="Q19" i="4"/>
  <c r="P19" i="4"/>
  <c r="M19" i="4"/>
  <c r="N19" i="4" s="1"/>
  <c r="K19" i="4"/>
  <c r="I19" i="4"/>
  <c r="H19" i="4"/>
  <c r="S19" i="4" s="1"/>
  <c r="G19" i="4"/>
  <c r="F19" i="4"/>
  <c r="E19" i="4"/>
  <c r="D19" i="4"/>
  <c r="L19" i="4" s="1"/>
  <c r="C19" i="4"/>
  <c r="AT19" i="4" s="1"/>
  <c r="B19" i="4"/>
  <c r="A19" i="4"/>
  <c r="BN18" i="4"/>
  <c r="BJ18" i="4"/>
  <c r="AW18" i="4"/>
  <c r="AU18" i="4"/>
  <c r="AT18" i="4"/>
  <c r="AN18" i="4"/>
  <c r="X18" i="4"/>
  <c r="AB18" i="4" s="1"/>
  <c r="V18" i="4"/>
  <c r="U18" i="4"/>
  <c r="W18" i="4" s="1"/>
  <c r="S18" i="4"/>
  <c r="L18" i="4"/>
  <c r="I18" i="4"/>
  <c r="H18" i="4"/>
  <c r="AL18" i="4" s="1"/>
  <c r="G18" i="4"/>
  <c r="AE18" i="4" s="1"/>
  <c r="F18" i="4"/>
  <c r="D18" i="4"/>
  <c r="C18" i="4"/>
  <c r="B18" i="4"/>
  <c r="A18" i="4"/>
  <c r="BQ17" i="4"/>
  <c r="BP17" i="4"/>
  <c r="BN17" i="4"/>
  <c r="BD17" i="4"/>
  <c r="BG17" i="4" s="1"/>
  <c r="BA17" i="4"/>
  <c r="AY17" i="4"/>
  <c r="AV17" i="4"/>
  <c r="BO17" i="4" s="1"/>
  <c r="AU17" i="4"/>
  <c r="AX17" i="4" s="1"/>
  <c r="AT17" i="4"/>
  <c r="AP17" i="4"/>
  <c r="AL17" i="4"/>
  <c r="AH17" i="4"/>
  <c r="AA17" i="4"/>
  <c r="BI17" i="4" s="1"/>
  <c r="V17" i="4"/>
  <c r="U17" i="4"/>
  <c r="W17" i="4" s="1"/>
  <c r="Q17" i="4"/>
  <c r="M17" i="4"/>
  <c r="N17" i="4" s="1"/>
  <c r="J17" i="4"/>
  <c r="I17" i="4"/>
  <c r="H17" i="4"/>
  <c r="G17" i="4"/>
  <c r="AE17" i="4" s="1"/>
  <c r="AI17" i="4" s="1"/>
  <c r="F17" i="4"/>
  <c r="X17" i="4" s="1"/>
  <c r="E17" i="4"/>
  <c r="D17" i="4"/>
  <c r="AW17" i="4" s="1"/>
  <c r="C17" i="4"/>
  <c r="P17" i="4" s="1"/>
  <c r="B17" i="4"/>
  <c r="A17" i="4"/>
  <c r="BN16" i="4"/>
  <c r="BJ16" i="4"/>
  <c r="AX16" i="4"/>
  <c r="AW16" i="4"/>
  <c r="AU16" i="4"/>
  <c r="AG16" i="4"/>
  <c r="AJ16" i="4" s="1"/>
  <c r="AF16" i="4"/>
  <c r="X16" i="4"/>
  <c r="V16" i="4"/>
  <c r="U16" i="4"/>
  <c r="W16" i="4" s="1"/>
  <c r="S16" i="4"/>
  <c r="P16" i="4"/>
  <c r="O16" i="4"/>
  <c r="K16" i="4"/>
  <c r="J16" i="4"/>
  <c r="I16" i="4"/>
  <c r="H16" i="4"/>
  <c r="AL16" i="4" s="1"/>
  <c r="AN16" i="4" s="1"/>
  <c r="AQ16" i="4" s="1"/>
  <c r="G16" i="4"/>
  <c r="AE16" i="4" s="1"/>
  <c r="F16" i="4"/>
  <c r="E16" i="4"/>
  <c r="D16" i="4"/>
  <c r="M16" i="4" s="1"/>
  <c r="N16" i="4" s="1"/>
  <c r="C16" i="4"/>
  <c r="B16" i="4"/>
  <c r="A16" i="4"/>
  <c r="BN15" i="4"/>
  <c r="BL15" i="4"/>
  <c r="AV15" i="4"/>
  <c r="BO15" i="4" s="1"/>
  <c r="AU15" i="4"/>
  <c r="AX15" i="4" s="1"/>
  <c r="AP15" i="4"/>
  <c r="AM15" i="4"/>
  <c r="AL15" i="4"/>
  <c r="AE15" i="4"/>
  <c r="V15" i="4"/>
  <c r="U15" i="4"/>
  <c r="Q15" i="4"/>
  <c r="P15" i="4"/>
  <c r="M15" i="4"/>
  <c r="N15" i="4" s="1"/>
  <c r="K15" i="4"/>
  <c r="I15" i="4"/>
  <c r="H15" i="4"/>
  <c r="S15" i="4" s="1"/>
  <c r="G15" i="4"/>
  <c r="F15" i="4"/>
  <c r="E15" i="4"/>
  <c r="D15" i="4"/>
  <c r="L15" i="4" s="1"/>
  <c r="C15" i="4"/>
  <c r="AT15" i="4" s="1"/>
  <c r="B15" i="4"/>
  <c r="A15" i="4"/>
  <c r="BN14" i="4"/>
  <c r="AW14" i="4"/>
  <c r="AU14" i="4"/>
  <c r="AF14" i="4"/>
  <c r="AB14" i="4"/>
  <c r="X14" i="4"/>
  <c r="V14" i="4"/>
  <c r="U14" i="4"/>
  <c r="W14" i="4" s="1"/>
  <c r="L14" i="4"/>
  <c r="K14" i="4"/>
  <c r="I14" i="4"/>
  <c r="H14" i="4"/>
  <c r="AL14" i="4" s="1"/>
  <c r="G14" i="4"/>
  <c r="AE14" i="4" s="1"/>
  <c r="BJ14" i="4" s="1"/>
  <c r="F14" i="4"/>
  <c r="D14" i="4"/>
  <c r="C14" i="4"/>
  <c r="AN14" i="4" s="1"/>
  <c r="B14" i="4"/>
  <c r="A14" i="4"/>
  <c r="BP13" i="4"/>
  <c r="BN13" i="4"/>
  <c r="BD13" i="4"/>
  <c r="BG13" i="4" s="1"/>
  <c r="BA13" i="4"/>
  <c r="AV13" i="4"/>
  <c r="BO13" i="4" s="1"/>
  <c r="AU13" i="4"/>
  <c r="AX13" i="4" s="1"/>
  <c r="AT13" i="4"/>
  <c r="AL13" i="4"/>
  <c r="AP13" i="4" s="1"/>
  <c r="V13" i="4"/>
  <c r="U13" i="4"/>
  <c r="W13" i="4" s="1"/>
  <c r="R13" i="4"/>
  <c r="Q13" i="4"/>
  <c r="AY13" i="4" s="1"/>
  <c r="J13" i="4"/>
  <c r="I13" i="4"/>
  <c r="H13" i="4"/>
  <c r="S13" i="4" s="1"/>
  <c r="G13" i="4"/>
  <c r="AE13" i="4" s="1"/>
  <c r="F13" i="4"/>
  <c r="X13" i="4" s="1"/>
  <c r="AA13" i="4" s="1"/>
  <c r="E13" i="4"/>
  <c r="D13" i="4"/>
  <c r="AW13" i="4" s="1"/>
  <c r="C13" i="4"/>
  <c r="P13" i="4" s="1"/>
  <c r="B13" i="4"/>
  <c r="A13" i="4"/>
  <c r="BN12" i="4"/>
  <c r="BJ12" i="4"/>
  <c r="AW12" i="4"/>
  <c r="AU12" i="4"/>
  <c r="AO12" i="4"/>
  <c r="BM12" i="4" s="1"/>
  <c r="X12" i="4"/>
  <c r="AB12" i="4" s="1"/>
  <c r="V12" i="4"/>
  <c r="BT12" i="4" s="1"/>
  <c r="BU12" i="4" s="1"/>
  <c r="U12" i="4"/>
  <c r="W12" i="4" s="1"/>
  <c r="K12" i="4"/>
  <c r="J12" i="4"/>
  <c r="I12" i="4"/>
  <c r="H12" i="4"/>
  <c r="AL12" i="4" s="1"/>
  <c r="G12" i="4"/>
  <c r="AE12" i="4" s="1"/>
  <c r="F12" i="4"/>
  <c r="E12" i="4"/>
  <c r="D12" i="4"/>
  <c r="C12" i="4"/>
  <c r="AF12" i="4" s="1"/>
  <c r="B12" i="4"/>
  <c r="A12" i="4"/>
  <c r="BN11" i="4"/>
  <c r="AV11" i="4"/>
  <c r="BO11" i="4" s="1"/>
  <c r="AU11" i="4"/>
  <c r="AX11" i="4" s="1"/>
  <c r="AL11" i="4"/>
  <c r="AP11" i="4" s="1"/>
  <c r="AH11" i="4"/>
  <c r="AE11" i="4"/>
  <c r="W11" i="4"/>
  <c r="V11" i="4"/>
  <c r="U11" i="4"/>
  <c r="Q11" i="4"/>
  <c r="P11" i="4"/>
  <c r="R11" i="4" s="1"/>
  <c r="K11" i="4"/>
  <c r="I11" i="4"/>
  <c r="H11" i="4"/>
  <c r="S11" i="4" s="1"/>
  <c r="G11" i="4"/>
  <c r="F11" i="4"/>
  <c r="E11" i="4"/>
  <c r="D11" i="4"/>
  <c r="L11" i="4" s="1"/>
  <c r="C11" i="4"/>
  <c r="AT11" i="4" s="1"/>
  <c r="B11" i="4"/>
  <c r="A11" i="4"/>
  <c r="BN10" i="4"/>
  <c r="AU10" i="4"/>
  <c r="E10" i="6" s="1"/>
  <c r="AT10" i="4"/>
  <c r="X10" i="4"/>
  <c r="V10" i="4"/>
  <c r="U10" i="4"/>
  <c r="W10" i="4" s="1"/>
  <c r="L10" i="4"/>
  <c r="I10" i="4"/>
  <c r="H10" i="4"/>
  <c r="AL10" i="4" s="1"/>
  <c r="G10" i="4"/>
  <c r="AE10" i="4" s="1"/>
  <c r="F10" i="4"/>
  <c r="D10" i="4"/>
  <c r="AW10" i="4" s="1"/>
  <c r="C10" i="4"/>
  <c r="B10" i="4"/>
  <c r="A10" i="4"/>
  <c r="BQ9" i="4"/>
  <c r="BN9" i="4"/>
  <c r="BH9" i="4"/>
  <c r="BD9" i="4"/>
  <c r="BC9" i="4"/>
  <c r="BA9" i="4"/>
  <c r="AV9" i="4"/>
  <c r="BO9" i="4" s="1"/>
  <c r="AU9" i="4"/>
  <c r="AT9" i="4"/>
  <c r="AL9" i="4"/>
  <c r="BL9" i="4" s="1"/>
  <c r="AA9" i="4"/>
  <c r="Z9" i="4"/>
  <c r="V9" i="4"/>
  <c r="BR9" i="4" s="1"/>
  <c r="BS9" i="4" s="1"/>
  <c r="U9" i="4"/>
  <c r="J9" i="4"/>
  <c r="I9" i="4"/>
  <c r="H9" i="4"/>
  <c r="S9" i="4" s="1"/>
  <c r="G9" i="4"/>
  <c r="AE9" i="4" s="1"/>
  <c r="AI9" i="4" s="1"/>
  <c r="F9" i="4"/>
  <c r="X9" i="4" s="1"/>
  <c r="D9" i="4"/>
  <c r="L9" i="4" s="1"/>
  <c r="C9" i="4"/>
  <c r="B9" i="4"/>
  <c r="A9" i="4"/>
  <c r="BN8" i="4"/>
  <c r="BB8" i="4"/>
  <c r="BA8" i="4"/>
  <c r="AU8" i="4"/>
  <c r="AO8" i="4"/>
  <c r="BM8" i="4" s="1"/>
  <c r="AN8" i="4"/>
  <c r="AQ8" i="4" s="1"/>
  <c r="AL8" i="4"/>
  <c r="AB8" i="4"/>
  <c r="AA8" i="4"/>
  <c r="Y8" i="4"/>
  <c r="X8" i="4"/>
  <c r="V8" i="4"/>
  <c r="U8" i="4"/>
  <c r="W8" i="4" s="1"/>
  <c r="P8" i="4"/>
  <c r="AX8" i="4" s="1"/>
  <c r="O8" i="4"/>
  <c r="I8" i="4"/>
  <c r="H8" i="4"/>
  <c r="S8" i="4" s="1"/>
  <c r="G8" i="4"/>
  <c r="AE8" i="4" s="1"/>
  <c r="AI8" i="4" s="1"/>
  <c r="F8" i="4"/>
  <c r="E8" i="4"/>
  <c r="D8" i="4"/>
  <c r="L8" i="4" s="1"/>
  <c r="C8" i="4"/>
  <c r="B8" i="4"/>
  <c r="A8" i="4"/>
  <c r="BN7" i="4"/>
  <c r="BJ7" i="4"/>
  <c r="AV7" i="4"/>
  <c r="AY7" i="4" s="1"/>
  <c r="AU7" i="4"/>
  <c r="AL7" i="4"/>
  <c r="AN7" i="4" s="1"/>
  <c r="AQ7" i="4" s="1"/>
  <c r="AE7" i="4"/>
  <c r="AF7" i="4" s="1"/>
  <c r="V7" i="4"/>
  <c r="W7" i="4" s="1"/>
  <c r="U7" i="4"/>
  <c r="Q7" i="4"/>
  <c r="P7" i="4"/>
  <c r="R7" i="4" s="1"/>
  <c r="M7" i="4"/>
  <c r="N7" i="4" s="1"/>
  <c r="K7" i="4"/>
  <c r="I7" i="4"/>
  <c r="H7" i="4"/>
  <c r="S7" i="4" s="1"/>
  <c r="G7" i="4"/>
  <c r="F7" i="4"/>
  <c r="X7" i="4" s="1"/>
  <c r="D7" i="4"/>
  <c r="C7" i="4"/>
  <c r="BA7" i="4" s="1"/>
  <c r="B7" i="4"/>
  <c r="A7" i="4"/>
  <c r="BN6" i="4"/>
  <c r="BG6" i="4"/>
  <c r="AW6" i="4"/>
  <c r="AV6" i="4"/>
  <c r="BO6" i="4" s="1"/>
  <c r="AU6" i="4"/>
  <c r="V6" i="4"/>
  <c r="W6" i="4" s="1"/>
  <c r="U6" i="4"/>
  <c r="Q6" i="4"/>
  <c r="P6" i="4"/>
  <c r="I6" i="4"/>
  <c r="H6" i="4"/>
  <c r="AL6" i="4" s="1"/>
  <c r="BL6" i="4" s="1"/>
  <c r="G6" i="4"/>
  <c r="AE6" i="4" s="1"/>
  <c r="F6" i="4"/>
  <c r="X6" i="4" s="1"/>
  <c r="D6" i="4"/>
  <c r="K6" i="4" s="1"/>
  <c r="C6" i="4"/>
  <c r="BA6" i="4" s="1"/>
  <c r="BD6" i="4" s="1"/>
  <c r="BQ6" i="4" s="1"/>
  <c r="B6" i="4"/>
  <c r="A6" i="4"/>
  <c r="BN5" i="4"/>
  <c r="AV5" i="4"/>
  <c r="BO5" i="4" s="1"/>
  <c r="AU5" i="4"/>
  <c r="AT5" i="4"/>
  <c r="AL5" i="4"/>
  <c r="AP5" i="4" s="1"/>
  <c r="AE5" i="4"/>
  <c r="BJ5" i="4" s="1"/>
  <c r="V5" i="4"/>
  <c r="U5" i="4"/>
  <c r="W5" i="4" s="1"/>
  <c r="I5" i="4"/>
  <c r="H5" i="4"/>
  <c r="S5" i="4" s="1"/>
  <c r="G5" i="4"/>
  <c r="F5" i="4"/>
  <c r="X5" i="4" s="1"/>
  <c r="D5" i="4"/>
  <c r="K5" i="4" s="1"/>
  <c r="C5" i="4"/>
  <c r="BA5" i="4" s="1"/>
  <c r="B5" i="4"/>
  <c r="A5" i="4"/>
  <c r="BN4" i="4"/>
  <c r="BJ4" i="4"/>
  <c r="BA4" i="4"/>
  <c r="BP4" i="4" s="1"/>
  <c r="AU4" i="4"/>
  <c r="AI4" i="4"/>
  <c r="AE4" i="4"/>
  <c r="AH4" i="4" s="1"/>
  <c r="V4" i="4"/>
  <c r="U4" i="4"/>
  <c r="W4" i="4" s="1"/>
  <c r="K4" i="4"/>
  <c r="J4" i="4"/>
  <c r="I4" i="4"/>
  <c r="H4" i="4"/>
  <c r="AL4" i="4" s="1"/>
  <c r="G4" i="4"/>
  <c r="F4" i="4"/>
  <c r="X4" i="4" s="1"/>
  <c r="D4" i="4"/>
  <c r="AW4" i="4" s="1"/>
  <c r="C4" i="4"/>
  <c r="Q4" i="4" s="1"/>
  <c r="B4" i="4"/>
  <c r="A4" i="4"/>
  <c r="BN3" i="4"/>
  <c r="BH3" i="4"/>
  <c r="BA3" i="4"/>
  <c r="BE3" i="4" s="1"/>
  <c r="AU3" i="4"/>
  <c r="AT3" i="4"/>
  <c r="AA3" i="4"/>
  <c r="BI3" i="4" s="1"/>
  <c r="Z3" i="4"/>
  <c r="AC3" i="4" s="1"/>
  <c r="Y3" i="4"/>
  <c r="X3" i="4"/>
  <c r="AB3" i="4" s="1"/>
  <c r="V3" i="4"/>
  <c r="BR3" i="4" s="1"/>
  <c r="BS3" i="4" s="1"/>
  <c r="U3" i="4"/>
  <c r="Q3" i="4"/>
  <c r="P3" i="4"/>
  <c r="R3" i="4" s="1"/>
  <c r="J3" i="4"/>
  <c r="I3" i="4"/>
  <c r="H3" i="4"/>
  <c r="AL3" i="4" s="1"/>
  <c r="G3" i="4"/>
  <c r="AE3" i="4" s="1"/>
  <c r="F3" i="4"/>
  <c r="D3" i="4"/>
  <c r="AW3" i="4" s="1"/>
  <c r="C3" i="4"/>
  <c r="AV3" i="4" s="1"/>
  <c r="B3" i="4"/>
  <c r="A3" i="4"/>
  <c r="BP3" i="4" l="1"/>
  <c r="W3" i="4"/>
  <c r="AP4" i="4"/>
  <c r="AM4" i="4"/>
  <c r="AO4" i="4"/>
  <c r="AN4" i="4"/>
  <c r="BL4" i="4"/>
  <c r="AN3" i="4"/>
  <c r="AQ3" i="4" s="1"/>
  <c r="AM3" i="4"/>
  <c r="BL3" i="4"/>
  <c r="AP3" i="4"/>
  <c r="AO3" i="4"/>
  <c r="AI6" i="4"/>
  <c r="AH6" i="4"/>
  <c r="AG6" i="4"/>
  <c r="AJ6" i="4" s="1"/>
  <c r="BJ6" i="4"/>
  <c r="AF6" i="4"/>
  <c r="AF3" i="4"/>
  <c r="AH3" i="4"/>
  <c r="AI3" i="4"/>
  <c r="AG3" i="4"/>
  <c r="AJ3" i="4" s="1"/>
  <c r="BJ3" i="4"/>
  <c r="AX4" i="4"/>
  <c r="BI13" i="4"/>
  <c r="AD13" i="4"/>
  <c r="AY3" i="4"/>
  <c r="BO3" i="4"/>
  <c r="BT4" i="4"/>
  <c r="BU4" i="4" s="1"/>
  <c r="AA6" i="4"/>
  <c r="Y6" i="4"/>
  <c r="Z6" i="4"/>
  <c r="AC6" i="4" s="1"/>
  <c r="BH6" i="4"/>
  <c r="AB6" i="4"/>
  <c r="BH4" i="4"/>
  <c r="Z4" i="4"/>
  <c r="AB4" i="4"/>
  <c r="Y4" i="4"/>
  <c r="AA4" i="4"/>
  <c r="BK4" i="4"/>
  <c r="AK4" i="4"/>
  <c r="BB5" i="4"/>
  <c r="BP5" i="4"/>
  <c r="BC5" i="4"/>
  <c r="BE5" i="4"/>
  <c r="BD5" i="4"/>
  <c r="AJ20" i="4"/>
  <c r="BR26" i="4"/>
  <c r="BS26" i="4" s="1"/>
  <c r="AB5" i="4"/>
  <c r="AA5" i="4"/>
  <c r="BR5" i="4" s="1"/>
  <c r="BS5" i="4" s="1"/>
  <c r="BH5" i="4"/>
  <c r="Y5" i="4"/>
  <c r="Z5" i="4"/>
  <c r="BC7" i="4"/>
  <c r="BF7" i="4" s="1"/>
  <c r="BP7" i="4"/>
  <c r="BE7" i="4"/>
  <c r="BD7" i="4"/>
  <c r="BB7" i="4"/>
  <c r="AH22" i="4"/>
  <c r="AG22" i="4"/>
  <c r="BJ22" i="4"/>
  <c r="AF22" i="4"/>
  <c r="AI22" i="4"/>
  <c r="AX3" i="4"/>
  <c r="AI10" i="4"/>
  <c r="AH10" i="4"/>
  <c r="AG10" i="4"/>
  <c r="BK11" i="4"/>
  <c r="AK11" i="4"/>
  <c r="BJ19" i="4"/>
  <c r="AI19" i="4"/>
  <c r="AG19" i="4"/>
  <c r="AJ19" i="4" s="1"/>
  <c r="AF19" i="4"/>
  <c r="BH34" i="4"/>
  <c r="Z34" i="4"/>
  <c r="Y34" i="4"/>
  <c r="AA34" i="4"/>
  <c r="AD45" i="4"/>
  <c r="BR45" i="4"/>
  <c r="BS45" i="4" s="1"/>
  <c r="BI45" i="4"/>
  <c r="BL5" i="4"/>
  <c r="J11" i="4"/>
  <c r="X11" i="4"/>
  <c r="W15" i="4"/>
  <c r="AA20" i="4"/>
  <c r="BH20" i="4"/>
  <c r="Z20" i="4"/>
  <c r="AP21" i="4"/>
  <c r="BB23" i="4"/>
  <c r="BP23" i="4"/>
  <c r="BD23" i="4"/>
  <c r="BC23" i="4"/>
  <c r="BD24" i="4"/>
  <c r="BP24" i="4"/>
  <c r="BE24" i="4"/>
  <c r="BC24" i="4"/>
  <c r="BF24" i="4" s="1"/>
  <c r="AB34" i="4"/>
  <c r="AF50" i="4"/>
  <c r="AI50" i="4"/>
  <c r="BJ50" i="4"/>
  <c r="AG50" i="4"/>
  <c r="AH50" i="4"/>
  <c r="L4" i="4"/>
  <c r="BC4" i="4"/>
  <c r="AM7" i="4"/>
  <c r="D17" i="5"/>
  <c r="C17" i="5"/>
  <c r="B17" i="5"/>
  <c r="AO19" i="4"/>
  <c r="AN19" i="4"/>
  <c r="AQ19" i="4" s="1"/>
  <c r="Y20" i="4"/>
  <c r="AG21" i="4"/>
  <c r="AJ21" i="4" s="1"/>
  <c r="AF21" i="4"/>
  <c r="BJ21" i="4"/>
  <c r="Q23" i="4"/>
  <c r="AY23" i="4" s="1"/>
  <c r="BE23" i="4"/>
  <c r="BB24" i="4"/>
  <c r="AY31" i="4"/>
  <c r="BO31" i="4"/>
  <c r="BE33" i="4"/>
  <c r="BD33" i="4"/>
  <c r="BC33" i="4"/>
  <c r="BF33" i="4" s="1"/>
  <c r="BB33" i="4"/>
  <c r="BP33" i="4"/>
  <c r="K3" i="4"/>
  <c r="S3" i="4"/>
  <c r="BB3" i="4"/>
  <c r="E4" i="4"/>
  <c r="M4" i="4"/>
  <c r="N4" i="4" s="1"/>
  <c r="BD4" i="4"/>
  <c r="O5" i="4"/>
  <c r="AF5" i="4"/>
  <c r="AN5" i="4"/>
  <c r="AQ5" i="4" s="1"/>
  <c r="AW5" i="4"/>
  <c r="AO6" i="4"/>
  <c r="AY6" i="4"/>
  <c r="AO7" i="4"/>
  <c r="BL7" i="4"/>
  <c r="AF8" i="4"/>
  <c r="AR8" i="4"/>
  <c r="BI8" i="4"/>
  <c r="P9" i="4"/>
  <c r="R9" i="4" s="1"/>
  <c r="BI9" i="4"/>
  <c r="K10" i="4"/>
  <c r="L12" i="4"/>
  <c r="Z13" i="4"/>
  <c r="AC13" i="4" s="1"/>
  <c r="BL13" i="4"/>
  <c r="J14" i="4"/>
  <c r="G24" i="5" s="1"/>
  <c r="M14" i="4"/>
  <c r="N14" i="4" s="1"/>
  <c r="E14" i="4"/>
  <c r="S14" i="4"/>
  <c r="AY15" i="4"/>
  <c r="AI16" i="4"/>
  <c r="AH16" i="4"/>
  <c r="BE17" i="4"/>
  <c r="BC17" i="4"/>
  <c r="BF17" i="4" s="1"/>
  <c r="BB17" i="4"/>
  <c r="AM19" i="4"/>
  <c r="K20" i="4"/>
  <c r="AB20" i="4"/>
  <c r="Z21" i="4"/>
  <c r="AC21" i="4" s="1"/>
  <c r="J22" i="4"/>
  <c r="M22" i="4"/>
  <c r="N22" i="4" s="1"/>
  <c r="E22" i="4"/>
  <c r="W22" i="4"/>
  <c r="W25" i="4"/>
  <c r="AP26" i="4"/>
  <c r="AO26" i="4"/>
  <c r="AN26" i="4"/>
  <c r="BL26" i="4"/>
  <c r="AM26" i="4"/>
  <c r="AJ27" i="4"/>
  <c r="BP38" i="4"/>
  <c r="BE38" i="4"/>
  <c r="BD38" i="4"/>
  <c r="BC38" i="4"/>
  <c r="BB38" i="4"/>
  <c r="BJ44" i="4"/>
  <c r="AI44" i="4"/>
  <c r="AH44" i="4"/>
  <c r="AG44" i="4"/>
  <c r="AJ44" i="4" s="1"/>
  <c r="AF44" i="4"/>
  <c r="BH47" i="4"/>
  <c r="Z47" i="4"/>
  <c r="Y47" i="4"/>
  <c r="AB47" i="4"/>
  <c r="AF29" i="4"/>
  <c r="BJ29" i="4"/>
  <c r="AG29" i="4"/>
  <c r="AJ29" i="4" s="1"/>
  <c r="AI29" i="4"/>
  <c r="AH29" i="4"/>
  <c r="BB4" i="4"/>
  <c r="AM6" i="4"/>
  <c r="AA7" i="4"/>
  <c r="AX7" i="4"/>
  <c r="AA10" i="4"/>
  <c r="BH10" i="4"/>
  <c r="Z10" i="4"/>
  <c r="AC10" i="4" s="1"/>
  <c r="Y10" i="4"/>
  <c r="G17" i="5"/>
  <c r="F17" i="5"/>
  <c r="E17" i="5"/>
  <c r="AD17" i="4"/>
  <c r="AN6" i="4"/>
  <c r="AQ6" i="4" s="1"/>
  <c r="AB7" i="4"/>
  <c r="AG13" i="4"/>
  <c r="AJ13" i="4" s="1"/>
  <c r="AF13" i="4"/>
  <c r="BJ13" i="4"/>
  <c r="BK17" i="4"/>
  <c r="AK17" i="4"/>
  <c r="BC3" i="4"/>
  <c r="BF3" i="4" s="1"/>
  <c r="AV4" i="4"/>
  <c r="P5" i="4"/>
  <c r="R5" i="4" s="1"/>
  <c r="L6" i="4"/>
  <c r="AP6" i="4"/>
  <c r="BB6" i="4"/>
  <c r="J7" i="4"/>
  <c r="AP7" i="4"/>
  <c r="AG8" i="4"/>
  <c r="BJ8" i="4"/>
  <c r="AW9" i="4"/>
  <c r="O9" i="4"/>
  <c r="K9" i="4"/>
  <c r="M9" i="4"/>
  <c r="N9" i="4" s="1"/>
  <c r="AX9" i="4"/>
  <c r="AF10" i="4"/>
  <c r="O12" i="4"/>
  <c r="BJ15" i="4"/>
  <c r="AI15" i="4"/>
  <c r="AG15" i="4"/>
  <c r="AJ15" i="4" s="1"/>
  <c r="AF15" i="4"/>
  <c r="AM16" i="4"/>
  <c r="BL16" i="4"/>
  <c r="AP16" i="4"/>
  <c r="AO16" i="4"/>
  <c r="R17" i="4"/>
  <c r="AO17" i="4"/>
  <c r="AN17" i="4"/>
  <c r="AQ17" i="4" s="1"/>
  <c r="AM17" i="4"/>
  <c r="K18" i="4"/>
  <c r="AP19" i="4"/>
  <c r="BL19" i="4"/>
  <c r="AV20" i="4"/>
  <c r="AT20" i="4"/>
  <c r="BA20" i="4"/>
  <c r="Q20" i="4"/>
  <c r="O20" i="4"/>
  <c r="AF20" i="4"/>
  <c r="AA21" i="4"/>
  <c r="BH22" i="4"/>
  <c r="Z22" i="4"/>
  <c r="AC22" i="4" s="1"/>
  <c r="AB22" i="4"/>
  <c r="AA22" i="4"/>
  <c r="BT22" i="4"/>
  <c r="BU22" i="4" s="1"/>
  <c r="BH24" i="4"/>
  <c r="AB24" i="4"/>
  <c r="AA24" i="4"/>
  <c r="BK24" i="4"/>
  <c r="X35" i="4"/>
  <c r="E35" i="4"/>
  <c r="AL40" i="4"/>
  <c r="S40" i="4"/>
  <c r="AX45" i="4"/>
  <c r="R45" i="4"/>
  <c r="BR47" i="4"/>
  <c r="BS47" i="4" s="1"/>
  <c r="BI47" i="4"/>
  <c r="L5" i="4"/>
  <c r="R6" i="4"/>
  <c r="Z7" i="4"/>
  <c r="BH7" i="4"/>
  <c r="BR8" i="4"/>
  <c r="BS8" i="4" s="1"/>
  <c r="BF9" i="4"/>
  <c r="AM20" i="4"/>
  <c r="BL20" i="4"/>
  <c r="AP20" i="4"/>
  <c r="AO20" i="4"/>
  <c r="AO21" i="4"/>
  <c r="AN21" i="4"/>
  <c r="AQ21" i="4" s="1"/>
  <c r="AM21" i="4"/>
  <c r="M5" i="4"/>
  <c r="N5" i="4" s="1"/>
  <c r="AO11" i="4"/>
  <c r="AN11" i="4"/>
  <c r="AQ11" i="4" s="1"/>
  <c r="Y13" i="4"/>
  <c r="AB13" i="4"/>
  <c r="AI18" i="4"/>
  <c r="AH18" i="4"/>
  <c r="AG18" i="4"/>
  <c r="AJ18" i="4" s="1"/>
  <c r="AV12" i="4"/>
  <c r="AT12" i="4"/>
  <c r="BA12" i="4"/>
  <c r="Q12" i="4"/>
  <c r="AR12" i="4" s="1"/>
  <c r="BA14" i="4"/>
  <c r="Q14" i="4"/>
  <c r="P14" i="4"/>
  <c r="AV14" i="4"/>
  <c r="AP18" i="4"/>
  <c r="AO18" i="4"/>
  <c r="AM18" i="4"/>
  <c r="BL18" i="4"/>
  <c r="BE4" i="4"/>
  <c r="G6" i="6"/>
  <c r="AD3" i="4"/>
  <c r="BD3" i="4"/>
  <c r="BT3" i="4"/>
  <c r="BU3" i="4" s="1"/>
  <c r="O4" i="4"/>
  <c r="AF4" i="4"/>
  <c r="D6" i="6"/>
  <c r="J6" i="4"/>
  <c r="BC6" i="4"/>
  <c r="BF6" i="4" s="1"/>
  <c r="AT7" i="4"/>
  <c r="O7" i="4"/>
  <c r="AG7" i="4"/>
  <c r="AJ7" i="4" s="1"/>
  <c r="J8" i="4"/>
  <c r="BT8" i="4"/>
  <c r="BU8" i="4" s="1"/>
  <c r="AW8" i="4"/>
  <c r="E9" i="4"/>
  <c r="Q9" i="4"/>
  <c r="AY9" i="4" s="1"/>
  <c r="AH9" i="4"/>
  <c r="BA10" i="4"/>
  <c r="Q10" i="4"/>
  <c r="P10" i="4"/>
  <c r="AV10" i="4"/>
  <c r="O10" i="4"/>
  <c r="P12" i="4"/>
  <c r="AG12" i="4"/>
  <c r="AJ12" i="4" s="1"/>
  <c r="AI14" i="4"/>
  <c r="AH14" i="4"/>
  <c r="AG14" i="4"/>
  <c r="AH15" i="4"/>
  <c r="AA16" i="4"/>
  <c r="BH16" i="4"/>
  <c r="Z16" i="4"/>
  <c r="AC16" i="4" s="1"/>
  <c r="Y17" i="4"/>
  <c r="AB17" i="4"/>
  <c r="BH17" i="4"/>
  <c r="AF18" i="4"/>
  <c r="P20" i="4"/>
  <c r="Y22" i="4"/>
  <c r="BJ23" i="4"/>
  <c r="AI23" i="4"/>
  <c r="AH23" i="4"/>
  <c r="BJ24" i="4"/>
  <c r="AG24" i="4"/>
  <c r="AJ24" i="4" s="1"/>
  <c r="AF24" i="4"/>
  <c r="AL32" i="4"/>
  <c r="S32" i="4"/>
  <c r="AB32" i="4"/>
  <c r="AA32" i="4"/>
  <c r="BH32" i="4"/>
  <c r="Z32" i="4"/>
  <c r="AC32" i="4" s="1"/>
  <c r="Y32" i="4"/>
  <c r="BT20" i="4"/>
  <c r="BU20" i="4" s="1"/>
  <c r="AY43" i="4"/>
  <c r="BO43" i="4"/>
  <c r="BK49" i="4"/>
  <c r="AK49" i="4"/>
  <c r="S4" i="4"/>
  <c r="AP10" i="4"/>
  <c r="AO10" i="4"/>
  <c r="BT10" i="4" s="1"/>
  <c r="BU10" i="4" s="1"/>
  <c r="AM10" i="4"/>
  <c r="BL10" i="4"/>
  <c r="BH13" i="4"/>
  <c r="AJ23" i="4"/>
  <c r="BL28" i="4"/>
  <c r="AP28" i="4"/>
  <c r="AN28" i="4"/>
  <c r="AQ28" i="4" s="1"/>
  <c r="AM28" i="4"/>
  <c r="AO28" i="4"/>
  <c r="AT4" i="4"/>
  <c r="AM5" i="4"/>
  <c r="AH8" i="4"/>
  <c r="R8" i="4"/>
  <c r="AB10" i="4"/>
  <c r="AM11" i="4"/>
  <c r="BR13" i="4"/>
  <c r="BS13" i="4" s="1"/>
  <c r="O14" i="4"/>
  <c r="J19" i="4"/>
  <c r="X19" i="4"/>
  <c r="BR21" i="4"/>
  <c r="BS21" i="4" s="1"/>
  <c r="Q22" i="4"/>
  <c r="AV22" i="4"/>
  <c r="AT22" i="4"/>
  <c r="P22" i="4"/>
  <c r="BA22" i="4"/>
  <c r="AN22" i="4"/>
  <c r="AQ22" i="4" s="1"/>
  <c r="K23" i="4"/>
  <c r="L23" i="4"/>
  <c r="AW23" i="4"/>
  <c r="J23" i="4"/>
  <c r="P23" i="4"/>
  <c r="AX23" i="4" s="1"/>
  <c r="O23" i="4"/>
  <c r="AX24" i="4"/>
  <c r="R24" i="4"/>
  <c r="AG5" i="4"/>
  <c r="AJ5" i="4" s="1"/>
  <c r="AO5" i="4"/>
  <c r="BT6" i="4"/>
  <c r="BU6" i="4" s="1"/>
  <c r="E3" i="4"/>
  <c r="M3" i="4"/>
  <c r="N3" i="4" s="1"/>
  <c r="Q5" i="4"/>
  <c r="AY5" i="4" s="1"/>
  <c r="AH5" i="4"/>
  <c r="M6" i="4"/>
  <c r="N6" i="4" s="1"/>
  <c r="P4" i="4"/>
  <c r="R4" i="4" s="1"/>
  <c r="AG4" i="4"/>
  <c r="J5" i="4"/>
  <c r="AI5" i="4"/>
  <c r="E6" i="4"/>
  <c r="AT6" i="4"/>
  <c r="BE6" i="4"/>
  <c r="L7" i="4"/>
  <c r="AH7" i="4"/>
  <c r="BO7" i="4"/>
  <c r="AV8" i="4"/>
  <c r="AT8" i="4"/>
  <c r="Q8" i="4"/>
  <c r="AD8" i="4" s="1"/>
  <c r="K8" i="4"/>
  <c r="BH8" i="4"/>
  <c r="Z8" i="4"/>
  <c r="AC8" i="4" s="1"/>
  <c r="Y9" i="4"/>
  <c r="AB9" i="4"/>
  <c r="C10" i="5"/>
  <c r="J10" i="4"/>
  <c r="E21" i="5" s="1"/>
  <c r="M10" i="4"/>
  <c r="N10" i="4" s="1"/>
  <c r="E10" i="4"/>
  <c r="S10" i="4"/>
  <c r="AY11" i="4"/>
  <c r="AI12" i="4"/>
  <c r="AH12" i="4"/>
  <c r="S12" i="4"/>
  <c r="AH13" i="4"/>
  <c r="BQ13" i="4"/>
  <c r="AP14" i="4"/>
  <c r="AO14" i="4"/>
  <c r="AM14" i="4"/>
  <c r="BL14" i="4"/>
  <c r="AA14" i="4"/>
  <c r="BH14" i="4"/>
  <c r="Z14" i="4"/>
  <c r="Y14" i="4"/>
  <c r="AT14" i="4"/>
  <c r="J15" i="4"/>
  <c r="X15" i="4"/>
  <c r="AO15" i="4"/>
  <c r="BT15" i="4" s="1"/>
  <c r="BU15" i="4" s="1"/>
  <c r="AN15" i="4"/>
  <c r="AQ15" i="4" s="1"/>
  <c r="Y16" i="4"/>
  <c r="AG17" i="4"/>
  <c r="AJ17" i="4" s="1"/>
  <c r="AF17" i="4"/>
  <c r="BJ17" i="4"/>
  <c r="BR17" i="4"/>
  <c r="BS17" i="4" s="1"/>
  <c r="BA18" i="4"/>
  <c r="Q18" i="4"/>
  <c r="P18" i="4"/>
  <c r="AV18" i="4"/>
  <c r="O18" i="4"/>
  <c r="S20" i="4"/>
  <c r="AH21" i="4"/>
  <c r="BQ21" i="4"/>
  <c r="AP22" i="4"/>
  <c r="AO22" i="4"/>
  <c r="S23" i="4"/>
  <c r="AL23" i="4"/>
  <c r="AB23" i="4"/>
  <c r="BH23" i="4"/>
  <c r="Z23" i="4"/>
  <c r="AC23" i="4" s="1"/>
  <c r="Y23" i="4"/>
  <c r="AL24" i="4"/>
  <c r="L24" i="4"/>
  <c r="S24" i="4"/>
  <c r="Y24" i="4"/>
  <c r="AC25" i="4"/>
  <c r="Q42" i="4"/>
  <c r="P42" i="4"/>
  <c r="O42" i="4"/>
  <c r="AV42" i="4"/>
  <c r="AT42" i="4"/>
  <c r="S42" i="4"/>
  <c r="BA42" i="4"/>
  <c r="AO9" i="4"/>
  <c r="AN9" i="4"/>
  <c r="AM9" i="4"/>
  <c r="AO13" i="4"/>
  <c r="AN13" i="4"/>
  <c r="AQ13" i="4" s="1"/>
  <c r="AM13" i="4"/>
  <c r="AQ18" i="4"/>
  <c r="B6" i="5"/>
  <c r="E5" i="4"/>
  <c r="AP9" i="4"/>
  <c r="AA12" i="4"/>
  <c r="BH12" i="4"/>
  <c r="Z12" i="4"/>
  <c r="AC12" i="4" s="1"/>
  <c r="C16" i="5"/>
  <c r="B16" i="5"/>
  <c r="D16" i="5"/>
  <c r="R16" i="4"/>
  <c r="BT18" i="4"/>
  <c r="BU18" i="4" s="1"/>
  <c r="AH19" i="4"/>
  <c r="Y21" i="4"/>
  <c r="AB21" i="4"/>
  <c r="S6" i="4"/>
  <c r="AX6" i="4"/>
  <c r="BT9" i="4"/>
  <c r="BU9" i="4" s="1"/>
  <c r="BL11" i="4"/>
  <c r="Y12" i="4"/>
  <c r="AA18" i="4"/>
  <c r="BH18" i="4"/>
  <c r="Z18" i="4"/>
  <c r="AC18" i="4" s="1"/>
  <c r="Y18" i="4"/>
  <c r="L3" i="4"/>
  <c r="O3" i="4"/>
  <c r="O6" i="4"/>
  <c r="BP6" i="4"/>
  <c r="E7" i="4"/>
  <c r="Y7" i="4"/>
  <c r="AI7" i="4"/>
  <c r="M8" i="4"/>
  <c r="N8" i="4" s="1"/>
  <c r="AM8" i="4"/>
  <c r="BL8" i="4"/>
  <c r="AP8" i="4"/>
  <c r="BE8" i="4"/>
  <c r="BD8" i="4"/>
  <c r="BC8" i="4"/>
  <c r="BF8" i="4" s="1"/>
  <c r="BP8" i="4"/>
  <c r="AG9" i="4"/>
  <c r="AJ9" i="4" s="1"/>
  <c r="AF9" i="4"/>
  <c r="BJ9" i="4"/>
  <c r="W9" i="4"/>
  <c r="BE9" i="4"/>
  <c r="BB9" i="4"/>
  <c r="BP9" i="4"/>
  <c r="D10" i="5"/>
  <c r="AN10" i="4"/>
  <c r="AQ10" i="4" s="1"/>
  <c r="BJ10" i="4"/>
  <c r="BJ11" i="4"/>
  <c r="AI11" i="4"/>
  <c r="AG11" i="4"/>
  <c r="AJ11" i="4" s="1"/>
  <c r="AF11" i="4"/>
  <c r="AM12" i="4"/>
  <c r="BL12" i="4"/>
  <c r="AP12" i="4"/>
  <c r="AN12" i="4"/>
  <c r="AQ12" i="4" s="1"/>
  <c r="AI13" i="4"/>
  <c r="BE13" i="4"/>
  <c r="BC13" i="4"/>
  <c r="BF13" i="4" s="1"/>
  <c r="BB13" i="4"/>
  <c r="BT13" i="4"/>
  <c r="BU13" i="4" s="1"/>
  <c r="AV16" i="4"/>
  <c r="AT16" i="4"/>
  <c r="BA16" i="4"/>
  <c r="Q16" i="4"/>
  <c r="AB16" i="4"/>
  <c r="Z17" i="4"/>
  <c r="AC17" i="4" s="1"/>
  <c r="BL17" i="4"/>
  <c r="J18" i="4"/>
  <c r="M18" i="4"/>
  <c r="N18" i="4" s="1"/>
  <c r="E18" i="4"/>
  <c r="AI20" i="4"/>
  <c r="AH20" i="4"/>
  <c r="AN20" i="4"/>
  <c r="AQ20" i="4" s="1"/>
  <c r="AI21" i="4"/>
  <c r="BE21" i="4"/>
  <c r="BC21" i="4"/>
  <c r="BF21" i="4" s="1"/>
  <c r="BB21" i="4"/>
  <c r="BT21" i="4"/>
  <c r="BU21" i="4" s="1"/>
  <c r="AD23" i="4"/>
  <c r="Z24" i="4"/>
  <c r="AC24" i="4" s="1"/>
  <c r="BO24" i="4"/>
  <c r="AY24" i="4"/>
  <c r="AF25" i="4"/>
  <c r="AI25" i="4"/>
  <c r="BJ25" i="4"/>
  <c r="AH25" i="4"/>
  <c r="BT26" i="4"/>
  <c r="BU26" i="4" s="1"/>
  <c r="W26" i="4"/>
  <c r="AB28" i="4"/>
  <c r="BH28" i="4"/>
  <c r="Z28" i="4"/>
  <c r="AC28" i="4" s="1"/>
  <c r="AA28" i="4"/>
  <c r="Y28" i="4"/>
  <c r="AP31" i="4"/>
  <c r="AO31" i="4"/>
  <c r="AN31" i="4"/>
  <c r="AQ31" i="4" s="1"/>
  <c r="BL31" i="4"/>
  <c r="AM31" i="4"/>
  <c r="AW7" i="4"/>
  <c r="O11" i="4"/>
  <c r="AW11" i="4"/>
  <c r="K13" i="4"/>
  <c r="O15" i="4"/>
  <c r="AW15" i="4"/>
  <c r="K17" i="4"/>
  <c r="S17" i="4"/>
  <c r="O19" i="4"/>
  <c r="K21" i="4"/>
  <c r="S21" i="4"/>
  <c r="AT24" i="4"/>
  <c r="O25" i="4"/>
  <c r="AV25" i="4"/>
  <c r="BA25" i="4"/>
  <c r="AT25" i="4"/>
  <c r="AI27" i="4"/>
  <c r="BJ27" i="4"/>
  <c r="AH27" i="4"/>
  <c r="AL27" i="4"/>
  <c r="AB33" i="4"/>
  <c r="AA33" i="4"/>
  <c r="Y33" i="4"/>
  <c r="BH33" i="4"/>
  <c r="Q38" i="4"/>
  <c r="P38" i="4"/>
  <c r="O38" i="4"/>
  <c r="AV38" i="4"/>
  <c r="AT38" i="4"/>
  <c r="S38" i="4"/>
  <c r="AB39" i="4"/>
  <c r="AA39" i="4"/>
  <c r="BH39" i="4"/>
  <c r="Z39" i="4"/>
  <c r="Y39" i="4"/>
  <c r="BJ39" i="4"/>
  <c r="AI39" i="4"/>
  <c r="AH39" i="4"/>
  <c r="AG39" i="4"/>
  <c r="AF39" i="4"/>
  <c r="BK41" i="4"/>
  <c r="AK41" i="4"/>
  <c r="AW42" i="4"/>
  <c r="M42" i="4"/>
  <c r="N42" i="4" s="1"/>
  <c r="E42" i="4"/>
  <c r="K42" i="4"/>
  <c r="J42" i="4"/>
  <c r="AK52" i="4"/>
  <c r="BK52" i="4"/>
  <c r="BI57" i="4"/>
  <c r="L13" i="4"/>
  <c r="D15" i="5"/>
  <c r="C15" i="5"/>
  <c r="B15" i="5"/>
  <c r="G16" i="5"/>
  <c r="F16" i="5"/>
  <c r="E16" i="5"/>
  <c r="L17" i="4"/>
  <c r="D19" i="5"/>
  <c r="C19" i="5"/>
  <c r="B19" i="5"/>
  <c r="G20" i="5"/>
  <c r="F20" i="5"/>
  <c r="E20" i="5"/>
  <c r="L21" i="4"/>
  <c r="AW25" i="4"/>
  <c r="J25" i="4"/>
  <c r="M25" i="4"/>
  <c r="N25" i="4" s="1"/>
  <c r="Q26" i="4"/>
  <c r="P26" i="4"/>
  <c r="R26" i="4" s="1"/>
  <c r="O26" i="4"/>
  <c r="AT26" i="4"/>
  <c r="AA26" i="4"/>
  <c r="AB27" i="4"/>
  <c r="AA27" i="4"/>
  <c r="BR27" i="4" s="1"/>
  <c r="BS27" i="4" s="1"/>
  <c r="Z27" i="4"/>
  <c r="AC27" i="4" s="1"/>
  <c r="AB29" i="4"/>
  <c r="BH29" i="4"/>
  <c r="AA29" i="4"/>
  <c r="Y29" i="4"/>
  <c r="BJ36" i="4"/>
  <c r="AI36" i="4"/>
  <c r="AH36" i="4"/>
  <c r="AF36" i="4"/>
  <c r="BJ40" i="4"/>
  <c r="AI40" i="4"/>
  <c r="AH40" i="4"/>
  <c r="AF40" i="4"/>
  <c r="AB40" i="4"/>
  <c r="AA40" i="4"/>
  <c r="BH40" i="4"/>
  <c r="Z40" i="4"/>
  <c r="AC40" i="4" s="1"/>
  <c r="Y40" i="4"/>
  <c r="AH42" i="4"/>
  <c r="BQ43" i="4"/>
  <c r="BG43" i="4"/>
  <c r="J44" i="4"/>
  <c r="X44" i="4"/>
  <c r="BQ44" i="4"/>
  <c r="AB45" i="4"/>
  <c r="BH45" i="4"/>
  <c r="Z45" i="4"/>
  <c r="AC45" i="4" s="1"/>
  <c r="Y45" i="4"/>
  <c r="AW51" i="4"/>
  <c r="AI51" i="4"/>
  <c r="M51" i="4"/>
  <c r="N51" i="4" s="1"/>
  <c r="E51" i="4"/>
  <c r="AB51" i="4"/>
  <c r="L51" i="4"/>
  <c r="K51" i="4"/>
  <c r="BA11" i="4"/>
  <c r="R15" i="4"/>
  <c r="BA15" i="4"/>
  <c r="L16" i="4"/>
  <c r="R19" i="4"/>
  <c r="BA19" i="4"/>
  <c r="L20" i="4"/>
  <c r="AA25" i="4"/>
  <c r="BR25" i="4" s="1"/>
  <c r="BS25" i="4" s="1"/>
  <c r="P25" i="4"/>
  <c r="AJ25" i="4" s="1"/>
  <c r="AB25" i="4"/>
  <c r="AN25" i="4"/>
  <c r="AQ25" i="4" s="1"/>
  <c r="BL25" i="4"/>
  <c r="E26" i="4"/>
  <c r="AX26" i="4"/>
  <c r="L27" i="4"/>
  <c r="AW30" i="4"/>
  <c r="M30" i="4"/>
  <c r="N30" i="4" s="1"/>
  <c r="E30" i="4"/>
  <c r="L30" i="4"/>
  <c r="K30" i="4"/>
  <c r="J30" i="4"/>
  <c r="BQ31" i="4"/>
  <c r="BF31" i="4"/>
  <c r="AH38" i="4"/>
  <c r="AX39" i="4"/>
  <c r="BG40" i="4"/>
  <c r="AP42" i="4"/>
  <c r="AO42" i="4"/>
  <c r="AN42" i="4"/>
  <c r="AQ42" i="4" s="1"/>
  <c r="AM42" i="4"/>
  <c r="BL42" i="4"/>
  <c r="AH54" i="4"/>
  <c r="BJ54" i="4"/>
  <c r="AF54" i="4"/>
  <c r="AI54" i="4"/>
  <c r="AG54" i="4"/>
  <c r="AJ54" i="4" s="1"/>
  <c r="O13" i="4"/>
  <c r="O17" i="4"/>
  <c r="E20" i="4"/>
  <c r="O21" i="4"/>
  <c r="M24" i="4"/>
  <c r="N24" i="4" s="1"/>
  <c r="E24" i="4"/>
  <c r="Q25" i="4"/>
  <c r="AM25" i="4"/>
  <c r="BH26" i="4"/>
  <c r="Z26" i="4"/>
  <c r="Y26" i="4"/>
  <c r="AH26" i="4"/>
  <c r="AG26" i="4"/>
  <c r="AF26" i="4"/>
  <c r="AV26" i="4"/>
  <c r="BH27" i="4"/>
  <c r="BH30" i="4"/>
  <c r="Z30" i="4"/>
  <c r="Y30" i="4"/>
  <c r="AB30" i="4"/>
  <c r="AA30" i="4"/>
  <c r="K31" i="4"/>
  <c r="J31" i="4"/>
  <c r="P31" i="4"/>
  <c r="R31" i="4" s="1"/>
  <c r="AW31" i="4"/>
  <c r="E31" i="4"/>
  <c r="M31" i="4"/>
  <c r="N31" i="4" s="1"/>
  <c r="L31" i="4"/>
  <c r="AW46" i="4"/>
  <c r="M46" i="4"/>
  <c r="N46" i="4" s="1"/>
  <c r="E46" i="4"/>
  <c r="L46" i="4"/>
  <c r="K46" i="4"/>
  <c r="J46" i="4"/>
  <c r="AY47" i="4"/>
  <c r="BO47" i="4"/>
  <c r="Q58" i="4"/>
  <c r="P58" i="4"/>
  <c r="R58" i="4" s="1"/>
  <c r="AV58" i="4"/>
  <c r="S58" i="4"/>
  <c r="AT58" i="4"/>
  <c r="O58" i="4"/>
  <c r="AN58" i="4"/>
  <c r="BA58" i="4"/>
  <c r="S22" i="4"/>
  <c r="BR23" i="4"/>
  <c r="BS23" i="4" s="1"/>
  <c r="AO25" i="4"/>
  <c r="BT25" i="4" s="1"/>
  <c r="BU25" i="4" s="1"/>
  <c r="S26" i="4"/>
  <c r="AI26" i="4"/>
  <c r="BA26" i="4"/>
  <c r="K27" i="4"/>
  <c r="J27" i="4"/>
  <c r="Q27" i="4"/>
  <c r="BG27" i="4" s="1"/>
  <c r="O27" i="4"/>
  <c r="AF27" i="4"/>
  <c r="BJ28" i="4"/>
  <c r="AH28" i="4"/>
  <c r="AG28" i="4"/>
  <c r="AJ28" i="4" s="1"/>
  <c r="AF28" i="4"/>
  <c r="BJ32" i="4"/>
  <c r="AI32" i="4"/>
  <c r="AH32" i="4"/>
  <c r="AG32" i="4"/>
  <c r="AJ32" i="4" s="1"/>
  <c r="AL37" i="4"/>
  <c r="S37" i="4"/>
  <c r="L42" i="4"/>
  <c r="AX43" i="4"/>
  <c r="BH46" i="4"/>
  <c r="Z46" i="4"/>
  <c r="Y46" i="4"/>
  <c r="AB46" i="4"/>
  <c r="AA46" i="4"/>
  <c r="K47" i="4"/>
  <c r="J47" i="4"/>
  <c r="AW47" i="4"/>
  <c r="E47" i="4"/>
  <c r="AI47" i="4"/>
  <c r="M47" i="4"/>
  <c r="N47" i="4" s="1"/>
  <c r="BE47" i="4"/>
  <c r="L47" i="4"/>
  <c r="L26" i="4"/>
  <c r="BO27" i="4"/>
  <c r="L28" i="4"/>
  <c r="BD28" i="4"/>
  <c r="BC28" i="4"/>
  <c r="BF28" i="4" s="1"/>
  <c r="BB28" i="4"/>
  <c r="BP28" i="4"/>
  <c r="AL29" i="4"/>
  <c r="S29" i="4"/>
  <c r="BE29" i="4"/>
  <c r="BD29" i="4"/>
  <c r="BB29" i="4"/>
  <c r="BP29" i="4"/>
  <c r="BJ31" i="4"/>
  <c r="AI31" i="4"/>
  <c r="AH31" i="4"/>
  <c r="AG31" i="4"/>
  <c r="AJ31" i="4" s="1"/>
  <c r="AF31" i="4"/>
  <c r="AF33" i="4"/>
  <c r="BJ33" i="4"/>
  <c r="Q34" i="4"/>
  <c r="P34" i="4"/>
  <c r="O34" i="4"/>
  <c r="AV34" i="4"/>
  <c r="AH34" i="4"/>
  <c r="BA34" i="4"/>
  <c r="AX35" i="4"/>
  <c r="AD37" i="4"/>
  <c r="BI37" i="4"/>
  <c r="AW38" i="4"/>
  <c r="M38" i="4"/>
  <c r="N38" i="4" s="1"/>
  <c r="E38" i="4"/>
  <c r="AI38" i="4"/>
  <c r="BO39" i="4"/>
  <c r="BH42" i="4"/>
  <c r="Z42" i="4"/>
  <c r="AC42" i="4" s="1"/>
  <c r="Y42" i="4"/>
  <c r="AJ45" i="4"/>
  <c r="AP51" i="4"/>
  <c r="AO51" i="4"/>
  <c r="AN51" i="4"/>
  <c r="AQ51" i="4" s="1"/>
  <c r="AM51" i="4"/>
  <c r="AL53" i="4"/>
  <c r="S53" i="4"/>
  <c r="AL54" i="4"/>
  <c r="S54" i="4"/>
  <c r="J60" i="4"/>
  <c r="X60" i="4"/>
  <c r="E60" i="4"/>
  <c r="AY66" i="4"/>
  <c r="BO66" i="4"/>
  <c r="AP30" i="4"/>
  <c r="AO30" i="4"/>
  <c r="AN30" i="4"/>
  <c r="AM30" i="4"/>
  <c r="BL30" i="4"/>
  <c r="BB31" i="4"/>
  <c r="BP31" i="4"/>
  <c r="BE31" i="4"/>
  <c r="AL33" i="4"/>
  <c r="S33" i="4"/>
  <c r="AW34" i="4"/>
  <c r="M34" i="4"/>
  <c r="N34" i="4" s="1"/>
  <c r="E34" i="4"/>
  <c r="AI34" i="4"/>
  <c r="AY35" i="4"/>
  <c r="BO35" i="4"/>
  <c r="BH38" i="4"/>
  <c r="Z38" i="4"/>
  <c r="AC38" i="4" s="1"/>
  <c r="Y38" i="4"/>
  <c r="BJ43" i="4"/>
  <c r="AI43" i="4"/>
  <c r="AH43" i="4"/>
  <c r="AG43" i="4"/>
  <c r="AF43" i="4"/>
  <c r="AL44" i="4"/>
  <c r="S44" i="4"/>
  <c r="BK45" i="4"/>
  <c r="AK45" i="4"/>
  <c r="AP46" i="4"/>
  <c r="AO46" i="4"/>
  <c r="AN46" i="4"/>
  <c r="AQ46" i="4" s="1"/>
  <c r="AM46" i="4"/>
  <c r="BL46" i="4"/>
  <c r="BT46" i="4"/>
  <c r="BU46" i="4" s="1"/>
  <c r="O47" i="4"/>
  <c r="BR48" i="4"/>
  <c r="BS48" i="4" s="1"/>
  <c r="BH50" i="4"/>
  <c r="AA50" i="4"/>
  <c r="Z50" i="4"/>
  <c r="AC50" i="4" s="1"/>
  <c r="Y50" i="4"/>
  <c r="BA51" i="4"/>
  <c r="Q51" i="4"/>
  <c r="P51" i="4"/>
  <c r="R51" i="4" s="1"/>
  <c r="O51" i="4"/>
  <c r="AV51" i="4"/>
  <c r="S51" i="4"/>
  <c r="AT51" i="4"/>
  <c r="AX52" i="4"/>
  <c r="R52" i="4"/>
  <c r="BH54" i="4"/>
  <c r="Z54" i="4"/>
  <c r="AC54" i="4" s="1"/>
  <c r="AB54" i="4"/>
  <c r="AA54" i="4"/>
  <c r="Y54" i="4"/>
  <c r="BE57" i="4"/>
  <c r="BC57" i="4"/>
  <c r="BP57" i="4"/>
  <c r="BD57" i="4"/>
  <c r="BB57" i="4"/>
  <c r="BH58" i="4"/>
  <c r="Z58" i="4"/>
  <c r="Y58" i="4"/>
  <c r="AB58" i="4"/>
  <c r="AA58" i="4"/>
  <c r="L29" i="4"/>
  <c r="BJ35" i="4"/>
  <c r="AI35" i="4"/>
  <c r="AH35" i="4"/>
  <c r="AG35" i="4"/>
  <c r="AJ35" i="4" s="1"/>
  <c r="AF35" i="4"/>
  <c r="AL36" i="4"/>
  <c r="S36" i="4"/>
  <c r="X36" i="4"/>
  <c r="BG36" i="4"/>
  <c r="R37" i="4"/>
  <c r="BK37" i="4"/>
  <c r="AK37" i="4"/>
  <c r="AP38" i="4"/>
  <c r="AO38" i="4"/>
  <c r="AN38" i="4"/>
  <c r="AQ38" i="4" s="1"/>
  <c r="AM38" i="4"/>
  <c r="BL38" i="4"/>
  <c r="BT38" i="4"/>
  <c r="BU38" i="4" s="1"/>
  <c r="Q39" i="4"/>
  <c r="BG39" i="4" s="1"/>
  <c r="BQ39" i="4"/>
  <c r="AA42" i="4"/>
  <c r="K43" i="4"/>
  <c r="J43" i="4"/>
  <c r="P43" i="4"/>
  <c r="R43" i="4" s="1"/>
  <c r="AW43" i="4"/>
  <c r="AP43" i="4"/>
  <c r="AO43" i="4"/>
  <c r="AN43" i="4"/>
  <c r="BE43" i="4"/>
  <c r="BE45" i="4"/>
  <c r="BD45" i="4"/>
  <c r="BC45" i="4"/>
  <c r="BF45" i="4" s="1"/>
  <c r="BB45" i="4"/>
  <c r="AB48" i="4"/>
  <c r="AA48" i="4"/>
  <c r="BH48" i="4"/>
  <c r="Z48" i="4"/>
  <c r="Y48" i="4"/>
  <c r="BQ48" i="4"/>
  <c r="J49" i="4"/>
  <c r="X49" i="4"/>
  <c r="BT51" i="4"/>
  <c r="BU51" i="4" s="1"/>
  <c r="BJ55" i="4"/>
  <c r="AG55" i="4"/>
  <c r="AI55" i="4"/>
  <c r="AH55" i="4"/>
  <c r="AF55" i="4"/>
  <c r="AB31" i="4"/>
  <c r="AA31" i="4"/>
  <c r="BH31" i="4"/>
  <c r="Z31" i="4"/>
  <c r="AC31" i="4" s="1"/>
  <c r="Y31" i="4"/>
  <c r="BR31" i="4"/>
  <c r="BS31" i="4" s="1"/>
  <c r="AG33" i="4"/>
  <c r="AJ33" i="4" s="1"/>
  <c r="AP34" i="4"/>
  <c r="AO34" i="4"/>
  <c r="AN34" i="4"/>
  <c r="AM34" i="4"/>
  <c r="BL34" i="4"/>
  <c r="BT34" i="4"/>
  <c r="BU34" i="4" s="1"/>
  <c r="BQ35" i="4"/>
  <c r="BG35" i="4"/>
  <c r="AA38" i="4"/>
  <c r="K39" i="4"/>
  <c r="J39" i="4"/>
  <c r="P39" i="4"/>
  <c r="R39" i="4" s="1"/>
  <c r="AW39" i="4"/>
  <c r="AP39" i="4"/>
  <c r="AO39" i="4"/>
  <c r="AN39" i="4"/>
  <c r="BE39" i="4"/>
  <c r="AY40" i="4"/>
  <c r="BE41" i="4"/>
  <c r="BD41" i="4"/>
  <c r="BC41" i="4"/>
  <c r="BF41" i="4" s="1"/>
  <c r="BB41" i="4"/>
  <c r="AB42" i="4"/>
  <c r="E43" i="4"/>
  <c r="AM43" i="4"/>
  <c r="BO44" i="4"/>
  <c r="AL45" i="4"/>
  <c r="S45" i="4"/>
  <c r="BJ48" i="4"/>
  <c r="AI48" i="4"/>
  <c r="AH48" i="4"/>
  <c r="AG48" i="4"/>
  <c r="AJ48" i="4" s="1"/>
  <c r="AF48" i="4"/>
  <c r="AP48" i="4"/>
  <c r="AO48" i="4"/>
  <c r="BL48" i="4"/>
  <c r="AN48" i="4"/>
  <c r="AQ48" i="4" s="1"/>
  <c r="BJ49" i="4"/>
  <c r="AI49" i="4"/>
  <c r="AF49" i="4"/>
  <c r="AB50" i="4"/>
  <c r="AA51" i="4"/>
  <c r="BH52" i="4"/>
  <c r="AB52" i="4"/>
  <c r="AA52" i="4"/>
  <c r="Z52" i="4"/>
  <c r="AC52" i="4" s="1"/>
  <c r="Y52" i="4"/>
  <c r="AK53" i="4"/>
  <c r="BK53" i="4"/>
  <c r="BQ53" i="4"/>
  <c r="BG53" i="4"/>
  <c r="BC27" i="4"/>
  <c r="BF27" i="4" s="1"/>
  <c r="BT28" i="4"/>
  <c r="BU28" i="4" s="1"/>
  <c r="BR28" i="4"/>
  <c r="BS28" i="4" s="1"/>
  <c r="AY28" i="4"/>
  <c r="AW29" i="4"/>
  <c r="O29" i="4"/>
  <c r="M29" i="4"/>
  <c r="N29" i="4" s="1"/>
  <c r="E29" i="4"/>
  <c r="K29" i="4"/>
  <c r="Q29" i="4"/>
  <c r="AY29" i="4" s="1"/>
  <c r="Q30" i="4"/>
  <c r="P30" i="4"/>
  <c r="R30" i="4" s="1"/>
  <c r="O30" i="4"/>
  <c r="AV30" i="4"/>
  <c r="AH30" i="4"/>
  <c r="BA30" i="4"/>
  <c r="AX31" i="4"/>
  <c r="AH33" i="4"/>
  <c r="K35" i="4"/>
  <c r="J35" i="4"/>
  <c r="P35" i="4"/>
  <c r="R35" i="4" s="1"/>
  <c r="AW35" i="4"/>
  <c r="AP35" i="4"/>
  <c r="AO35" i="4"/>
  <c r="AN35" i="4"/>
  <c r="AQ35" i="4" s="1"/>
  <c r="BE35" i="4"/>
  <c r="AY36" i="4"/>
  <c r="BE37" i="4"/>
  <c r="BD37" i="4"/>
  <c r="BC37" i="4"/>
  <c r="BF37" i="4" s="1"/>
  <c r="BB37" i="4"/>
  <c r="J38" i="4"/>
  <c r="AB38" i="4"/>
  <c r="E39" i="4"/>
  <c r="AM39" i="4"/>
  <c r="BO40" i="4"/>
  <c r="AL41" i="4"/>
  <c r="S41" i="4"/>
  <c r="Y41" i="4"/>
  <c r="AB43" i="4"/>
  <c r="AA43" i="4"/>
  <c r="BH43" i="4"/>
  <c r="Z43" i="4"/>
  <c r="Y43" i="4"/>
  <c r="BR43" i="4"/>
  <c r="BS43" i="4" s="1"/>
  <c r="BL43" i="4"/>
  <c r="AX44" i="4"/>
  <c r="Q46" i="4"/>
  <c r="P46" i="4"/>
  <c r="O46" i="4"/>
  <c r="AV46" i="4"/>
  <c r="AH46" i="4"/>
  <c r="BA46" i="4"/>
  <c r="AM48" i="4"/>
  <c r="AL49" i="4"/>
  <c r="S49" i="4"/>
  <c r="BD52" i="4"/>
  <c r="BP52" i="4"/>
  <c r="BE52" i="4"/>
  <c r="BC52" i="4"/>
  <c r="BF52" i="4" s="1"/>
  <c r="BB52" i="4"/>
  <c r="AQ55" i="4"/>
  <c r="BF55" i="4"/>
  <c r="AA59" i="4"/>
  <c r="AB59" i="4"/>
  <c r="BH59" i="4"/>
  <c r="Z59" i="4"/>
  <c r="Y59" i="4"/>
  <c r="AP61" i="4"/>
  <c r="AO61" i="4"/>
  <c r="AM61" i="4"/>
  <c r="BL61" i="4"/>
  <c r="AN61" i="4"/>
  <c r="Q28" i="4"/>
  <c r="BR29" i="4"/>
  <c r="BS29" i="4" s="1"/>
  <c r="O31" i="4"/>
  <c r="Q32" i="4"/>
  <c r="BG32" i="4" s="1"/>
  <c r="BP32" i="4"/>
  <c r="K33" i="4"/>
  <c r="BR33" i="4"/>
  <c r="BS33" i="4" s="1"/>
  <c r="O35" i="4"/>
  <c r="BP36" i="4"/>
  <c r="K37" i="4"/>
  <c r="BJ37" i="4"/>
  <c r="BR37" i="4"/>
  <c r="BS37" i="4" s="1"/>
  <c r="O39" i="4"/>
  <c r="BP40" i="4"/>
  <c r="K41" i="4"/>
  <c r="BJ41" i="4"/>
  <c r="BR41" i="4"/>
  <c r="BS41" i="4" s="1"/>
  <c r="O43" i="4"/>
  <c r="Q44" i="4"/>
  <c r="AY44" i="4" s="1"/>
  <c r="BP44" i="4"/>
  <c r="K45" i="4"/>
  <c r="BJ45" i="4"/>
  <c r="AL47" i="4"/>
  <c r="BE48" i="4"/>
  <c r="AN50" i="4"/>
  <c r="AM50" i="4"/>
  <c r="BL50" i="4"/>
  <c r="AX54" i="4"/>
  <c r="O57" i="4"/>
  <c r="AV57" i="4"/>
  <c r="AT57" i="4"/>
  <c r="AH57" i="4"/>
  <c r="AG57" i="4"/>
  <c r="Q57" i="4"/>
  <c r="AD57" i="4" s="1"/>
  <c r="BK59" i="4"/>
  <c r="AK59" i="4"/>
  <c r="L33" i="4"/>
  <c r="L37" i="4"/>
  <c r="L41" i="4"/>
  <c r="L45" i="4"/>
  <c r="BE50" i="4"/>
  <c r="BD50" i="4"/>
  <c r="BC50" i="4"/>
  <c r="BP50" i="4"/>
  <c r="BH51" i="4"/>
  <c r="Z51" i="4"/>
  <c r="AC51" i="4" s="1"/>
  <c r="Y51" i="4"/>
  <c r="AH51" i="4"/>
  <c r="AX51" i="4"/>
  <c r="AI56" i="4"/>
  <c r="BJ56" i="4"/>
  <c r="AH56" i="4"/>
  <c r="J64" i="4"/>
  <c r="X64" i="4"/>
  <c r="K28" i="4"/>
  <c r="AF30" i="4"/>
  <c r="Q31" i="4"/>
  <c r="BG31" i="4" s="1"/>
  <c r="K32" i="4"/>
  <c r="BB32" i="4"/>
  <c r="BR32" i="4"/>
  <c r="BS32" i="4" s="1"/>
  <c r="E33" i="4"/>
  <c r="M33" i="4"/>
  <c r="N33" i="4" s="1"/>
  <c r="AF34" i="4"/>
  <c r="BP35" i="4"/>
  <c r="K36" i="4"/>
  <c r="BB36" i="4"/>
  <c r="E37" i="4"/>
  <c r="M37" i="4"/>
  <c r="N37" i="4" s="1"/>
  <c r="AF38" i="4"/>
  <c r="BP39" i="4"/>
  <c r="K40" i="4"/>
  <c r="BB40" i="4"/>
  <c r="BR40" i="4"/>
  <c r="BS40" i="4" s="1"/>
  <c r="E41" i="4"/>
  <c r="M41" i="4"/>
  <c r="N41" i="4" s="1"/>
  <c r="AF42" i="4"/>
  <c r="BP43" i="4"/>
  <c r="K44" i="4"/>
  <c r="BB44" i="4"/>
  <c r="E45" i="4"/>
  <c r="M45" i="4"/>
  <c r="N45" i="4" s="1"/>
  <c r="AF46" i="4"/>
  <c r="BB47" i="4"/>
  <c r="Q48" i="4"/>
  <c r="AY48" i="4" s="1"/>
  <c r="AX48" i="4"/>
  <c r="AO50" i="4"/>
  <c r="BB50" i="4"/>
  <c r="AL52" i="4"/>
  <c r="S52" i="4"/>
  <c r="BJ52" i="4"/>
  <c r="AF56" i="4"/>
  <c r="BF56" i="4"/>
  <c r="P57" i="4"/>
  <c r="AO62" i="4"/>
  <c r="BL62" i="4"/>
  <c r="AP62" i="4"/>
  <c r="AN62" i="4"/>
  <c r="AM62" i="4"/>
  <c r="AG30" i="4"/>
  <c r="L32" i="4"/>
  <c r="BC32" i="4"/>
  <c r="BF32" i="4" s="1"/>
  <c r="AV33" i="4"/>
  <c r="AG34" i="4"/>
  <c r="AJ34" i="4" s="1"/>
  <c r="L36" i="4"/>
  <c r="BC36" i="4"/>
  <c r="BF36" i="4" s="1"/>
  <c r="AG38" i="4"/>
  <c r="AJ38" i="4" s="1"/>
  <c r="L40" i="4"/>
  <c r="BC40" i="4"/>
  <c r="BF40" i="4" s="1"/>
  <c r="AG42" i="4"/>
  <c r="AJ42" i="4" s="1"/>
  <c r="L44" i="4"/>
  <c r="BC44" i="4"/>
  <c r="BF44" i="4" s="1"/>
  <c r="AG46" i="4"/>
  <c r="AJ46" i="4" s="1"/>
  <c r="AH47" i="4"/>
  <c r="AG47" i="4"/>
  <c r="AJ47" i="4" s="1"/>
  <c r="BC47" i="4"/>
  <c r="BF47" i="4" s="1"/>
  <c r="K48" i="4"/>
  <c r="J48" i="4"/>
  <c r="P48" i="4"/>
  <c r="R48" i="4" s="1"/>
  <c r="BO48" i="4"/>
  <c r="W51" i="4"/>
  <c r="AX53" i="4"/>
  <c r="L54" i="4"/>
  <c r="BF54" i="4"/>
  <c r="AG56" i="4"/>
  <c r="AJ56" i="4" s="1"/>
  <c r="AN57" i="4"/>
  <c r="AM57" i="4"/>
  <c r="AP57" i="4"/>
  <c r="AO57" i="4"/>
  <c r="E32" i="4"/>
  <c r="E36" i="4"/>
  <c r="E40" i="4"/>
  <c r="O41" i="4"/>
  <c r="E44" i="4"/>
  <c r="O45" i="4"/>
  <c r="Q47" i="4"/>
  <c r="AD47" i="4" s="1"/>
  <c r="P47" i="4"/>
  <c r="R47" i="4" s="1"/>
  <c r="AF47" i="4"/>
  <c r="BD47" i="4"/>
  <c r="E48" i="4"/>
  <c r="O48" i="4"/>
  <c r="AW48" i="4"/>
  <c r="O50" i="4"/>
  <c r="AV50" i="4"/>
  <c r="AT50" i="4"/>
  <c r="P50" i="4"/>
  <c r="X53" i="4"/>
  <c r="E53" i="4"/>
  <c r="BQ54" i="4"/>
  <c r="BG54" i="4"/>
  <c r="BB55" i="4"/>
  <c r="BP55" i="4"/>
  <c r="BE55" i="4"/>
  <c r="BD55" i="4"/>
  <c r="L50" i="4"/>
  <c r="BE53" i="4"/>
  <c r="BE54" i="4"/>
  <c r="J55" i="4"/>
  <c r="AA56" i="4"/>
  <c r="AT56" i="4"/>
  <c r="BE56" i="4"/>
  <c r="BP56" i="4"/>
  <c r="AB57" i="4"/>
  <c r="L58" i="4"/>
  <c r="AM59" i="4"/>
  <c r="AP59" i="4"/>
  <c r="BL59" i="4"/>
  <c r="AO59" i="4"/>
  <c r="AN59" i="4"/>
  <c r="AQ59" i="4" s="1"/>
  <c r="BT59" i="4"/>
  <c r="BU59" i="4" s="1"/>
  <c r="BR59" i="4"/>
  <c r="BS59" i="4" s="1"/>
  <c r="AQ60" i="4"/>
  <c r="AE63" i="4"/>
  <c r="K63" i="4"/>
  <c r="AB63" i="4"/>
  <c r="AA63" i="4"/>
  <c r="BH63" i="4"/>
  <c r="AE64" i="4"/>
  <c r="K64" i="4"/>
  <c r="AT66" i="4"/>
  <c r="BA66" i="4"/>
  <c r="Q66" i="4"/>
  <c r="S66" i="4"/>
  <c r="P66" i="4"/>
  <c r="O66" i="4"/>
  <c r="BP48" i="4"/>
  <c r="K49" i="4"/>
  <c r="BB49" i="4"/>
  <c r="E50" i="4"/>
  <c r="M50" i="4"/>
  <c r="N50" i="4" s="1"/>
  <c r="AF51" i="4"/>
  <c r="J52" i="4"/>
  <c r="J53" i="4"/>
  <c r="AV53" i="4"/>
  <c r="J54" i="4"/>
  <c r="AV54" i="4"/>
  <c r="M56" i="4"/>
  <c r="N56" i="4" s="1"/>
  <c r="E56" i="4"/>
  <c r="J56" i="4"/>
  <c r="O56" i="4"/>
  <c r="Y56" i="4"/>
  <c r="E58" i="4"/>
  <c r="M58" i="4"/>
  <c r="N58" i="4" s="1"/>
  <c r="AL63" i="4"/>
  <c r="S63" i="4"/>
  <c r="Y63" i="4"/>
  <c r="AH72" i="4"/>
  <c r="AG72" i="4"/>
  <c r="AF72" i="4"/>
  <c r="BJ72" i="4"/>
  <c r="AI72" i="4"/>
  <c r="L49" i="4"/>
  <c r="BC49" i="4"/>
  <c r="BF49" i="4" s="1"/>
  <c r="AG51" i="4"/>
  <c r="AJ51" i="4" s="1"/>
  <c r="K52" i="4"/>
  <c r="K54" i="4"/>
  <c r="AW54" i="4"/>
  <c r="K55" i="4"/>
  <c r="P55" i="4"/>
  <c r="R55" i="4" s="1"/>
  <c r="M55" i="4"/>
  <c r="N55" i="4" s="1"/>
  <c r="X55" i="4"/>
  <c r="AX55" i="4"/>
  <c r="P56" i="4"/>
  <c r="Z56" i="4"/>
  <c r="AC56" i="4" s="1"/>
  <c r="AV56" i="4"/>
  <c r="AF57" i="4"/>
  <c r="L59" i="4"/>
  <c r="Z63" i="4"/>
  <c r="AC63" i="4" s="1"/>
  <c r="AC71" i="4"/>
  <c r="K77" i="4"/>
  <c r="J77" i="4"/>
  <c r="AW77" i="4"/>
  <c r="L77" i="4"/>
  <c r="M77" i="4"/>
  <c r="N77" i="4" s="1"/>
  <c r="E49" i="4"/>
  <c r="L52" i="4"/>
  <c r="L53" i="4"/>
  <c r="AF53" i="4"/>
  <c r="Q56" i="4"/>
  <c r="AR56" i="4" s="1"/>
  <c r="AB56" i="4"/>
  <c r="AM56" i="4"/>
  <c r="AW56" i="4"/>
  <c r="BH56" i="4"/>
  <c r="BR57" i="4"/>
  <c r="BS57" i="4" s="1"/>
  <c r="AH58" i="4"/>
  <c r="AG58" i="4"/>
  <c r="AF58" i="4"/>
  <c r="BJ58" i="4"/>
  <c r="J62" i="4"/>
  <c r="E62" i="4"/>
  <c r="X62" i="4"/>
  <c r="AD71" i="4"/>
  <c r="BI71" i="4"/>
  <c r="E77" i="4"/>
  <c r="M52" i="4"/>
  <c r="N52" i="4" s="1"/>
  <c r="E52" i="4"/>
  <c r="AR55" i="4"/>
  <c r="BT55" i="4"/>
  <c r="BU55" i="4" s="1"/>
  <c r="S56" i="4"/>
  <c r="AN56" i="4"/>
  <c r="AQ56" i="4" s="1"/>
  <c r="BT57" i="4"/>
  <c r="BU57" i="4" s="1"/>
  <c r="AX58" i="4"/>
  <c r="K59" i="4"/>
  <c r="J59" i="4"/>
  <c r="P59" i="4"/>
  <c r="AW59" i="4"/>
  <c r="O59" i="4"/>
  <c r="BO60" i="4"/>
  <c r="AY60" i="4"/>
  <c r="AI61" i="4"/>
  <c r="AH61" i="4"/>
  <c r="AG61" i="4"/>
  <c r="AF61" i="4"/>
  <c r="BJ61" i="4"/>
  <c r="K62" i="4"/>
  <c r="AE62" i="4"/>
  <c r="AP66" i="4"/>
  <c r="AO66" i="4"/>
  <c r="AN66" i="4"/>
  <c r="AM66" i="4"/>
  <c r="BL66" i="4"/>
  <c r="R71" i="4"/>
  <c r="AX71" i="4"/>
  <c r="AJ71" i="4"/>
  <c r="AH80" i="4"/>
  <c r="AI80" i="4"/>
  <c r="AG80" i="4"/>
  <c r="AF80" i="4"/>
  <c r="BJ80" i="4"/>
  <c r="BL58" i="4"/>
  <c r="AI59" i="4"/>
  <c r="AA61" i="4"/>
  <c r="BH61" i="4"/>
  <c r="Z61" i="4"/>
  <c r="Y61" i="4"/>
  <c r="AY63" i="4"/>
  <c r="BT66" i="4"/>
  <c r="BU66" i="4" s="1"/>
  <c r="BR66" i="4"/>
  <c r="BS66" i="4" s="1"/>
  <c r="AY67" i="4"/>
  <c r="BO67" i="4"/>
  <c r="Q68" i="4"/>
  <c r="P68" i="4"/>
  <c r="R68" i="4" s="1"/>
  <c r="AN68" i="4"/>
  <c r="O68" i="4"/>
  <c r="AV68" i="4"/>
  <c r="AA68" i="4"/>
  <c r="S68" i="4"/>
  <c r="AT68" i="4"/>
  <c r="AX69" i="4"/>
  <c r="BC74" i="4"/>
  <c r="BF74" i="4" s="1"/>
  <c r="BB74" i="4"/>
  <c r="BP74" i="4"/>
  <c r="BE74" i="4"/>
  <c r="BD74" i="4"/>
  <c r="X76" i="4"/>
  <c r="J76" i="4"/>
  <c r="AJ76" i="4"/>
  <c r="BO78" i="4"/>
  <c r="AP83" i="4"/>
  <c r="AN83" i="4"/>
  <c r="AO83" i="4"/>
  <c r="AM83" i="4"/>
  <c r="BL83" i="4"/>
  <c r="J84" i="4"/>
  <c r="E84" i="4"/>
  <c r="X84" i="4"/>
  <c r="BC84" i="4"/>
  <c r="BF84" i="4" s="1"/>
  <c r="BP84" i="4"/>
  <c r="BB84" i="4"/>
  <c r="BE84" i="4"/>
  <c r="L57" i="4"/>
  <c r="AM58" i="4"/>
  <c r="BJ59" i="4"/>
  <c r="AM60" i="4"/>
  <c r="K61" i="4"/>
  <c r="AB61" i="4"/>
  <c r="BE63" i="4"/>
  <c r="BP63" i="4"/>
  <c r="BD63" i="4"/>
  <c r="BC63" i="4"/>
  <c r="BF63" i="4" s="1"/>
  <c r="BB63" i="4"/>
  <c r="W66" i="4"/>
  <c r="AP68" i="4"/>
  <c r="AW68" i="4"/>
  <c r="M68" i="4"/>
  <c r="N68" i="4" s="1"/>
  <c r="E68" i="4"/>
  <c r="J68" i="4"/>
  <c r="AX68" i="4"/>
  <c r="E70" i="4"/>
  <c r="J70" i="4"/>
  <c r="X70" i="4"/>
  <c r="BQ84" i="4"/>
  <c r="BG84" i="4"/>
  <c r="BA61" i="4"/>
  <c r="Q61" i="4"/>
  <c r="P61" i="4"/>
  <c r="R61" i="4" s="1"/>
  <c r="AV61" i="4"/>
  <c r="AT61" i="4"/>
  <c r="AX62" i="4"/>
  <c r="AI66" i="4"/>
  <c r="AH66" i="4"/>
  <c r="AF66" i="4"/>
  <c r="AA66" i="4"/>
  <c r="BH66" i="4"/>
  <c r="Z66" i="4"/>
  <c r="AB66" i="4"/>
  <c r="Y66" i="4"/>
  <c r="BJ66" i="4"/>
  <c r="BA68" i="4"/>
  <c r="BT69" i="4"/>
  <c r="BU69" i="4" s="1"/>
  <c r="AX70" i="4"/>
  <c r="BJ74" i="4"/>
  <c r="AH74" i="4"/>
  <c r="AI74" i="4"/>
  <c r="AG74" i="4"/>
  <c r="AJ74" i="4" s="1"/>
  <c r="AF74" i="4"/>
  <c r="AA78" i="4"/>
  <c r="Z78" i="4"/>
  <c r="AC78" i="4" s="1"/>
  <c r="Y78" i="4"/>
  <c r="BH78" i="4"/>
  <c r="AB78" i="4"/>
  <c r="BC80" i="4"/>
  <c r="BF80" i="4" s="1"/>
  <c r="BB80" i="4"/>
  <c r="BP80" i="4"/>
  <c r="BE80" i="4"/>
  <c r="BD80" i="4"/>
  <c r="Y82" i="4"/>
  <c r="Z82" i="4"/>
  <c r="BH82" i="4"/>
  <c r="AB82" i="4"/>
  <c r="AO58" i="4"/>
  <c r="AE60" i="4"/>
  <c r="BB60" i="4"/>
  <c r="M61" i="4"/>
  <c r="N61" i="4" s="1"/>
  <c r="BA65" i="4"/>
  <c r="P65" i="4"/>
  <c r="R65" i="4" s="1"/>
  <c r="O65" i="4"/>
  <c r="AV65" i="4"/>
  <c r="AH65" i="4"/>
  <c r="AT65" i="4"/>
  <c r="S65" i="4"/>
  <c r="Q65" i="4"/>
  <c r="AO65" i="4"/>
  <c r="AN65" i="4"/>
  <c r="AQ65" i="4" s="1"/>
  <c r="AP65" i="4"/>
  <c r="AG66" i="4"/>
  <c r="AJ66" i="4" s="1"/>
  <c r="AB69" i="4"/>
  <c r="AA69" i="4"/>
  <c r="BH69" i="4"/>
  <c r="Z69" i="4"/>
  <c r="Y69" i="4"/>
  <c r="AA73" i="4"/>
  <c r="BH73" i="4"/>
  <c r="Z73" i="4"/>
  <c r="AC73" i="4" s="1"/>
  <c r="AB73" i="4"/>
  <c r="Y73" i="4"/>
  <c r="BT73" i="4"/>
  <c r="BU73" i="4" s="1"/>
  <c r="AA82" i="4"/>
  <c r="AV59" i="4"/>
  <c r="BA59" i="4"/>
  <c r="W59" i="4"/>
  <c r="AF59" i="4"/>
  <c r="P60" i="4"/>
  <c r="AT60" i="4"/>
  <c r="BD60" i="4"/>
  <c r="BP60" i="4"/>
  <c r="E61" i="4"/>
  <c r="O61" i="4"/>
  <c r="AW61" i="4"/>
  <c r="J65" i="4"/>
  <c r="AW65" i="4"/>
  <c r="E65" i="4"/>
  <c r="AM65" i="4"/>
  <c r="AB68" i="4"/>
  <c r="Z72" i="4"/>
  <c r="Y72" i="4"/>
  <c r="BH72" i="4"/>
  <c r="AB72" i="4"/>
  <c r="AA72" i="4"/>
  <c r="P62" i="4"/>
  <c r="R62" i="4" s="1"/>
  <c r="J63" i="4"/>
  <c r="Q64" i="4"/>
  <c r="AT64" i="4"/>
  <c r="AC67" i="4"/>
  <c r="BO69" i="4"/>
  <c r="AH71" i="4"/>
  <c r="AP73" i="4"/>
  <c r="AN73" i="4"/>
  <c r="AQ73" i="4" s="1"/>
  <c r="AM73" i="4"/>
  <c r="BL73" i="4"/>
  <c r="M75" i="4"/>
  <c r="N75" i="4" s="1"/>
  <c r="E75" i="4"/>
  <c r="K75" i="4"/>
  <c r="O75" i="4"/>
  <c r="L75" i="4"/>
  <c r="AW75" i="4"/>
  <c r="J75" i="4"/>
  <c r="AO76" i="4"/>
  <c r="AN76" i="4"/>
  <c r="AQ76" i="4" s="1"/>
  <c r="AM76" i="4"/>
  <c r="BL76" i="4"/>
  <c r="AP76" i="4"/>
  <c r="AF79" i="4"/>
  <c r="AI79" i="4"/>
  <c r="AH79" i="4"/>
  <c r="BJ79" i="4"/>
  <c r="AG79" i="4"/>
  <c r="AJ79" i="4" s="1"/>
  <c r="AA65" i="4"/>
  <c r="Y65" i="4"/>
  <c r="AH68" i="4"/>
  <c r="AG68" i="4"/>
  <c r="AJ68" i="4" s="1"/>
  <c r="AF68" i="4"/>
  <c r="AL70" i="4"/>
  <c r="S70" i="4"/>
  <c r="BE71" i="4"/>
  <c r="BD71" i="4"/>
  <c r="BC71" i="4"/>
  <c r="BF71" i="4" s="1"/>
  <c r="BB71" i="4"/>
  <c r="BO72" i="4"/>
  <c r="AY72" i="4"/>
  <c r="BM81" i="4"/>
  <c r="BT81" i="4"/>
  <c r="BU81" i="4" s="1"/>
  <c r="BA62" i="4"/>
  <c r="L63" i="4"/>
  <c r="AT63" i="4"/>
  <c r="AO64" i="4"/>
  <c r="AI65" i="4"/>
  <c r="AG65" i="4"/>
  <c r="AJ65" i="4" s="1"/>
  <c r="AF65" i="4"/>
  <c r="BH65" i="4"/>
  <c r="AJ67" i="4"/>
  <c r="AX67" i="4"/>
  <c r="BT68" i="4"/>
  <c r="BU68" i="4" s="1"/>
  <c r="AO68" i="4"/>
  <c r="BJ69" i="4"/>
  <c r="AI69" i="4"/>
  <c r="AH69" i="4"/>
  <c r="AG69" i="4"/>
  <c r="AF69" i="4"/>
  <c r="AF71" i="4"/>
  <c r="BJ71" i="4"/>
  <c r="AI73" i="4"/>
  <c r="AH73" i="4"/>
  <c r="AF73" i="4"/>
  <c r="BJ73" i="4"/>
  <c r="AG73" i="4"/>
  <c r="AJ73" i="4" s="1"/>
  <c r="BJ75" i="4"/>
  <c r="AI75" i="4"/>
  <c r="AH75" i="4"/>
  <c r="AG75" i="4"/>
  <c r="AJ75" i="4" s="1"/>
  <c r="BL77" i="4"/>
  <c r="AP77" i="4"/>
  <c r="AO77" i="4"/>
  <c r="AN77" i="4"/>
  <c r="AQ77" i="4" s="1"/>
  <c r="S62" i="4"/>
  <c r="E63" i="4"/>
  <c r="M63" i="4"/>
  <c r="N63" i="4" s="1"/>
  <c r="P64" i="4"/>
  <c r="R64" i="4" s="1"/>
  <c r="AV64" i="4"/>
  <c r="AM64" i="4"/>
  <c r="BJ65" i="4"/>
  <c r="AF67" i="4"/>
  <c r="BJ67" i="4"/>
  <c r="AH67" i="4"/>
  <c r="BJ68" i="4"/>
  <c r="AY70" i="4"/>
  <c r="BO70" i="4"/>
  <c r="AL71" i="4"/>
  <c r="S71" i="4"/>
  <c r="Q72" i="4"/>
  <c r="P72" i="4"/>
  <c r="R72" i="4" s="1"/>
  <c r="O72" i="4"/>
  <c r="BA72" i="4"/>
  <c r="AM72" i="4"/>
  <c r="AO73" i="4"/>
  <c r="AD75" i="4"/>
  <c r="BI75" i="4"/>
  <c r="BE75" i="4"/>
  <c r="BD75" i="4"/>
  <c r="BB75" i="4"/>
  <c r="AX76" i="4"/>
  <c r="AM77" i="4"/>
  <c r="AN64" i="4"/>
  <c r="BA64" i="4"/>
  <c r="AL67" i="4"/>
  <c r="S67" i="4"/>
  <c r="AI67" i="4"/>
  <c r="BE67" i="4"/>
  <c r="BD67" i="4"/>
  <c r="BC67" i="4"/>
  <c r="BF67" i="4" s="1"/>
  <c r="BB67" i="4"/>
  <c r="K69" i="4"/>
  <c r="J69" i="4"/>
  <c r="AW69" i="4"/>
  <c r="AP69" i="4"/>
  <c r="AO69" i="4"/>
  <c r="AN69" i="4"/>
  <c r="AE70" i="4"/>
  <c r="AW72" i="4"/>
  <c r="M72" i="4"/>
  <c r="N72" i="4" s="1"/>
  <c r="E72" i="4"/>
  <c r="R73" i="4"/>
  <c r="AX73" i="4"/>
  <c r="X74" i="4"/>
  <c r="J74" i="4"/>
  <c r="AX74" i="4"/>
  <c r="BC75" i="4"/>
  <c r="BF75" i="4" s="1"/>
  <c r="K67" i="4"/>
  <c r="BR67" i="4"/>
  <c r="BS67" i="4" s="1"/>
  <c r="BL68" i="4"/>
  <c r="O69" i="4"/>
  <c r="Q70" i="4"/>
  <c r="K71" i="4"/>
  <c r="AB71" i="4"/>
  <c r="BR71" i="4"/>
  <c r="BS71" i="4" s="1"/>
  <c r="AO72" i="4"/>
  <c r="AN72" i="4"/>
  <c r="BL72" i="4"/>
  <c r="AL75" i="4"/>
  <c r="S75" i="4"/>
  <c r="BT76" i="4"/>
  <c r="BU76" i="4" s="1"/>
  <c r="BP76" i="4"/>
  <c r="BE76" i="4"/>
  <c r="BD76" i="4"/>
  <c r="AB77" i="4"/>
  <c r="AA77" i="4"/>
  <c r="Z77" i="4"/>
  <c r="BH77" i="4"/>
  <c r="Y77" i="4"/>
  <c r="BT77" i="4"/>
  <c r="BU77" i="4" s="1"/>
  <c r="K79" i="4"/>
  <c r="AN79" i="4"/>
  <c r="BL79" i="4"/>
  <c r="AP79" i="4"/>
  <c r="AT80" i="4"/>
  <c r="Q80" i="4"/>
  <c r="AR80" i="4" s="1"/>
  <c r="AV80" i="4"/>
  <c r="P80" i="4"/>
  <c r="O80" i="4"/>
  <c r="AM80" i="4"/>
  <c r="AT67" i="4"/>
  <c r="AM68" i="4"/>
  <c r="P69" i="4"/>
  <c r="R69" i="4" s="1"/>
  <c r="BA70" i="4"/>
  <c r="L71" i="4"/>
  <c r="AI78" i="4"/>
  <c r="BJ78" i="4"/>
  <c r="AH78" i="4"/>
  <c r="AG78" i="4"/>
  <c r="AJ78" i="4" s="1"/>
  <c r="AF78" i="4"/>
  <c r="O79" i="4"/>
  <c r="AT79" i="4"/>
  <c r="Q79" i="4"/>
  <c r="P79" i="4"/>
  <c r="BA79" i="4"/>
  <c r="AM79" i="4"/>
  <c r="AW80" i="4"/>
  <c r="M80" i="4"/>
  <c r="N80" i="4" s="1"/>
  <c r="E80" i="4"/>
  <c r="AQ80" i="4"/>
  <c r="BR83" i="4"/>
  <c r="BS83" i="4" s="1"/>
  <c r="BK84" i="4"/>
  <c r="AK84" i="4"/>
  <c r="Q69" i="4"/>
  <c r="AY69" i="4" s="1"/>
  <c r="E71" i="4"/>
  <c r="M71" i="4"/>
  <c r="N71" i="4" s="1"/>
  <c r="AP72" i="4"/>
  <c r="AY74" i="4"/>
  <c r="AB75" i="4"/>
  <c r="BF76" i="4"/>
  <c r="AW79" i="4"/>
  <c r="AB79" i="4"/>
  <c r="M79" i="4"/>
  <c r="N79" i="4" s="1"/>
  <c r="E79" i="4"/>
  <c r="AO79" i="4"/>
  <c r="BT79" i="4" s="1"/>
  <c r="BU79" i="4" s="1"/>
  <c r="Z80" i="4"/>
  <c r="AC80" i="4" s="1"/>
  <c r="BH80" i="4"/>
  <c r="AB80" i="4"/>
  <c r="AA80" i="4"/>
  <c r="Y80" i="4"/>
  <c r="BE81" i="4"/>
  <c r="BP81" i="4"/>
  <c r="BD81" i="4"/>
  <c r="P82" i="4"/>
  <c r="R82" i="4" s="1"/>
  <c r="O82" i="4"/>
  <c r="AN82" i="4"/>
  <c r="AV82" i="4"/>
  <c r="S82" i="4"/>
  <c r="BA82" i="4"/>
  <c r="AT82" i="4"/>
  <c r="AF82" i="4"/>
  <c r="Q82" i="4"/>
  <c r="AM82" i="4"/>
  <c r="J87" i="4"/>
  <c r="L87" i="4"/>
  <c r="AW87" i="4"/>
  <c r="M87" i="4"/>
  <c r="N87" i="4" s="1"/>
  <c r="K87" i="4"/>
  <c r="AP87" i="4"/>
  <c r="Y68" i="4"/>
  <c r="BA69" i="4"/>
  <c r="AV71" i="4"/>
  <c r="BA73" i="4"/>
  <c r="Q73" i="4"/>
  <c r="AY73" i="4" s="1"/>
  <c r="O73" i="4"/>
  <c r="W74" i="4"/>
  <c r="Y75" i="4"/>
  <c r="P76" i="4"/>
  <c r="R76" i="4" s="1"/>
  <c r="O76" i="4"/>
  <c r="AV76" i="4"/>
  <c r="AT78" i="4"/>
  <c r="Q78" i="4"/>
  <c r="AY78" i="4" s="1"/>
  <c r="BA78" i="4"/>
  <c r="P78" i="4"/>
  <c r="O78" i="4"/>
  <c r="AM78" i="4"/>
  <c r="AA79" i="4"/>
  <c r="W79" i="4"/>
  <c r="BR80" i="4"/>
  <c r="BS80" i="4" s="1"/>
  <c r="BT80" i="4"/>
  <c r="BU80" i="4" s="1"/>
  <c r="BB81" i="4"/>
  <c r="AI83" i="4"/>
  <c r="AG83" i="4"/>
  <c r="BJ83" i="4"/>
  <c r="AF83" i="4"/>
  <c r="AH83" i="4"/>
  <c r="BQ85" i="4"/>
  <c r="E87" i="4"/>
  <c r="Z68" i="4"/>
  <c r="AC68" i="4" s="1"/>
  <c r="J73" i="4"/>
  <c r="AW73" i="4"/>
  <c r="M73" i="4"/>
  <c r="N73" i="4" s="1"/>
  <c r="AL74" i="4"/>
  <c r="Z75" i="4"/>
  <c r="AC75" i="4" s="1"/>
  <c r="AW76" i="4"/>
  <c r="M76" i="4"/>
  <c r="N76" i="4" s="1"/>
  <c r="E76" i="4"/>
  <c r="Q76" i="4"/>
  <c r="AK76" i="4" s="1"/>
  <c r="BJ77" i="4"/>
  <c r="AI77" i="4"/>
  <c r="AH77" i="4"/>
  <c r="AG77" i="4"/>
  <c r="AF77" i="4"/>
  <c r="BR79" i="4"/>
  <c r="BS79" i="4" s="1"/>
  <c r="AV79" i="4"/>
  <c r="BC81" i="4"/>
  <c r="P86" i="4"/>
  <c r="R86" i="4" s="1"/>
  <c r="O86" i="4"/>
  <c r="BA86" i="4"/>
  <c r="AV86" i="4"/>
  <c r="S86" i="4"/>
  <c r="AT86" i="4"/>
  <c r="Q86" i="4"/>
  <c r="AN86" i="4"/>
  <c r="Q74" i="4"/>
  <c r="BR75" i="4"/>
  <c r="BS75" i="4" s="1"/>
  <c r="O77" i="4"/>
  <c r="M78" i="4"/>
  <c r="N78" i="4" s="1"/>
  <c r="E78" i="4"/>
  <c r="AO78" i="4"/>
  <c r="AP80" i="4"/>
  <c r="AV81" i="4"/>
  <c r="AT81" i="4"/>
  <c r="Q81" i="4"/>
  <c r="AD81" i="4" s="1"/>
  <c r="K81" i="4"/>
  <c r="AG81" i="4"/>
  <c r="K83" i="4"/>
  <c r="Y83" i="4"/>
  <c r="AM85" i="4"/>
  <c r="AP85" i="4"/>
  <c r="AO85" i="4"/>
  <c r="BT85" i="4" s="1"/>
  <c r="BU85" i="4" s="1"/>
  <c r="AN85" i="4"/>
  <c r="AQ85" i="4" s="1"/>
  <c r="M86" i="4"/>
  <c r="N86" i="4" s="1"/>
  <c r="E86" i="4"/>
  <c r="J86" i="4"/>
  <c r="W86" i="4"/>
  <c r="AI87" i="4"/>
  <c r="AH87" i="4"/>
  <c r="BM87" i="4"/>
  <c r="AR87" i="4"/>
  <c r="BJ87" i="4"/>
  <c r="BC88" i="4"/>
  <c r="BE88" i="4"/>
  <c r="BD88" i="4"/>
  <c r="BB88" i="4"/>
  <c r="BP88" i="4"/>
  <c r="P77" i="4"/>
  <c r="R77" i="4" s="1"/>
  <c r="Y79" i="4"/>
  <c r="L81" i="4"/>
  <c r="AH81" i="4"/>
  <c r="BH81" i="4"/>
  <c r="BR81" i="4"/>
  <c r="BS81" i="4" s="1"/>
  <c r="AL84" i="4"/>
  <c r="S84" i="4"/>
  <c r="BJ85" i="4"/>
  <c r="AG85" i="4"/>
  <c r="AJ85" i="4" s="1"/>
  <c r="AF85" i="4"/>
  <c r="AH85" i="4"/>
  <c r="Y86" i="4"/>
  <c r="Z86" i="4"/>
  <c r="AA86" i="4"/>
  <c r="BT86" i="4"/>
  <c r="BU86" i="4" s="1"/>
  <c r="BR86" i="4"/>
  <c r="BS86" i="4" s="1"/>
  <c r="AI89" i="4"/>
  <c r="AH89" i="4"/>
  <c r="AG89" i="4"/>
  <c r="BJ89" i="4"/>
  <c r="AF89" i="4"/>
  <c r="K74" i="4"/>
  <c r="AF76" i="4"/>
  <c r="Q77" i="4"/>
  <c r="AY77" i="4" s="1"/>
  <c r="Z79" i="4"/>
  <c r="E81" i="4"/>
  <c r="M81" i="4"/>
  <c r="N81" i="4" s="1"/>
  <c r="Y81" i="4"/>
  <c r="AI81" i="4"/>
  <c r="AG82" i="4"/>
  <c r="AI82" i="4"/>
  <c r="AH82" i="4"/>
  <c r="BE83" i="4"/>
  <c r="AB86" i="4"/>
  <c r="AW86" i="4"/>
  <c r="AA87" i="4"/>
  <c r="AB87" i="4"/>
  <c r="Z87" i="4"/>
  <c r="Y87" i="4"/>
  <c r="BH87" i="4"/>
  <c r="J88" i="4"/>
  <c r="E88" i="4"/>
  <c r="AM89" i="4"/>
  <c r="BL89" i="4"/>
  <c r="AN89" i="4"/>
  <c r="AP89" i="4"/>
  <c r="AO89" i="4"/>
  <c r="BT89" i="4" s="1"/>
  <c r="BU89" i="4" s="1"/>
  <c r="BA77" i="4"/>
  <c r="O81" i="4"/>
  <c r="Z81" i="4"/>
  <c r="AC81" i="4" s="1"/>
  <c r="BR82" i="4"/>
  <c r="BS82" i="4" s="1"/>
  <c r="J83" i="4"/>
  <c r="E83" i="4"/>
  <c r="L83" i="4"/>
  <c r="P83" i="4"/>
  <c r="AX85" i="4"/>
  <c r="AI88" i="4"/>
  <c r="AH88" i="4"/>
  <c r="AF88" i="4"/>
  <c r="X88" i="4"/>
  <c r="P81" i="4"/>
  <c r="AB81" i="4"/>
  <c r="AA83" i="4"/>
  <c r="AB83" i="4"/>
  <c r="BH83" i="4"/>
  <c r="AG86" i="4"/>
  <c r="AI86" i="4"/>
  <c r="AH86" i="4"/>
  <c r="BJ86" i="4"/>
  <c r="AF86" i="4"/>
  <c r="BE87" i="4"/>
  <c r="AF87" i="4"/>
  <c r="BL88" i="4"/>
  <c r="AO88" i="4"/>
  <c r="AN88" i="4"/>
  <c r="AM88" i="4"/>
  <c r="AG88" i="4"/>
  <c r="J82" i="4"/>
  <c r="AO82" i="4"/>
  <c r="W84" i="4"/>
  <c r="AF84" i="4"/>
  <c r="O85" i="4"/>
  <c r="Y85" i="4"/>
  <c r="BB85" i="4"/>
  <c r="K88" i="4"/>
  <c r="L89" i="4"/>
  <c r="E89" i="4"/>
  <c r="M89" i="4"/>
  <c r="N89" i="4" s="1"/>
  <c r="BE89" i="4"/>
  <c r="BD89" i="4"/>
  <c r="P84" i="4"/>
  <c r="R84" i="4" s="1"/>
  <c r="Q85" i="4"/>
  <c r="AY85" i="4" s="1"/>
  <c r="AA85" i="4"/>
  <c r="BR85" i="4" s="1"/>
  <c r="BS85" i="4" s="1"/>
  <c r="AO86" i="4"/>
  <c r="AN87" i="4"/>
  <c r="O89" i="4"/>
  <c r="P89" i="4"/>
  <c r="Z89" i="4"/>
  <c r="BC89" i="4"/>
  <c r="P88" i="4"/>
  <c r="Q89" i="4"/>
  <c r="AY89" i="4" s="1"/>
  <c r="AA89" i="4"/>
  <c r="AT89" i="4"/>
  <c r="BP89" i="4"/>
  <c r="BL82" i="4"/>
  <c r="Q83" i="4"/>
  <c r="AV84" i="4"/>
  <c r="K85" i="4"/>
  <c r="W85" i="4"/>
  <c r="AP86" i="4"/>
  <c r="O87" i="4"/>
  <c r="BC87" i="4"/>
  <c r="Q88" i="4"/>
  <c r="AB89" i="4"/>
  <c r="L85" i="4"/>
  <c r="P87" i="4"/>
  <c r="AT87" i="4"/>
  <c r="BD87" i="4"/>
  <c r="J89" i="4"/>
  <c r="S89" i="4"/>
  <c r="AW89" i="4"/>
  <c r="BR89" i="4"/>
  <c r="BS89" i="4" s="1"/>
  <c r="E85" i="4"/>
  <c r="BE85" i="4"/>
  <c r="BL86" i="4"/>
  <c r="Q87" i="4"/>
  <c r="AY87" i="4" s="1"/>
  <c r="S88" i="4"/>
  <c r="AV88" i="4"/>
  <c r="W89" i="4"/>
  <c r="R88" i="4" l="1"/>
  <c r="AX88" i="4"/>
  <c r="BK80" i="4"/>
  <c r="AK80" i="4"/>
  <c r="R57" i="4"/>
  <c r="AX57" i="4"/>
  <c r="BK57" i="4"/>
  <c r="AK57" i="4"/>
  <c r="AR43" i="4"/>
  <c r="BT43" i="4"/>
  <c r="BU43" i="4" s="1"/>
  <c r="BM43" i="4"/>
  <c r="AN33" i="4"/>
  <c r="AQ33" i="4" s="1"/>
  <c r="AM33" i="4"/>
  <c r="BL33" i="4"/>
  <c r="AP33" i="4"/>
  <c r="AO33" i="4"/>
  <c r="BM30" i="4"/>
  <c r="AR30" i="4"/>
  <c r="AY34" i="4"/>
  <c r="BO34" i="4"/>
  <c r="BL27" i="4"/>
  <c r="AP27" i="4"/>
  <c r="AM27" i="4"/>
  <c r="AN27" i="4"/>
  <c r="AQ27" i="4" s="1"/>
  <c r="AO27" i="4"/>
  <c r="BK20" i="4"/>
  <c r="AK20" i="4"/>
  <c r="D9" i="6"/>
  <c r="BP18" i="4"/>
  <c r="BE18" i="4"/>
  <c r="BD18" i="4"/>
  <c r="BC18" i="4"/>
  <c r="BF18" i="4" s="1"/>
  <c r="BB18" i="4"/>
  <c r="AB15" i="4"/>
  <c r="AA15" i="4"/>
  <c r="Y15" i="4"/>
  <c r="Z15" i="4"/>
  <c r="AC15" i="4" s="1"/>
  <c r="BH15" i="4"/>
  <c r="BL32" i="4"/>
  <c r="AP32" i="4"/>
  <c r="AN32" i="4"/>
  <c r="AQ32" i="4" s="1"/>
  <c r="AM32" i="4"/>
  <c r="AO32" i="4"/>
  <c r="AK9" i="4"/>
  <c r="BK9" i="4"/>
  <c r="BG3" i="4"/>
  <c r="BQ3" i="4"/>
  <c r="AY14" i="4"/>
  <c r="BO14" i="4"/>
  <c r="BI7" i="4"/>
  <c r="BR7" i="4"/>
  <c r="BS7" i="4" s="1"/>
  <c r="AD7" i="4"/>
  <c r="BK50" i="4"/>
  <c r="AK50" i="4"/>
  <c r="AX86" i="4"/>
  <c r="BF88" i="4"/>
  <c r="BK78" i="4"/>
  <c r="AK78" i="4"/>
  <c r="AQ69" i="4"/>
  <c r="BQ67" i="4"/>
  <c r="BG67" i="4"/>
  <c r="BP72" i="4"/>
  <c r="BD72" i="4"/>
  <c r="BC72" i="4"/>
  <c r="BF72" i="4" s="1"/>
  <c r="BB72" i="4"/>
  <c r="BE72" i="4"/>
  <c r="R60" i="4"/>
  <c r="BF60" i="4"/>
  <c r="BI69" i="4"/>
  <c r="AD69" i="4"/>
  <c r="AD78" i="4"/>
  <c r="BR78" i="4"/>
  <c r="BS78" i="4" s="1"/>
  <c r="BI78" i="4"/>
  <c r="BI66" i="4"/>
  <c r="AD66" i="4"/>
  <c r="BG63" i="4"/>
  <c r="BQ63" i="4"/>
  <c r="BI61" i="4"/>
  <c r="AD61" i="4"/>
  <c r="BR61" i="4"/>
  <c r="BS61" i="4" s="1"/>
  <c r="AJ58" i="4"/>
  <c r="AJ72" i="4"/>
  <c r="Y64" i="4"/>
  <c r="BH64" i="4"/>
  <c r="AB64" i="4"/>
  <c r="AA64" i="4"/>
  <c r="Z64" i="4"/>
  <c r="AC64" i="4" s="1"/>
  <c r="AP47" i="4"/>
  <c r="AO47" i="4"/>
  <c r="AN47" i="4"/>
  <c r="AQ47" i="4" s="1"/>
  <c r="BL47" i="4"/>
  <c r="AM47" i="4"/>
  <c r="BI59" i="4"/>
  <c r="AD59" i="4"/>
  <c r="AX46" i="4"/>
  <c r="R46" i="4"/>
  <c r="BI43" i="4"/>
  <c r="AD43" i="4"/>
  <c r="BK33" i="4"/>
  <c r="AK33" i="4"/>
  <c r="BK48" i="4"/>
  <c r="AK48" i="4"/>
  <c r="AQ39" i="4"/>
  <c r="BG48" i="4"/>
  <c r="AC58" i="4"/>
  <c r="AD50" i="4"/>
  <c r="BR50" i="4"/>
  <c r="BS50" i="4" s="1"/>
  <c r="BI50" i="4"/>
  <c r="BM46" i="4"/>
  <c r="AR46" i="4"/>
  <c r="AJ43" i="4"/>
  <c r="AP54" i="4"/>
  <c r="AO54" i="4"/>
  <c r="AN54" i="4"/>
  <c r="AQ54" i="4" s="1"/>
  <c r="AM54" i="4"/>
  <c r="BL54" i="4"/>
  <c r="AD30" i="4"/>
  <c r="BR30" i="4"/>
  <c r="BS30" i="4" s="1"/>
  <c r="BI30" i="4"/>
  <c r="AJ26" i="4"/>
  <c r="BC19" i="4"/>
  <c r="BF19" i="4" s="1"/>
  <c r="BB19" i="4"/>
  <c r="BP19" i="4"/>
  <c r="BE19" i="4"/>
  <c r="BD19" i="4"/>
  <c r="AR31" i="4"/>
  <c r="BM31" i="4"/>
  <c r="BT31" i="4"/>
  <c r="BU31" i="4" s="1"/>
  <c r="BE16" i="4"/>
  <c r="BD16" i="4"/>
  <c r="BC16" i="4"/>
  <c r="BF16" i="4" s="1"/>
  <c r="BP16" i="4"/>
  <c r="BB16" i="4"/>
  <c r="BP42" i="4"/>
  <c r="BE42" i="4"/>
  <c r="BD42" i="4"/>
  <c r="BC42" i="4"/>
  <c r="BF42" i="4" s="1"/>
  <c r="BB42" i="4"/>
  <c r="C21" i="5"/>
  <c r="E15" i="5"/>
  <c r="G15" i="5"/>
  <c r="F15" i="5"/>
  <c r="BM14" i="4"/>
  <c r="AR14" i="4"/>
  <c r="BK5" i="4"/>
  <c r="AK5" i="4"/>
  <c r="BK8" i="4"/>
  <c r="AK8" i="4"/>
  <c r="BF48" i="4"/>
  <c r="F21" i="5"/>
  <c r="R14" i="4"/>
  <c r="AX14" i="4"/>
  <c r="AK18" i="4"/>
  <c r="BK18" i="4"/>
  <c r="AB35" i="4"/>
  <c r="AA35" i="4"/>
  <c r="BH35" i="4"/>
  <c r="Z35" i="4"/>
  <c r="AC35" i="4" s="1"/>
  <c r="Y35" i="4"/>
  <c r="AD22" i="4"/>
  <c r="BI22" i="4"/>
  <c r="BE20" i="4"/>
  <c r="BD20" i="4"/>
  <c r="BC20" i="4"/>
  <c r="BF20" i="4" s="1"/>
  <c r="BP20" i="4"/>
  <c r="BB20" i="4"/>
  <c r="G22" i="5"/>
  <c r="F22" i="5"/>
  <c r="E22" i="5"/>
  <c r="BK16" i="4"/>
  <c r="AK16" i="4"/>
  <c r="BF39" i="4"/>
  <c r="AR19" i="4"/>
  <c r="BM19" i="4"/>
  <c r="BT19" i="4"/>
  <c r="BU19" i="4" s="1"/>
  <c r="AJ50" i="4"/>
  <c r="BG24" i="4"/>
  <c r="BQ24" i="4"/>
  <c r="AD20" i="4"/>
  <c r="BI20" i="4"/>
  <c r="BR20" i="4"/>
  <c r="BS20" i="4" s="1"/>
  <c r="AD34" i="4"/>
  <c r="BI34" i="4"/>
  <c r="BR34" i="4"/>
  <c r="BS34" i="4" s="1"/>
  <c r="AQ14" i="4"/>
  <c r="AD72" i="4"/>
  <c r="BI72" i="4"/>
  <c r="BR72" i="4"/>
  <c r="BS72" i="4" s="1"/>
  <c r="BQ80" i="4"/>
  <c r="BG80" i="4"/>
  <c r="AY56" i="4"/>
  <c r="BO56" i="4"/>
  <c r="AY53" i="4"/>
  <c r="BO53" i="4"/>
  <c r="AQ61" i="4"/>
  <c r="BQ52" i="4"/>
  <c r="BG52" i="4"/>
  <c r="AD38" i="4"/>
  <c r="BR38" i="4"/>
  <c r="BS38" i="4" s="1"/>
  <c r="BI38" i="4"/>
  <c r="AX30" i="4"/>
  <c r="AC57" i="4"/>
  <c r="BM42" i="4"/>
  <c r="AR42" i="4"/>
  <c r="BK42" i="4"/>
  <c r="AK42" i="4"/>
  <c r="AY38" i="4"/>
  <c r="BO38" i="4"/>
  <c r="BO25" i="4"/>
  <c r="AY25" i="4"/>
  <c r="B21" i="5"/>
  <c r="BM10" i="4"/>
  <c r="AR10" i="4"/>
  <c r="BO84" i="4"/>
  <c r="AY84" i="4"/>
  <c r="BF89" i="4"/>
  <c r="AJ88" i="4"/>
  <c r="AX81" i="4"/>
  <c r="R81" i="4"/>
  <c r="AC87" i="4"/>
  <c r="BK81" i="4"/>
  <c r="AK81" i="4"/>
  <c r="R78" i="4"/>
  <c r="AX78" i="4"/>
  <c r="BG83" i="4"/>
  <c r="AY83" i="4"/>
  <c r="AC89" i="4"/>
  <c r="BQ89" i="4"/>
  <c r="BG89" i="4"/>
  <c r="BK86" i="4"/>
  <c r="AK86" i="4"/>
  <c r="AB88" i="4"/>
  <c r="AA88" i="4"/>
  <c r="Z88" i="4"/>
  <c r="AC88" i="4" s="1"/>
  <c r="Y88" i="4"/>
  <c r="BH88" i="4"/>
  <c r="AQ89" i="4"/>
  <c r="AJ82" i="4"/>
  <c r="AJ81" i="4"/>
  <c r="BO86" i="4"/>
  <c r="AY86" i="4"/>
  <c r="AQ78" i="4"/>
  <c r="BD78" i="4"/>
  <c r="BC78" i="4"/>
  <c r="BF78" i="4" s="1"/>
  <c r="BB78" i="4"/>
  <c r="BE78" i="4"/>
  <c r="BP78" i="4"/>
  <c r="BG81" i="4"/>
  <c r="BQ81" i="4"/>
  <c r="BE79" i="4"/>
  <c r="BD79" i="4"/>
  <c r="BC79" i="4"/>
  <c r="BF79" i="4" s="1"/>
  <c r="BB79" i="4"/>
  <c r="BP79" i="4"/>
  <c r="AC77" i="4"/>
  <c r="AM75" i="4"/>
  <c r="BL75" i="4"/>
  <c r="AN75" i="4"/>
  <c r="AQ75" i="4" s="1"/>
  <c r="AP75" i="4"/>
  <c r="AO75" i="4"/>
  <c r="AB74" i="4"/>
  <c r="BH74" i="4"/>
  <c r="Z74" i="4"/>
  <c r="AC74" i="4" s="1"/>
  <c r="AA74" i="4"/>
  <c r="Y74" i="4"/>
  <c r="AR69" i="4"/>
  <c r="BM69" i="4"/>
  <c r="BK67" i="4"/>
  <c r="AK67" i="4"/>
  <c r="BK75" i="4"/>
  <c r="AK75" i="4"/>
  <c r="BM68" i="4"/>
  <c r="AR68" i="4"/>
  <c r="BM64" i="4"/>
  <c r="BT64" i="4"/>
  <c r="BU64" i="4" s="1"/>
  <c r="AR64" i="4"/>
  <c r="AK79" i="4"/>
  <c r="BK79" i="4"/>
  <c r="BM76" i="4"/>
  <c r="AR76" i="4"/>
  <c r="BK65" i="4"/>
  <c r="AK65" i="4"/>
  <c r="AG60" i="4"/>
  <c r="AJ60" i="4" s="1"/>
  <c r="AF60" i="4"/>
  <c r="BJ60" i="4"/>
  <c r="AH60" i="4"/>
  <c r="F8" i="6" s="1"/>
  <c r="AI60" i="4"/>
  <c r="BR69" i="4"/>
  <c r="BS69" i="4" s="1"/>
  <c r="BP61" i="4"/>
  <c r="BE61" i="4"/>
  <c r="BD61" i="4"/>
  <c r="BC61" i="4"/>
  <c r="BF61" i="4" s="1"/>
  <c r="BB61" i="4"/>
  <c r="Y76" i="4"/>
  <c r="BH76" i="4"/>
  <c r="AB76" i="4"/>
  <c r="AA76" i="4"/>
  <c r="Z76" i="4"/>
  <c r="AC76" i="4" s="1"/>
  <c r="BJ62" i="4"/>
  <c r="AI62" i="4"/>
  <c r="AG62" i="4"/>
  <c r="AJ62" i="4" s="1"/>
  <c r="AF62" i="4"/>
  <c r="AH62" i="4"/>
  <c r="BK58" i="4"/>
  <c r="AK58" i="4"/>
  <c r="R56" i="4"/>
  <c r="AX56" i="4"/>
  <c r="BK72" i="4"/>
  <c r="AK72" i="4"/>
  <c r="AG64" i="4"/>
  <c r="AJ64" i="4" s="1"/>
  <c r="BJ64" i="4"/>
  <c r="AI64" i="4"/>
  <c r="AH64" i="4"/>
  <c r="AF64" i="4"/>
  <c r="BH53" i="4"/>
  <c r="AB53" i="4"/>
  <c r="AA53" i="4"/>
  <c r="Z53" i="4"/>
  <c r="AC53" i="4" s="1"/>
  <c r="Y53" i="4"/>
  <c r="BG47" i="4"/>
  <c r="BQ47" i="4"/>
  <c r="AJ30" i="4"/>
  <c r="BO57" i="4"/>
  <c r="AY57" i="4"/>
  <c r="BL49" i="4"/>
  <c r="AP49" i="4"/>
  <c r="AO49" i="4"/>
  <c r="AN49" i="4"/>
  <c r="AQ49" i="4" s="1"/>
  <c r="AM49" i="4"/>
  <c r="AD52" i="4"/>
  <c r="BI52" i="4"/>
  <c r="BR52" i="4"/>
  <c r="BS52" i="4" s="1"/>
  <c r="AR39" i="4"/>
  <c r="BM39" i="4"/>
  <c r="AK55" i="4"/>
  <c r="BK55" i="4"/>
  <c r="BG45" i="4"/>
  <c r="BQ45" i="4"/>
  <c r="AK35" i="4"/>
  <c r="BK35" i="4"/>
  <c r="BI54" i="4"/>
  <c r="AD54" i="4"/>
  <c r="AY51" i="4"/>
  <c r="BO51" i="4"/>
  <c r="BK43" i="4"/>
  <c r="AK43" i="4"/>
  <c r="AX34" i="4"/>
  <c r="R34" i="4"/>
  <c r="AK31" i="4"/>
  <c r="BK31" i="4"/>
  <c r="BP58" i="4"/>
  <c r="BE58" i="4"/>
  <c r="BD58" i="4"/>
  <c r="BC58" i="4"/>
  <c r="BF58" i="4" s="1"/>
  <c r="BB58" i="4"/>
  <c r="BK26" i="4"/>
  <c r="AK26" i="4"/>
  <c r="BG44" i="4"/>
  <c r="AC39" i="4"/>
  <c r="AX38" i="4"/>
  <c r="R38" i="4"/>
  <c r="BK25" i="4"/>
  <c r="AK25" i="4"/>
  <c r="AN23" i="4"/>
  <c r="AQ23" i="4" s="1"/>
  <c r="AM23" i="4"/>
  <c r="BL23" i="4"/>
  <c r="AP23" i="4"/>
  <c r="AO23" i="4"/>
  <c r="D21" i="5"/>
  <c r="B24" i="5"/>
  <c r="AB19" i="4"/>
  <c r="AA19" i="4"/>
  <c r="Y19" i="4"/>
  <c r="Z19" i="4"/>
  <c r="AC19" i="4" s="1"/>
  <c r="BH19" i="4"/>
  <c r="D8" i="6"/>
  <c r="G21" i="5"/>
  <c r="R12" i="4"/>
  <c r="AX12" i="4"/>
  <c r="BM17" i="4"/>
  <c r="AR17" i="4"/>
  <c r="F6" i="6"/>
  <c r="AQ26" i="4"/>
  <c r="BF23" i="4"/>
  <c r="AD9" i="4"/>
  <c r="BR4" i="4"/>
  <c r="BS4" i="4" s="1"/>
  <c r="BI4" i="4"/>
  <c r="AD4" i="4"/>
  <c r="BK27" i="4"/>
  <c r="AK27" i="4"/>
  <c r="AY16" i="4"/>
  <c r="BO16" i="4"/>
  <c r="C24" i="5"/>
  <c r="E19" i="5"/>
  <c r="G19" i="5"/>
  <c r="F19" i="5"/>
  <c r="AD16" i="4"/>
  <c r="BI16" i="4"/>
  <c r="BR16" i="4"/>
  <c r="BS16" i="4" s="1"/>
  <c r="BP14" i="4"/>
  <c r="BE14" i="4"/>
  <c r="BD14" i="4"/>
  <c r="BC14" i="4"/>
  <c r="BF14" i="4" s="1"/>
  <c r="BB14" i="4"/>
  <c r="AY20" i="4"/>
  <c r="BO20" i="4"/>
  <c r="AC47" i="4"/>
  <c r="BF38" i="4"/>
  <c r="BM26" i="4"/>
  <c r="AR26" i="4"/>
  <c r="BG4" i="4"/>
  <c r="BQ4" i="4"/>
  <c r="BQ23" i="4"/>
  <c r="BG23" i="4"/>
  <c r="AB11" i="4"/>
  <c r="AA11" i="4"/>
  <c r="Y11" i="4"/>
  <c r="BH11" i="4"/>
  <c r="Z11" i="4"/>
  <c r="AC11" i="4" s="1"/>
  <c r="AC34" i="4"/>
  <c r="AC5" i="4"/>
  <c r="BQ5" i="4"/>
  <c r="BG5" i="4"/>
  <c r="BI6" i="4"/>
  <c r="AD6" i="4"/>
  <c r="BR6" i="4"/>
  <c r="BS6" i="4" s="1"/>
  <c r="AK6" i="4"/>
  <c r="BK6" i="4"/>
  <c r="R87" i="4"/>
  <c r="AX87" i="4"/>
  <c r="R83" i="4"/>
  <c r="AX83" i="4"/>
  <c r="BD70" i="4"/>
  <c r="BC70" i="4"/>
  <c r="BF70" i="4" s="1"/>
  <c r="BB70" i="4"/>
  <c r="BP70" i="4"/>
  <c r="BE70" i="4"/>
  <c r="AK73" i="4"/>
  <c r="BK73" i="4"/>
  <c r="AQ88" i="4"/>
  <c r="AD86" i="4"/>
  <c r="BI86" i="4"/>
  <c r="BM79" i="4"/>
  <c r="AR79" i="4"/>
  <c r="R79" i="4"/>
  <c r="AX79" i="4"/>
  <c r="BM58" i="4"/>
  <c r="AR58" i="4"/>
  <c r="BK66" i="4"/>
  <c r="AK66" i="4"/>
  <c r="BG74" i="4"/>
  <c r="BQ74" i="4"/>
  <c r="BK56" i="4"/>
  <c r="AK56" i="4"/>
  <c r="BM61" i="4"/>
  <c r="AR61" i="4"/>
  <c r="BT61" i="4"/>
  <c r="BU61" i="4" s="1"/>
  <c r="AR35" i="4"/>
  <c r="BM35" i="4"/>
  <c r="AN53" i="4"/>
  <c r="AQ53" i="4" s="1"/>
  <c r="AP53" i="4"/>
  <c r="AO53" i="4"/>
  <c r="AM53" i="4"/>
  <c r="BL53" i="4"/>
  <c r="AN29" i="4"/>
  <c r="AQ29" i="4" s="1"/>
  <c r="AM29" i="4"/>
  <c r="BL29" i="4"/>
  <c r="AO29" i="4"/>
  <c r="AP29" i="4"/>
  <c r="AD46" i="4"/>
  <c r="BR46" i="4"/>
  <c r="BS46" i="4" s="1"/>
  <c r="BI46" i="4"/>
  <c r="AN37" i="4"/>
  <c r="AQ37" i="4" s="1"/>
  <c r="AM37" i="4"/>
  <c r="BL37" i="4"/>
  <c r="AO37" i="4"/>
  <c r="AP37" i="4"/>
  <c r="AQ58" i="4"/>
  <c r="BK36" i="4"/>
  <c r="AK36" i="4"/>
  <c r="BI27" i="4"/>
  <c r="AD27" i="4"/>
  <c r="BO88" i="4"/>
  <c r="AY88" i="4"/>
  <c r="BF87" i="4"/>
  <c r="BM88" i="4"/>
  <c r="AR88" i="4"/>
  <c r="BT88" i="4"/>
  <c r="BU88" i="4" s="1"/>
  <c r="AJ86" i="4"/>
  <c r="BK88" i="4"/>
  <c r="AK88" i="4"/>
  <c r="AC86" i="4"/>
  <c r="AJ77" i="4"/>
  <c r="BP73" i="4"/>
  <c r="BC73" i="4"/>
  <c r="BF73" i="4" s="1"/>
  <c r="BB73" i="4"/>
  <c r="BE73" i="4"/>
  <c r="BD73" i="4"/>
  <c r="BC82" i="4"/>
  <c r="BF82" i="4" s="1"/>
  <c r="BP82" i="4"/>
  <c r="BE82" i="4"/>
  <c r="BB82" i="4"/>
  <c r="BD82" i="4"/>
  <c r="AX77" i="4"/>
  <c r="AQ79" i="4"/>
  <c r="AQ72" i="4"/>
  <c r="AC72" i="4"/>
  <c r="BE59" i="4"/>
  <c r="BC59" i="4"/>
  <c r="BF59" i="4" s="1"/>
  <c r="BB59" i="4"/>
  <c r="BD59" i="4"/>
  <c r="BP59" i="4"/>
  <c r="AQ83" i="4"/>
  <c r="AY68" i="4"/>
  <c r="BO68" i="4"/>
  <c r="AB55" i="4"/>
  <c r="Y55" i="4"/>
  <c r="AA55" i="4"/>
  <c r="BH55" i="4"/>
  <c r="Z55" i="4"/>
  <c r="AC55" i="4" s="1"/>
  <c r="R66" i="4"/>
  <c r="AX66" i="4"/>
  <c r="AD63" i="4"/>
  <c r="BI63" i="4"/>
  <c r="BR63" i="4"/>
  <c r="BS63" i="4" s="1"/>
  <c r="BM59" i="4"/>
  <c r="AR59" i="4"/>
  <c r="BM57" i="4"/>
  <c r="AR57" i="4"/>
  <c r="BK47" i="4"/>
  <c r="AK47" i="4"/>
  <c r="AQ62" i="4"/>
  <c r="BF50" i="4"/>
  <c r="AX47" i="4"/>
  <c r="BP30" i="4"/>
  <c r="BE30" i="4"/>
  <c r="BD30" i="4"/>
  <c r="BC30" i="4"/>
  <c r="BF30" i="4" s="1"/>
  <c r="BB30" i="4"/>
  <c r="BG41" i="4"/>
  <c r="BQ41" i="4"/>
  <c r="AJ55" i="4"/>
  <c r="AC48" i="4"/>
  <c r="AB36" i="4"/>
  <c r="AA36" i="4"/>
  <c r="BH36" i="4"/>
  <c r="Z36" i="4"/>
  <c r="AC36" i="4" s="1"/>
  <c r="Y36" i="4"/>
  <c r="BQ57" i="4"/>
  <c r="BG57" i="4"/>
  <c r="BT30" i="4"/>
  <c r="BU30" i="4" s="1"/>
  <c r="BT35" i="4"/>
  <c r="BU35" i="4" s="1"/>
  <c r="BK28" i="4"/>
  <c r="AK28" i="4"/>
  <c r="BP26" i="4"/>
  <c r="BC26" i="4"/>
  <c r="BF26" i="4" s="1"/>
  <c r="BE26" i="4"/>
  <c r="BD26" i="4"/>
  <c r="BB26" i="4"/>
  <c r="AC30" i="4"/>
  <c r="AC26" i="4"/>
  <c r="AK54" i="4"/>
  <c r="BK54" i="4"/>
  <c r="BK38" i="4"/>
  <c r="AK38" i="4"/>
  <c r="BC15" i="4"/>
  <c r="BF15" i="4" s="1"/>
  <c r="BB15" i="4"/>
  <c r="BE15" i="4"/>
  <c r="BD15" i="4"/>
  <c r="BP15" i="4"/>
  <c r="AB44" i="4"/>
  <c r="AA44" i="4"/>
  <c r="BH44" i="4"/>
  <c r="Z44" i="4"/>
  <c r="AC44" i="4" s="1"/>
  <c r="Y44" i="4"/>
  <c r="AD40" i="4"/>
  <c r="BI40" i="4"/>
  <c r="BT42" i="4"/>
  <c r="BU42" i="4" s="1"/>
  <c r="BI39" i="4"/>
  <c r="AD39" i="4"/>
  <c r="BI28" i="4"/>
  <c r="AD28" i="4"/>
  <c r="G18" i="5"/>
  <c r="F18" i="5"/>
  <c r="E18" i="5"/>
  <c r="BM13" i="4"/>
  <c r="AR13" i="4"/>
  <c r="AY42" i="4"/>
  <c r="BO42" i="4"/>
  <c r="BL24" i="4"/>
  <c r="AP24" i="4"/>
  <c r="AO24" i="4"/>
  <c r="AN24" i="4"/>
  <c r="AQ24" i="4" s="1"/>
  <c r="AM24" i="4"/>
  <c r="BM22" i="4"/>
  <c r="AR22" i="4"/>
  <c r="AC14" i="4"/>
  <c r="BK13" i="4"/>
  <c r="AK13" i="4"/>
  <c r="E10" i="5"/>
  <c r="D16" i="6"/>
  <c r="D15" i="6"/>
  <c r="D6" i="5"/>
  <c r="C6" i="5"/>
  <c r="F10" i="5"/>
  <c r="D24" i="5"/>
  <c r="BP22" i="4"/>
  <c r="BE22" i="4"/>
  <c r="BD22" i="4"/>
  <c r="BB22" i="4"/>
  <c r="BC22" i="4"/>
  <c r="BF22" i="4" s="1"/>
  <c r="BK23" i="4"/>
  <c r="AK23" i="4"/>
  <c r="D20" i="5"/>
  <c r="C20" i="5"/>
  <c r="B20" i="5"/>
  <c r="R20" i="4"/>
  <c r="AX20" i="4"/>
  <c r="BK15" i="4"/>
  <c r="AK15" i="4"/>
  <c r="F10" i="6"/>
  <c r="AY10" i="4"/>
  <c r="BO10" i="4"/>
  <c r="BM21" i="4"/>
  <c r="AR21" i="4"/>
  <c r="AC7" i="4"/>
  <c r="BM16" i="4"/>
  <c r="AR16" i="4"/>
  <c r="AY4" i="4"/>
  <c r="BO4" i="4"/>
  <c r="BK29" i="4"/>
  <c r="AK29" i="4"/>
  <c r="BG38" i="4"/>
  <c r="BQ38" i="4"/>
  <c r="AR7" i="4"/>
  <c r="BM7" i="4"/>
  <c r="BT7" i="4"/>
  <c r="BU7" i="4" s="1"/>
  <c r="AJ10" i="4"/>
  <c r="AJ22" i="4"/>
  <c r="AC9" i="4"/>
  <c r="BK3" i="4"/>
  <c r="AK3" i="4"/>
  <c r="AQ4" i="4"/>
  <c r="AJ39" i="4"/>
  <c r="BQ8" i="4"/>
  <c r="BG8" i="4"/>
  <c r="BI18" i="4"/>
  <c r="AD18" i="4"/>
  <c r="BR18" i="4"/>
  <c r="BS18" i="4" s="1"/>
  <c r="BK19" i="4"/>
  <c r="AK19" i="4"/>
  <c r="AD12" i="4"/>
  <c r="BI12" i="4"/>
  <c r="BR12" i="4"/>
  <c r="BS12" i="4" s="1"/>
  <c r="AY18" i="4"/>
  <c r="BO18" i="4"/>
  <c r="AY8" i="4"/>
  <c r="BO8" i="4"/>
  <c r="G10" i="6" s="1"/>
  <c r="C22" i="5"/>
  <c r="B22" i="5"/>
  <c r="D22" i="5"/>
  <c r="R22" i="4"/>
  <c r="AX22" i="4"/>
  <c r="AJ87" i="4"/>
  <c r="AD32" i="4"/>
  <c r="BI32" i="4"/>
  <c r="BT14" i="4"/>
  <c r="BU14" i="4" s="1"/>
  <c r="R10" i="4"/>
  <c r="D20" i="6" s="1"/>
  <c r="AX10" i="4"/>
  <c r="BE12" i="4"/>
  <c r="BD12" i="4"/>
  <c r="BC12" i="4"/>
  <c r="BF12" i="4" s="1"/>
  <c r="BP12" i="4"/>
  <c r="BB12" i="4"/>
  <c r="BM20" i="4"/>
  <c r="AR20" i="4"/>
  <c r="AD24" i="4"/>
  <c r="BI24" i="4"/>
  <c r="BR24" i="4"/>
  <c r="BS24" i="4" s="1"/>
  <c r="AD21" i="4"/>
  <c r="BI21" i="4"/>
  <c r="BT16" i="4"/>
  <c r="BU16" i="4" s="1"/>
  <c r="AJ8" i="4"/>
  <c r="BQ33" i="4"/>
  <c r="BG33" i="4"/>
  <c r="AK10" i="4"/>
  <c r="BK10" i="4"/>
  <c r="AK22" i="4"/>
  <c r="BK22" i="4"/>
  <c r="BF5" i="4"/>
  <c r="AC4" i="4"/>
  <c r="AX5" i="4"/>
  <c r="AR4" i="4"/>
  <c r="BM4" i="4"/>
  <c r="BL70" i="4"/>
  <c r="AP70" i="4"/>
  <c r="AO70" i="4"/>
  <c r="AN70" i="4"/>
  <c r="AQ70" i="4" s="1"/>
  <c r="AM70" i="4"/>
  <c r="BI87" i="4"/>
  <c r="AD87" i="4"/>
  <c r="BC86" i="4"/>
  <c r="BF86" i="4" s="1"/>
  <c r="BB86" i="4"/>
  <c r="BP86" i="4"/>
  <c r="BD86" i="4"/>
  <c r="BE86" i="4"/>
  <c r="BG85" i="4"/>
  <c r="BI77" i="4"/>
  <c r="AD77" i="4"/>
  <c r="BK68" i="4"/>
  <c r="AK68" i="4"/>
  <c r="BO65" i="4"/>
  <c r="AY65" i="4"/>
  <c r="BT83" i="4"/>
  <c r="BU83" i="4" s="1"/>
  <c r="AR83" i="4"/>
  <c r="BM83" i="4"/>
  <c r="AD68" i="4"/>
  <c r="BI68" i="4"/>
  <c r="BR68" i="4"/>
  <c r="BS68" i="4" s="1"/>
  <c r="AB62" i="4"/>
  <c r="AA62" i="4"/>
  <c r="Y62" i="4"/>
  <c r="BH62" i="4"/>
  <c r="Z62" i="4"/>
  <c r="AC62" i="4" s="1"/>
  <c r="BG55" i="4"/>
  <c r="BQ55" i="4"/>
  <c r="AQ87" i="4"/>
  <c r="AN84" i="4"/>
  <c r="AQ84" i="4" s="1"/>
  <c r="AM84" i="4"/>
  <c r="BL84" i="4"/>
  <c r="AO84" i="4"/>
  <c r="AP84" i="4"/>
  <c r="BR87" i="4"/>
  <c r="BS87" i="4" s="1"/>
  <c r="BM85" i="4"/>
  <c r="AR85" i="4"/>
  <c r="BK77" i="4"/>
  <c r="AK77" i="4"/>
  <c r="AY71" i="4"/>
  <c r="BO71" i="4"/>
  <c r="AR72" i="4"/>
  <c r="BM72" i="4"/>
  <c r="AN67" i="4"/>
  <c r="AQ67" i="4" s="1"/>
  <c r="AM67" i="4"/>
  <c r="BL67" i="4"/>
  <c r="AP67" i="4"/>
  <c r="AO67" i="4"/>
  <c r="BC62" i="4"/>
  <c r="BF62" i="4" s="1"/>
  <c r="BB62" i="4"/>
  <c r="BP62" i="4"/>
  <c r="BE62" i="4"/>
  <c r="BD62" i="4"/>
  <c r="BI65" i="4"/>
  <c r="BR65" i="4"/>
  <c r="BS65" i="4" s="1"/>
  <c r="AD65" i="4"/>
  <c r="BI73" i="4"/>
  <c r="AD73" i="4"/>
  <c r="BR73" i="4"/>
  <c r="BS73" i="4" s="1"/>
  <c r="R59" i="4"/>
  <c r="AJ59" i="4"/>
  <c r="BL52" i="4"/>
  <c r="AO52" i="4"/>
  <c r="AN52" i="4"/>
  <c r="AQ52" i="4" s="1"/>
  <c r="AM52" i="4"/>
  <c r="AP52" i="4"/>
  <c r="BG50" i="4"/>
  <c r="BQ50" i="4"/>
  <c r="BP46" i="4"/>
  <c r="BE46" i="4"/>
  <c r="BD46" i="4"/>
  <c r="BC46" i="4"/>
  <c r="BF46" i="4" s="1"/>
  <c r="BB46" i="4"/>
  <c r="AN41" i="4"/>
  <c r="AQ41" i="4" s="1"/>
  <c r="AM41" i="4"/>
  <c r="BL41" i="4"/>
  <c r="AP41" i="4"/>
  <c r="AO41" i="4"/>
  <c r="BI51" i="4"/>
  <c r="BR51" i="4"/>
  <c r="BS51" i="4" s="1"/>
  <c r="AD51" i="4"/>
  <c r="Y60" i="4"/>
  <c r="AB60" i="4"/>
  <c r="AA60" i="4"/>
  <c r="Z60" i="4"/>
  <c r="AC60" i="4" s="1"/>
  <c r="BH60" i="4"/>
  <c r="R25" i="4"/>
  <c r="AX25" i="4"/>
  <c r="BQ87" i="4"/>
  <c r="BG87" i="4"/>
  <c r="BI89" i="4"/>
  <c r="AD89" i="4"/>
  <c r="AR86" i="4"/>
  <c r="BM86" i="4"/>
  <c r="AK89" i="4"/>
  <c r="BK89" i="4"/>
  <c r="BF83" i="4"/>
  <c r="AK87" i="4"/>
  <c r="BK87" i="4"/>
  <c r="AY81" i="4"/>
  <c r="BO81" i="4"/>
  <c r="AQ86" i="4"/>
  <c r="BF81" i="4"/>
  <c r="BI79" i="4"/>
  <c r="AD79" i="4"/>
  <c r="BB69" i="4"/>
  <c r="BP69" i="4"/>
  <c r="BE69" i="4"/>
  <c r="BD69" i="4"/>
  <c r="BC69" i="4"/>
  <c r="BF69" i="4" s="1"/>
  <c r="AJ84" i="4"/>
  <c r="BO82" i="4"/>
  <c r="AY82" i="4"/>
  <c r="R80" i="4"/>
  <c r="AX80" i="4"/>
  <c r="BT72" i="4"/>
  <c r="BU72" i="4" s="1"/>
  <c r="BE64" i="4"/>
  <c r="BC64" i="4"/>
  <c r="BF64" i="4" s="1"/>
  <c r="BB64" i="4"/>
  <c r="BP64" i="4"/>
  <c r="BD64" i="4"/>
  <c r="AN71" i="4"/>
  <c r="AQ71" i="4" s="1"/>
  <c r="AM71" i="4"/>
  <c r="BL71" i="4"/>
  <c r="AP71" i="4"/>
  <c r="AO71" i="4"/>
  <c r="AX65" i="4"/>
  <c r="AR77" i="4"/>
  <c r="BM77" i="4"/>
  <c r="AJ69" i="4"/>
  <c r="AR81" i="4"/>
  <c r="AX64" i="4"/>
  <c r="AX72" i="4"/>
  <c r="BI82" i="4"/>
  <c r="AD82" i="4"/>
  <c r="BT65" i="4"/>
  <c r="BU65" i="4" s="1"/>
  <c r="AR65" i="4"/>
  <c r="BM65" i="4"/>
  <c r="BE65" i="4"/>
  <c r="BP65" i="4"/>
  <c r="BD65" i="4"/>
  <c r="BC65" i="4"/>
  <c r="BF65" i="4" s="1"/>
  <c r="BB65" i="4"/>
  <c r="AC82" i="4"/>
  <c r="BK74" i="4"/>
  <c r="AK74" i="4"/>
  <c r="BH84" i="4"/>
  <c r="AB84" i="4"/>
  <c r="Y84" i="4"/>
  <c r="AA84" i="4"/>
  <c r="Z84" i="4"/>
  <c r="AC84" i="4" s="1"/>
  <c r="AQ68" i="4"/>
  <c r="AJ80" i="4"/>
  <c r="AQ66" i="4"/>
  <c r="AJ61" i="4"/>
  <c r="AX60" i="4"/>
  <c r="AX59" i="4"/>
  <c r="AY54" i="4"/>
  <c r="BO54" i="4"/>
  <c r="AC59" i="4"/>
  <c r="AK46" i="4"/>
  <c r="BK46" i="4"/>
  <c r="AY30" i="4"/>
  <c r="BO30" i="4"/>
  <c r="AQ34" i="4"/>
  <c r="BI31" i="4"/>
  <c r="AD31" i="4"/>
  <c r="BI48" i="4"/>
  <c r="AD48" i="4"/>
  <c r="AD42" i="4"/>
  <c r="BI42" i="4"/>
  <c r="BR42" i="4"/>
  <c r="BS42" i="4" s="1"/>
  <c r="BM38" i="4"/>
  <c r="AR38" i="4"/>
  <c r="BL36" i="4"/>
  <c r="AP36" i="4"/>
  <c r="AN36" i="4"/>
  <c r="AQ36" i="4" s="1"/>
  <c r="AM36" i="4"/>
  <c r="AO36" i="4"/>
  <c r="AD58" i="4"/>
  <c r="BI58" i="4"/>
  <c r="BR58" i="4"/>
  <c r="BS58" i="4" s="1"/>
  <c r="BF57" i="4"/>
  <c r="BP51" i="4"/>
  <c r="BE51" i="4"/>
  <c r="BD51" i="4"/>
  <c r="BC51" i="4"/>
  <c r="BF51" i="4" s="1"/>
  <c r="BB51" i="4"/>
  <c r="BL44" i="4"/>
  <c r="AP44" i="4"/>
  <c r="AO44" i="4"/>
  <c r="AN44" i="4"/>
  <c r="AQ44" i="4" s="1"/>
  <c r="AM44" i="4"/>
  <c r="BM51" i="4"/>
  <c r="AR51" i="4"/>
  <c r="AY39" i="4"/>
  <c r="BP34" i="4"/>
  <c r="BE34" i="4"/>
  <c r="BD34" i="4"/>
  <c r="BB34" i="4"/>
  <c r="BC34" i="4"/>
  <c r="BF34" i="4" s="1"/>
  <c r="AC46" i="4"/>
  <c r="AY27" i="4"/>
  <c r="AC65" i="4"/>
  <c r="BI25" i="4"/>
  <c r="AD25" i="4"/>
  <c r="D11" i="6"/>
  <c r="BC11" i="4"/>
  <c r="BB11" i="4"/>
  <c r="BD11" i="4"/>
  <c r="BE11" i="4"/>
  <c r="BP11" i="4"/>
  <c r="F24" i="5"/>
  <c r="BK39" i="4"/>
  <c r="AK39" i="4"/>
  <c r="AD33" i="4"/>
  <c r="BI33" i="4"/>
  <c r="AQ9" i="4"/>
  <c r="AX42" i="4"/>
  <c r="R42" i="4"/>
  <c r="C18" i="5"/>
  <c r="B18" i="5"/>
  <c r="D18" i="5"/>
  <c r="R18" i="4"/>
  <c r="AX18" i="4"/>
  <c r="BI14" i="4"/>
  <c r="AD14" i="4"/>
  <c r="BR14" i="4"/>
  <c r="BS14" i="4" s="1"/>
  <c r="BK12" i="4"/>
  <c r="AK12" i="4"/>
  <c r="AJ4" i="4"/>
  <c r="AR5" i="4"/>
  <c r="BM5" i="4"/>
  <c r="BT5" i="4"/>
  <c r="BU5" i="4" s="1"/>
  <c r="D23" i="5"/>
  <c r="C23" i="5"/>
  <c r="B23" i="5"/>
  <c r="R23" i="4"/>
  <c r="D19" i="6" s="1"/>
  <c r="AR28" i="4"/>
  <c r="BM28" i="4"/>
  <c r="AJ14" i="4"/>
  <c r="B10" i="5"/>
  <c r="BM18" i="4"/>
  <c r="AR18" i="4"/>
  <c r="AR11" i="4"/>
  <c r="BT11" i="4"/>
  <c r="BU11" i="4" s="1"/>
  <c r="BM11" i="4"/>
  <c r="E6" i="5"/>
  <c r="BT39" i="4"/>
  <c r="BU39" i="4" s="1"/>
  <c r="BI10" i="4"/>
  <c r="AD10" i="4"/>
  <c r="BR10" i="4"/>
  <c r="BS10" i="4" s="1"/>
  <c r="AR6" i="4"/>
  <c r="BM6" i="4"/>
  <c r="BF4" i="4"/>
  <c r="AD5" i="4"/>
  <c r="BI5" i="4"/>
  <c r="BT17" i="4"/>
  <c r="BU17" i="4" s="1"/>
  <c r="BM3" i="4"/>
  <c r="AR3" i="4"/>
  <c r="BM89" i="4"/>
  <c r="AR89" i="4"/>
  <c r="AK82" i="4"/>
  <c r="BK82" i="4"/>
  <c r="BM78" i="4"/>
  <c r="AR78" i="4"/>
  <c r="AJ83" i="4"/>
  <c r="BJ70" i="4"/>
  <c r="AI70" i="4"/>
  <c r="AH70" i="4"/>
  <c r="AF70" i="4"/>
  <c r="AG70" i="4"/>
  <c r="AJ70" i="4" s="1"/>
  <c r="BO64" i="4"/>
  <c r="AY64" i="4"/>
  <c r="AX89" i="4"/>
  <c r="R89" i="4"/>
  <c r="BG75" i="4"/>
  <c r="BQ75" i="4"/>
  <c r="BP68" i="4"/>
  <c r="BE68" i="4"/>
  <c r="BD68" i="4"/>
  <c r="BC68" i="4"/>
  <c r="BF68" i="4" s="1"/>
  <c r="BB68" i="4"/>
  <c r="R50" i="4"/>
  <c r="AX50" i="4"/>
  <c r="AJ89" i="4"/>
  <c r="AP74" i="4"/>
  <c r="BL74" i="4"/>
  <c r="AO74" i="4"/>
  <c r="AN74" i="4"/>
  <c r="AQ74" i="4" s="1"/>
  <c r="AM74" i="4"/>
  <c r="AK83" i="4"/>
  <c r="BK83" i="4"/>
  <c r="BO76" i="4"/>
  <c r="AY76" i="4"/>
  <c r="BG76" i="4"/>
  <c r="BQ76" i="4"/>
  <c r="BG71" i="4"/>
  <c r="BQ71" i="4"/>
  <c r="AY59" i="4"/>
  <c r="BO59" i="4"/>
  <c r="AB70" i="4"/>
  <c r="AA70" i="4"/>
  <c r="BH70" i="4"/>
  <c r="Z70" i="4"/>
  <c r="AC70" i="4" s="1"/>
  <c r="Y70" i="4"/>
  <c r="AM63" i="4"/>
  <c r="BL63" i="4"/>
  <c r="AO63" i="4"/>
  <c r="AN63" i="4"/>
  <c r="AQ63" i="4" s="1"/>
  <c r="AP63" i="4"/>
  <c r="AD56" i="4"/>
  <c r="BI56" i="4"/>
  <c r="BR56" i="4"/>
  <c r="BS56" i="4" s="1"/>
  <c r="BO50" i="4"/>
  <c r="AY50" i="4"/>
  <c r="BQ37" i="4"/>
  <c r="BG37" i="4"/>
  <c r="AK30" i="4"/>
  <c r="BK30" i="4"/>
  <c r="AR48" i="4"/>
  <c r="BM48" i="4"/>
  <c r="BT48" i="4"/>
  <c r="BU48" i="4" s="1"/>
  <c r="AN45" i="4"/>
  <c r="AQ45" i="4" s="1"/>
  <c r="AM45" i="4"/>
  <c r="BL45" i="4"/>
  <c r="AP45" i="4"/>
  <c r="AO45" i="4"/>
  <c r="AD26" i="4"/>
  <c r="BI26" i="4"/>
  <c r="E24" i="5"/>
  <c r="BI85" i="4"/>
  <c r="AD85" i="4"/>
  <c r="AR82" i="4"/>
  <c r="BM82" i="4"/>
  <c r="BT82" i="4"/>
  <c r="BU82" i="4" s="1"/>
  <c r="BI83" i="4"/>
  <c r="AD83" i="4"/>
  <c r="AX84" i="4"/>
  <c r="BB77" i="4"/>
  <c r="BC77" i="4"/>
  <c r="BF77" i="4" s="1"/>
  <c r="BP77" i="4"/>
  <c r="BE77" i="4"/>
  <c r="BD77" i="4"/>
  <c r="AX82" i="4"/>
  <c r="AC79" i="4"/>
  <c r="BK85" i="4"/>
  <c r="AK85" i="4"/>
  <c r="BQ88" i="4"/>
  <c r="BG88" i="4"/>
  <c r="BO79" i="4"/>
  <c r="AY79" i="4"/>
  <c r="AC83" i="4"/>
  <c r="AQ82" i="4"/>
  <c r="AD80" i="4"/>
  <c r="BI80" i="4"/>
  <c r="BO80" i="4"/>
  <c r="AY80" i="4"/>
  <c r="BR77" i="4"/>
  <c r="BS77" i="4" s="1"/>
  <c r="AQ64" i="4"/>
  <c r="BM73" i="4"/>
  <c r="AR73" i="4"/>
  <c r="BK69" i="4"/>
  <c r="AK69" i="4"/>
  <c r="AQ81" i="4"/>
  <c r="BK71" i="4"/>
  <c r="AK71" i="4"/>
  <c r="BG60" i="4"/>
  <c r="BQ60" i="4"/>
  <c r="BT78" i="4"/>
  <c r="BU78" i="4" s="1"/>
  <c r="AC69" i="4"/>
  <c r="AX61" i="4"/>
  <c r="AC66" i="4"/>
  <c r="AY61" i="4"/>
  <c r="BO61" i="4"/>
  <c r="AC61" i="4"/>
  <c r="AR66" i="4"/>
  <c r="BM66" i="4"/>
  <c r="BK61" i="4"/>
  <c r="AK61" i="4"/>
  <c r="BG56" i="4"/>
  <c r="BC66" i="4"/>
  <c r="BF66" i="4" s="1"/>
  <c r="BP66" i="4"/>
  <c r="BE66" i="4"/>
  <c r="BD66" i="4"/>
  <c r="BB66" i="4"/>
  <c r="AI63" i="4"/>
  <c r="BJ63" i="4"/>
  <c r="AH63" i="4"/>
  <c r="AG63" i="4"/>
  <c r="AJ63" i="4" s="1"/>
  <c r="AF63" i="4"/>
  <c r="AQ57" i="4"/>
  <c r="AY33" i="4"/>
  <c r="BO33" i="4"/>
  <c r="AR62" i="4"/>
  <c r="BM62" i="4"/>
  <c r="BT62" i="4"/>
  <c r="BU62" i="4" s="1"/>
  <c r="BM50" i="4"/>
  <c r="AR50" i="4"/>
  <c r="AK51" i="4"/>
  <c r="BK51" i="4"/>
  <c r="BT50" i="4"/>
  <c r="BU50" i="4" s="1"/>
  <c r="AJ57" i="4"/>
  <c r="AQ50" i="4"/>
  <c r="AY46" i="4"/>
  <c r="BO46" i="4"/>
  <c r="AC43" i="4"/>
  <c r="BM34" i="4"/>
  <c r="AR34" i="4"/>
  <c r="AB49" i="4"/>
  <c r="AA49" i="4"/>
  <c r="BH49" i="4"/>
  <c r="Z49" i="4"/>
  <c r="AC49" i="4" s="1"/>
  <c r="Y49" i="4"/>
  <c r="AQ43" i="4"/>
  <c r="BF35" i="4"/>
  <c r="BF43" i="4"/>
  <c r="AQ30" i="4"/>
  <c r="BT58" i="4"/>
  <c r="BU58" i="4" s="1"/>
  <c r="BK34" i="4"/>
  <c r="AK34" i="4"/>
  <c r="AY32" i="4"/>
  <c r="BQ29" i="4"/>
  <c r="BG29" i="4"/>
  <c r="BG28" i="4"/>
  <c r="BQ28" i="4"/>
  <c r="BK32" i="4"/>
  <c r="AK32" i="4"/>
  <c r="BM25" i="4"/>
  <c r="AR25" i="4"/>
  <c r="AY58" i="4"/>
  <c r="BO58" i="4"/>
  <c r="AY26" i="4"/>
  <c r="BO26" i="4"/>
  <c r="BR54" i="4"/>
  <c r="BS54" i="4" s="1"/>
  <c r="BK40" i="4"/>
  <c r="AK40" i="4"/>
  <c r="AD29" i="4"/>
  <c r="BI29" i="4"/>
  <c r="BE25" i="4"/>
  <c r="BD25" i="4"/>
  <c r="BC25" i="4"/>
  <c r="BF25" i="4" s="1"/>
  <c r="BP25" i="4"/>
  <c r="BB25" i="4"/>
  <c r="F6" i="5"/>
  <c r="F9" i="6"/>
  <c r="BM9" i="4"/>
  <c r="AR9" i="4"/>
  <c r="BK21" i="4"/>
  <c r="AK21" i="4"/>
  <c r="AR15" i="4"/>
  <c r="BM15" i="4"/>
  <c r="BK7" i="4"/>
  <c r="AK7" i="4"/>
  <c r="E23" i="5"/>
  <c r="G23" i="5"/>
  <c r="F23" i="5"/>
  <c r="AY22" i="4"/>
  <c r="BO22" i="4"/>
  <c r="BR22" i="4"/>
  <c r="BS22" i="4" s="1"/>
  <c r="BK14" i="4"/>
  <c r="AK14" i="4"/>
  <c r="BP10" i="4"/>
  <c r="BE10" i="4"/>
  <c r="BD10" i="4"/>
  <c r="BC10" i="4"/>
  <c r="BF10" i="4" s="1"/>
  <c r="BB10" i="4"/>
  <c r="AY12" i="4"/>
  <c r="BO12" i="4"/>
  <c r="BG9" i="4"/>
  <c r="E6" i="6"/>
  <c r="BL40" i="4"/>
  <c r="AP40" i="4"/>
  <c r="AO40" i="4"/>
  <c r="AN40" i="4"/>
  <c r="AQ40" i="4" s="1"/>
  <c r="AM40" i="4"/>
  <c r="BR39" i="4"/>
  <c r="BS39" i="4" s="1"/>
  <c r="BK44" i="4"/>
  <c r="AK44" i="4"/>
  <c r="D18" i="6"/>
  <c r="D17" i="6"/>
  <c r="G6" i="5"/>
  <c r="AC20" i="4"/>
  <c r="D7" i="6"/>
  <c r="BG7" i="4"/>
  <c r="BQ7" i="4"/>
  <c r="BI35" i="4" l="1"/>
  <c r="AD35" i="4"/>
  <c r="BR35" i="4"/>
  <c r="BS35" i="4" s="1"/>
  <c r="BQ65" i="4"/>
  <c r="BG65" i="4"/>
  <c r="BQ69" i="4"/>
  <c r="BG69" i="4"/>
  <c r="BQ62" i="4"/>
  <c r="BG62" i="4"/>
  <c r="BQ22" i="4"/>
  <c r="BG22" i="4"/>
  <c r="BQ15" i="4"/>
  <c r="BG15" i="4"/>
  <c r="AD36" i="4"/>
  <c r="BI36" i="4"/>
  <c r="BR36" i="4"/>
  <c r="BS36" i="4" s="1"/>
  <c r="BG30" i="4"/>
  <c r="BQ30" i="4"/>
  <c r="BQ70" i="4"/>
  <c r="BG70" i="4"/>
  <c r="BQ14" i="4"/>
  <c r="BG14" i="4"/>
  <c r="BQ61" i="4"/>
  <c r="BG61" i="4"/>
  <c r="BQ79" i="4"/>
  <c r="BG79" i="4"/>
  <c r="BQ78" i="4"/>
  <c r="BG78" i="4"/>
  <c r="BQ20" i="4"/>
  <c r="BG20" i="4"/>
  <c r="BK70" i="4"/>
  <c r="AK70" i="4"/>
  <c r="BG46" i="4"/>
  <c r="BQ46" i="4"/>
  <c r="BG86" i="4"/>
  <c r="BQ86" i="4"/>
  <c r="BR53" i="4"/>
  <c r="BS53" i="4" s="1"/>
  <c r="BI53" i="4"/>
  <c r="AD53" i="4"/>
  <c r="AD64" i="4"/>
  <c r="BI64" i="4"/>
  <c r="BR64" i="4"/>
  <c r="BS64" i="4" s="1"/>
  <c r="AD84" i="4"/>
  <c r="BI84" i="4"/>
  <c r="BR84" i="4"/>
  <c r="BS84" i="4" s="1"/>
  <c r="AD49" i="4"/>
  <c r="BI49" i="4"/>
  <c r="BR49" i="4"/>
  <c r="BS49" i="4" s="1"/>
  <c r="AD60" i="4"/>
  <c r="BI60" i="4"/>
  <c r="BR60" i="4"/>
  <c r="BS60" i="4" s="1"/>
  <c r="BQ12" i="4"/>
  <c r="BG12" i="4"/>
  <c r="BM24" i="4"/>
  <c r="AR24" i="4"/>
  <c r="BT24" i="4"/>
  <c r="BU24" i="4" s="1"/>
  <c r="BG34" i="4"/>
  <c r="BQ34" i="4"/>
  <c r="BM52" i="4"/>
  <c r="AR52" i="4"/>
  <c r="BT52" i="4"/>
  <c r="BU52" i="4" s="1"/>
  <c r="AR70" i="4"/>
  <c r="BM70" i="4"/>
  <c r="BT70" i="4"/>
  <c r="BU70" i="4" s="1"/>
  <c r="AK63" i="4"/>
  <c r="BK63" i="4"/>
  <c r="BM63" i="4"/>
  <c r="AR63" i="4"/>
  <c r="BT63" i="4"/>
  <c r="BU63" i="4" s="1"/>
  <c r="BM71" i="4"/>
  <c r="AR71" i="4"/>
  <c r="BT71" i="4"/>
  <c r="BU71" i="4" s="1"/>
  <c r="E7" i="6"/>
  <c r="BQ73" i="4"/>
  <c r="BG73" i="4"/>
  <c r="AR40" i="4"/>
  <c r="BM40" i="4"/>
  <c r="BT40" i="4"/>
  <c r="BU40" i="4" s="1"/>
  <c r="AR36" i="4"/>
  <c r="BM36" i="4"/>
  <c r="BT36" i="4"/>
  <c r="BU36" i="4" s="1"/>
  <c r="BQ59" i="4"/>
  <c r="BG59" i="4"/>
  <c r="BG82" i="4"/>
  <c r="BQ82" i="4"/>
  <c r="BI11" i="4"/>
  <c r="G7" i="6" s="1"/>
  <c r="AD11" i="4"/>
  <c r="BR11" i="4"/>
  <c r="BS11" i="4" s="1"/>
  <c r="BG58" i="4"/>
  <c r="BQ58" i="4"/>
  <c r="BK64" i="4"/>
  <c r="AK64" i="4"/>
  <c r="AD76" i="4"/>
  <c r="BI76" i="4"/>
  <c r="BR76" i="4"/>
  <c r="BS76" i="4" s="1"/>
  <c r="BR88" i="4"/>
  <c r="BS88" i="4" s="1"/>
  <c r="BI88" i="4"/>
  <c r="AD88" i="4"/>
  <c r="BQ16" i="4"/>
  <c r="BG16" i="4"/>
  <c r="AR32" i="4"/>
  <c r="BM32" i="4"/>
  <c r="BT32" i="4"/>
  <c r="BU32" i="4" s="1"/>
  <c r="BI15" i="4"/>
  <c r="AD15" i="4"/>
  <c r="BR15" i="4"/>
  <c r="BS15" i="4" s="1"/>
  <c r="AR44" i="4"/>
  <c r="BM44" i="4"/>
  <c r="BT44" i="4"/>
  <c r="BU44" i="4" s="1"/>
  <c r="BI62" i="4"/>
  <c r="AD62" i="4"/>
  <c r="BR62" i="4"/>
  <c r="BS62" i="4" s="1"/>
  <c r="G10" i="5"/>
  <c r="BQ18" i="4"/>
  <c r="BG18" i="4"/>
  <c r="BQ10" i="4"/>
  <c r="G11" i="6" s="1"/>
  <c r="BG10" i="4"/>
  <c r="BQ25" i="4"/>
  <c r="BG25" i="4"/>
  <c r="BQ66" i="4"/>
  <c r="BG66" i="4"/>
  <c r="AR74" i="4"/>
  <c r="BM74" i="4"/>
  <c r="BT74" i="4"/>
  <c r="BU74" i="4" s="1"/>
  <c r="BG68" i="4"/>
  <c r="BQ68" i="4"/>
  <c r="E9" i="6"/>
  <c r="F11" i="6"/>
  <c r="BQ11" i="4"/>
  <c r="BG11" i="4"/>
  <c r="BQ51" i="4"/>
  <c r="BG51" i="4"/>
  <c r="BG26" i="4"/>
  <c r="BQ26" i="4"/>
  <c r="BI55" i="4"/>
  <c r="AD55" i="4"/>
  <c r="BR55" i="4"/>
  <c r="BS55" i="4" s="1"/>
  <c r="BM53" i="4"/>
  <c r="AR53" i="4"/>
  <c r="BT53" i="4"/>
  <c r="BU53" i="4" s="1"/>
  <c r="AR23" i="4"/>
  <c r="BM23" i="4"/>
  <c r="G9" i="6" s="1"/>
  <c r="BT23" i="4"/>
  <c r="BU23" i="4" s="1"/>
  <c r="BI74" i="4"/>
  <c r="AD74" i="4"/>
  <c r="BR74" i="4"/>
  <c r="BS74" i="4" s="1"/>
  <c r="BT54" i="4"/>
  <c r="BU54" i="4" s="1"/>
  <c r="BM54" i="4"/>
  <c r="AR54" i="4"/>
  <c r="AR47" i="4"/>
  <c r="BM47" i="4"/>
  <c r="BT47" i="4"/>
  <c r="BU47" i="4" s="1"/>
  <c r="F7" i="6"/>
  <c r="BQ77" i="4"/>
  <c r="BG77" i="4"/>
  <c r="BM45" i="4"/>
  <c r="AR45" i="4"/>
  <c r="BT45" i="4"/>
  <c r="BU45" i="4" s="1"/>
  <c r="BG64" i="4"/>
  <c r="BQ64" i="4"/>
  <c r="BT84" i="4"/>
  <c r="BU84" i="4" s="1"/>
  <c r="AR84" i="4"/>
  <c r="BM84" i="4"/>
  <c r="AR49" i="4"/>
  <c r="BM49" i="4"/>
  <c r="BT49" i="4"/>
  <c r="BU49" i="4" s="1"/>
  <c r="BK62" i="4"/>
  <c r="AK62" i="4"/>
  <c r="BG42" i="4"/>
  <c r="BQ42" i="4"/>
  <c r="AR27" i="4"/>
  <c r="BM27" i="4"/>
  <c r="BT27" i="4"/>
  <c r="BU27" i="4" s="1"/>
  <c r="BM41" i="4"/>
  <c r="AR41" i="4"/>
  <c r="BT41" i="4"/>
  <c r="BU41" i="4" s="1"/>
  <c r="BI19" i="4"/>
  <c r="AD19" i="4"/>
  <c r="BR19" i="4"/>
  <c r="BS19" i="4" s="1"/>
  <c r="BM75" i="4"/>
  <c r="AR75" i="4"/>
  <c r="BT75" i="4"/>
  <c r="BU75" i="4" s="1"/>
  <c r="BQ19" i="4"/>
  <c r="BG19" i="4"/>
  <c r="AD70" i="4"/>
  <c r="BI70" i="4"/>
  <c r="BR70" i="4"/>
  <c r="BS70" i="4" s="1"/>
  <c r="E11" i="6"/>
  <c r="BF11" i="4"/>
  <c r="BM67" i="4"/>
  <c r="AR67" i="4"/>
  <c r="BT67" i="4"/>
  <c r="BU67" i="4" s="1"/>
  <c r="E8" i="6"/>
  <c r="AD44" i="4"/>
  <c r="BI44" i="4"/>
  <c r="BR44" i="4"/>
  <c r="BS44" i="4" s="1"/>
  <c r="BM37" i="4"/>
  <c r="AR37" i="4"/>
  <c r="BT37" i="4"/>
  <c r="BU37" i="4" s="1"/>
  <c r="BM29" i="4"/>
  <c r="AR29" i="4"/>
  <c r="BT29" i="4"/>
  <c r="BU29" i="4" s="1"/>
  <c r="BK60" i="4"/>
  <c r="G8" i="6" s="1"/>
  <c r="AK60" i="4"/>
  <c r="BG72" i="4"/>
  <c r="BQ72" i="4"/>
  <c r="BM33" i="4"/>
  <c r="AR33" i="4"/>
  <c r="BT33" i="4"/>
  <c r="BU33" i="4" s="1"/>
</calcChain>
</file>

<file path=xl/sharedStrings.xml><?xml version="1.0" encoding="utf-8"?>
<sst xmlns="http://schemas.openxmlformats.org/spreadsheetml/2006/main" count="371" uniqueCount="366">
  <si>
    <t>🍏  ЗЕЛЕНОЕ ЯБЛОКО — Калькулятор цен, маржи и сценариев v1.0</t>
  </si>
  <si>
    <t>НАЗНАЧЕНИЕ ФАЙЛА</t>
  </si>
  <si>
    <t>Инструмент для коммерческого блока: анализ цены, наценки, маржи, сравнение с рынком и сценарное моделирование по всем позициям.</t>
  </si>
  <si>
    <t>ЛИСТЫ ФАЙЛА</t>
  </si>
  <si>
    <t>📊 Исходные данные  — товарная матрица: цены ЗЯ и конкурентов. Данные из шаблона + ручной ввод.</t>
  </si>
  <si>
    <t>🛒 Продажи          — ручной ввод текущих продаж по штрихкоду (кол-во, выручка, ВП).</t>
  </si>
  <si>
    <t>🔢 Расчеты          — все автоматические формулы. Редактировать только синие ячейки (колонки T, AS, AZ).</t>
  </si>
  <si>
    <t>📈 Dashboard        — KPI-карточки, светофоры, топы. Обновляется автоматически.</t>
  </si>
  <si>
    <t>📋 Сценарный анализ — сводная таблица по 5 сценариям и автоматические рекомендации.</t>
  </si>
  <si>
    <t>ПОЛЯ РУЧНОГО ВВОДА (синий цвет = вводить вручную)</t>
  </si>
  <si>
    <t>✏️  Лист «Расчеты», колонка T  (Кол-во продаж) — можно вводить прямо здесь.</t>
  </si>
  <si>
    <t>✏️  Лист «Расчеты», колонка AS (С4: Новая цена вручную) — произвольная цена для сценария 4.</t>
  </si>
  <si>
    <t>✏️  Лист «Расчеты», колонка AZ (С5: Целевая маржа) — напр. 0.25 для целевой маржи 25%.</t>
  </si>
  <si>
    <t>ФОРМУЛЫ — КЛЮЧЕВАЯ ЛОГИКА</t>
  </si>
  <si>
    <t>Наценка  = (Розн. цена − Закуп. цена) / Закуп. цена</t>
  </si>
  <si>
    <t>Маржа    = (Розн. цена − Закуп. цена) / Розн. цена</t>
  </si>
  <si>
    <t>ВП/ед    = Розн. цена − Закуп. цена</t>
  </si>
  <si>
    <t>Цена по целевой марже (С5): Цена = Закупочная цена / (1 − Целевая маржа)</t>
  </si>
  <si>
    <t>Необходимый рост продаж = Текущая суммарная ВП / ВП/ед нового сценария − Текущие продажи</t>
  </si>
  <si>
    <t>ЦВЕТОВЫЕ ОБОЗНАЧЕНИЯ</t>
  </si>
  <si>
    <t>🔵 Синий текст</t>
  </si>
  <si>
    <t>Поле ручного ввода — вводить вручную</t>
  </si>
  <si>
    <t>⚫ Черный текст</t>
  </si>
  <si>
    <t>Формула — не изменять</t>
  </si>
  <si>
    <t>🟢 Зеленый фон</t>
  </si>
  <si>
    <t>Цена ниже рынка / хорошая маржа</t>
  </si>
  <si>
    <t>🔴 Красный фон</t>
  </si>
  <si>
    <t>Цена выше рынка / риск потери маржи</t>
  </si>
  <si>
    <t>🟡 Желтый фон</t>
  </si>
  <si>
    <t>Нейтральная зона / требует внимания</t>
  </si>
  <si>
    <t>НАВИГАЦИЯ</t>
  </si>
  <si>
    <t>📊 Исходные данные</t>
  </si>
  <si>
    <t>🛒 Продажи</t>
  </si>
  <si>
    <t>🔢 Расчеты</t>
  </si>
  <si>
    <t>📈 Dashboard</t>
  </si>
  <si>
    <t>📋 Сценарный анализ</t>
  </si>
  <si>
    <t>Наименование</t>
  </si>
  <si>
    <t>Штрихкод</t>
  </si>
  <si>
    <t>Закупочная_цена</t>
  </si>
  <si>
    <t>Розничная_цена_ЗЯ</t>
  </si>
  <si>
    <t>Цена_7_Континент</t>
  </si>
  <si>
    <t>Цена_Европейский</t>
  </si>
  <si>
    <t>Цена_Тропики</t>
  </si>
  <si>
    <t>Цена_Мята</t>
  </si>
  <si>
    <t>Цена_Отличный</t>
  </si>
  <si>
    <t>Цена_Оптовик_Молоток</t>
  </si>
  <si>
    <t>Цена_Оптовик_Редукторный</t>
  </si>
  <si>
    <t>Белизна гипохлорид 1л</t>
  </si>
  <si>
    <t>4665272570017</t>
  </si>
  <si>
    <t>Гель белизна Санфор 3в1 700мл</t>
  </si>
  <si>
    <t>4602984001637</t>
  </si>
  <si>
    <t>Гель Ласка 1л для Черного Эффект восстановления</t>
  </si>
  <si>
    <t>9000101409321</t>
  </si>
  <si>
    <t>Кондиционер ABC для белья 1440мл Элегантная Орхидея</t>
  </si>
  <si>
    <t>8690511000983</t>
  </si>
  <si>
    <t>Порошок ABC авт 3кг Лимон</t>
  </si>
  <si>
    <t>8690511171614</t>
  </si>
  <si>
    <t>Порошок Ариэль авт 3кг Колор</t>
  </si>
  <si>
    <t>5413149333437</t>
  </si>
  <si>
    <t>Отбеливатель Бос плюс Макс 500г</t>
  </si>
  <si>
    <t>4600905000332</t>
  </si>
  <si>
    <t>Средство AOS для посуды 450г Лимон</t>
  </si>
  <si>
    <t>4604049012305</t>
  </si>
  <si>
    <t>Средство AOS для посуды 900г Лимон</t>
  </si>
  <si>
    <t>4604049095476</t>
  </si>
  <si>
    <t>Средство Грасс Azelit Антижир для кухни спрей 600мл</t>
  </si>
  <si>
    <t>4607072197537</t>
  </si>
  <si>
    <t>Средство Доместос 1,5л Ультра блеск</t>
  </si>
  <si>
    <t>8714100797525</t>
  </si>
  <si>
    <t>Средство Доместос 500мл Ультра блеск</t>
  </si>
  <si>
    <t>8714100707890</t>
  </si>
  <si>
    <t>Кассеты для бритья Жиллетт Фьюжн 4шт</t>
  </si>
  <si>
    <t>7702018874460</t>
  </si>
  <si>
    <t>Зубная паста Сплат Профессионал 100г Отбеливание</t>
  </si>
  <si>
    <t>4603014023704</t>
  </si>
  <si>
    <t>Мыло жидкое Грасс Milana 1000мл Perfume</t>
  </si>
  <si>
    <t>4670113604165</t>
  </si>
  <si>
    <t>Полотенца бумажные Папия Декор 3 слоя 2 рулона</t>
  </si>
  <si>
    <t>4604857001782</t>
  </si>
  <si>
    <t>Туалетная бумага Папия 3сл 4рул белая</t>
  </si>
  <si>
    <t>8690536023936</t>
  </si>
  <si>
    <t>Полотенца бумажные Zemma 2сл 2рул</t>
  </si>
  <si>
    <t>4670199857349</t>
  </si>
  <si>
    <t>Туалетная бумага Zemma Плюс 2сл 4шт Белая</t>
  </si>
  <si>
    <t>4605331003308</t>
  </si>
  <si>
    <t>Крупа Гречневая (ядрица) Первый сорт 1кг</t>
  </si>
  <si>
    <t>2057030071836</t>
  </si>
  <si>
    <t>Крупа Рисовая (рис шлифованный) 1кг</t>
  </si>
  <si>
    <t>2058077055810</t>
  </si>
  <si>
    <t>Крупа Увелка Гречневая Экстра 800г</t>
  </si>
  <si>
    <t>4607016240893</t>
  </si>
  <si>
    <t>Мак изд Барилла №5 Спагетти 450г</t>
  </si>
  <si>
    <t>8076809576093</t>
  </si>
  <si>
    <t>Мак изд Барилла №98 Фузилли 450г</t>
  </si>
  <si>
    <t>8076809576000</t>
  </si>
  <si>
    <t>Мак изд Макфа Спагетти 400г</t>
  </si>
  <si>
    <t>4601780010508</t>
  </si>
  <si>
    <t>Мак изд Макфа Спирали 400г</t>
  </si>
  <si>
    <t>4601780006990</t>
  </si>
  <si>
    <t>Мука Макфа в/с 2кг</t>
  </si>
  <si>
    <t>4601780002565</t>
  </si>
  <si>
    <t>Мука Снежана в/с 2кг</t>
  </si>
  <si>
    <t>1905000299036</t>
  </si>
  <si>
    <t>Рис Агроальянс для плова 900г</t>
  </si>
  <si>
    <t>4607072711535</t>
  </si>
  <si>
    <t>Рис Дарман шлифованный Премиум 2кг</t>
  </si>
  <si>
    <t>4607157483784</t>
  </si>
  <si>
    <t>Рис Дарман шлифованный Экстра 800г</t>
  </si>
  <si>
    <t>4607157483029</t>
  </si>
  <si>
    <t>Рис Тамаша MIAD Индия мешочек 1кг</t>
  </si>
  <si>
    <t>8906010700720</t>
  </si>
  <si>
    <t>Сахар песок 1кг</t>
  </si>
  <si>
    <t>2067468029354</t>
  </si>
  <si>
    <t>Сода пищевая 500г</t>
  </si>
  <si>
    <t>4640001890031</t>
  </si>
  <si>
    <t>Соль поваренная пищевая Помол №1 1кг Руссоль</t>
  </si>
  <si>
    <t>4610007350228</t>
  </si>
  <si>
    <t>Соль Экстра йодированная 500г</t>
  </si>
  <si>
    <t>4607005090126</t>
  </si>
  <si>
    <t>Пюре Агуша фруктовое пауч 160г</t>
  </si>
  <si>
    <t>4690228110771</t>
  </si>
  <si>
    <t>Пюре ФрутоНяня 90г Яблоко натур. 4 мес</t>
  </si>
  <si>
    <t>4600338006130</t>
  </si>
  <si>
    <t>Смесь Малютка 2 600г</t>
  </si>
  <si>
    <t>4600209011133</t>
  </si>
  <si>
    <t>Смесь Нутрилон 2 Премиум 600г</t>
  </si>
  <si>
    <t>4600209011256</t>
  </si>
  <si>
    <t>Хлебцы Др Корнер Рисовые с молочным шоколадом 67г</t>
  </si>
  <si>
    <t>4607065716301</t>
  </si>
  <si>
    <t>Хлебцы Др Корнер Рисовые с темным шоколадом 67г</t>
  </si>
  <si>
    <t>4607065716288</t>
  </si>
  <si>
    <t>Колбаса Урицкий Чеченская п/к батон</t>
  </si>
  <si>
    <t>2124551</t>
  </si>
  <si>
    <t>Колбаса Школьная вар Хицунов Халяль</t>
  </si>
  <si>
    <t>2176394</t>
  </si>
  <si>
    <t>Сосиски Индилайт из индейки Молочные п/о 440г</t>
  </si>
  <si>
    <t>4610121636048</t>
  </si>
  <si>
    <t>Ветчина Индилайт Филе грудки индейки нарезка 120г</t>
  </si>
  <si>
    <t>4610121634945</t>
  </si>
  <si>
    <t>Вода мин Рычал-су пл/б 1л</t>
  </si>
  <si>
    <t>4607001710066</t>
  </si>
  <si>
    <t>Вода мин Рычал-су ст/б 0,5л</t>
  </si>
  <si>
    <t>4607001710042</t>
  </si>
  <si>
    <t>Вода минеральная Боржоми лечебно-столовая ст/б 0.5л</t>
  </si>
  <si>
    <t>4860019001346</t>
  </si>
  <si>
    <t>Вода Денеб Горная пл/б 0,6л Ультра</t>
  </si>
  <si>
    <t>4606592005285</t>
  </si>
  <si>
    <t>Вода Серноводская негазир 9л</t>
  </si>
  <si>
    <t>4607167624849</t>
  </si>
  <si>
    <t>Напиток Денеб Голд 1,25л Груша</t>
  </si>
  <si>
    <t>4606592001805</t>
  </si>
  <si>
    <t>Напиток Добрый Кола пл/б 1л</t>
  </si>
  <si>
    <t>4610011503795</t>
  </si>
  <si>
    <t>Напиток Добрый Кола пл/б 1,5л</t>
  </si>
  <si>
    <t>4610011503818</t>
  </si>
  <si>
    <t>Напиток Кока Кола пл/б 1л</t>
  </si>
  <si>
    <t>5449000054227</t>
  </si>
  <si>
    <t>Напиток Кока Кола пл/б 2л</t>
  </si>
  <si>
    <t>5449000000286</t>
  </si>
  <si>
    <t>Напиток энергетический Адреналин ж/б 0,449л Rush</t>
  </si>
  <si>
    <t>4600494694202</t>
  </si>
  <si>
    <t>Напиток энергетический Горилла ж/б 450мл</t>
  </si>
  <si>
    <t>4650243871828</t>
  </si>
  <si>
    <t>Нектар Кикуни ст/б 0,75л абрикосовый</t>
  </si>
  <si>
    <t>4678598774403</t>
  </si>
  <si>
    <t>Сок Вико 1л ананасовый</t>
  </si>
  <si>
    <t>4601248016332</t>
  </si>
  <si>
    <t>Сок Ириб ст/б 0,75л Апельсиновый 100%</t>
  </si>
  <si>
    <t>4607122945675</t>
  </si>
  <si>
    <t>Чай холодный Липтон 0,5л Зеленый</t>
  </si>
  <si>
    <t>4600494600463</t>
  </si>
  <si>
    <t>Чай холодный Менди пл/б 1,25л Лесная ягода</t>
  </si>
  <si>
    <t>4606592001362</t>
  </si>
  <si>
    <t>Семечки Джинн великан 100г</t>
  </si>
  <si>
    <t>4630007400990</t>
  </si>
  <si>
    <t>Семечки Джинн Солнечный Великан соленый 200г</t>
  </si>
  <si>
    <t>4630007401362</t>
  </si>
  <si>
    <t>Чипсы LIT ENERGY 120г Паприка</t>
  </si>
  <si>
    <t>4680232931127</t>
  </si>
  <si>
    <t>Чипсы Лейс 140г Сыр</t>
  </si>
  <si>
    <t>4690388111359</t>
  </si>
  <si>
    <t>Грецкий орех очищенный половинки вес</t>
  </si>
  <si>
    <t>2184638</t>
  </si>
  <si>
    <t>Кешью сырой вес</t>
  </si>
  <si>
    <t>2127426</t>
  </si>
  <si>
    <t>Миндаль золотой вес</t>
  </si>
  <si>
    <t>2153304</t>
  </si>
  <si>
    <t>Финики королевские вес</t>
  </si>
  <si>
    <t>2170890</t>
  </si>
  <si>
    <t>Фисташки Иран 1с</t>
  </si>
  <si>
    <t>2198321</t>
  </si>
  <si>
    <t>Фундук очищенный вес</t>
  </si>
  <si>
    <t>2109532</t>
  </si>
  <si>
    <t>Крабовые палочки Русское море 200г</t>
  </si>
  <si>
    <t>4605561014204</t>
  </si>
  <si>
    <t>Сельдь малосоленая Р</t>
  </si>
  <si>
    <t>2102019</t>
  </si>
  <si>
    <t>Скумбрия х/к Р</t>
  </si>
  <si>
    <t>2193317</t>
  </si>
  <si>
    <t>Малина Фрамбини в белом и молочном шоколаде 130г</t>
  </si>
  <si>
    <t>4620269170144</t>
  </si>
  <si>
    <t>Брокколи Хортекс 400г</t>
  </si>
  <si>
    <t>4610088414673</t>
  </si>
  <si>
    <t>Салат Vip Хортекс 400г</t>
  </si>
  <si>
    <t>4610088414710</t>
  </si>
  <si>
    <t>Филе цыпленка Приосколье Халяль</t>
  </si>
  <si>
    <t>2189791</t>
  </si>
  <si>
    <t>Яйцо куриное Первая категория 10шт</t>
  </si>
  <si>
    <t>4603728302539</t>
  </si>
  <si>
    <t>Яйцо куриное Отборное 10шт К</t>
  </si>
  <si>
    <t>4626015440226</t>
  </si>
  <si>
    <t>Яйцо перепелиное 20шт бум/уп</t>
  </si>
  <si>
    <t>4606910000015</t>
  </si>
  <si>
    <t>Курица фермерская п/ф</t>
  </si>
  <si>
    <t>Уголь 5кг березовый Binchotes</t>
  </si>
  <si>
    <t>4678597315096</t>
  </si>
  <si>
    <t>Комплект фумигатор+жидкость 45 ночей Москитолл</t>
  </si>
  <si>
    <t>4650056490797</t>
  </si>
  <si>
    <t>Комплект фумигатор+жидкость 30 ночей Раптор</t>
  </si>
  <si>
    <t>4607131422914</t>
  </si>
  <si>
    <t>Кол-во_продаж</t>
  </si>
  <si>
    <t>Выручка</t>
  </si>
  <si>
    <t>Валовая_прибыль</t>
  </si>
  <si>
    <t>ℹ️  Заполните по штрихкоду. При отсутствии данных — расчёты на листе Расчеты работают без ошибок.</t>
  </si>
  <si>
    <t>ИДЕНТИФИКАЦИЯ</t>
  </si>
  <si>
    <t>ЦЕНЫ ЗЯ / СИГНАЛ</t>
  </si>
  <si>
    <t>АНАЛИЗ РЫНКА</t>
  </si>
  <si>
    <t>ЭКОНОМИКА ТЕКУЩАЯ</t>
  </si>
  <si>
    <t>ПРОДАЖИ</t>
  </si>
  <si>
    <t>С1: СРЕДНЯЯ РЫНКА</t>
  </si>
  <si>
    <t>С2: МЕДИАНА РЫНКА</t>
  </si>
  <si>
    <t>С3: МИН.КОНКУРЕНТ</t>
  </si>
  <si>
    <t>С4: ПРОИЗВ.ЦЕНА</t>
  </si>
  <si>
    <t>С5: ЦЕЛЕВАЯ МАРЖА</t>
  </si>
  <si>
    <t>МОДЕЛИРОВАНИЕ ПРОДАЖ</t>
  </si>
  <si>
    <t>Закупочная цена</t>
  </si>
  <si>
    <t>Розничная цена ЗЯ</t>
  </si>
  <si>
    <t>Сигнал цены</t>
  </si>
  <si>
    <t>Ср.цена рынка</t>
  </si>
  <si>
    <t>Медиана рынка</t>
  </si>
  <si>
    <t>Мин.конкурент</t>
  </si>
  <si>
    <t>Макс.конкурент</t>
  </si>
  <si>
    <t>Откл.от средней</t>
  </si>
  <si>
    <t>Откл.от медианы</t>
  </si>
  <si>
    <t>Откл.от минимума</t>
  </si>
  <si>
    <t>Рейтинг цены</t>
  </si>
  <si>
    <t>Позиц.на рынке</t>
  </si>
  <si>
    <t>Наценка тек.%</t>
  </si>
  <si>
    <t>Маржа тек.%</t>
  </si>
  <si>
    <t>ВП/ед тек.</t>
  </si>
  <si>
    <t>Сигнал маржи</t>
  </si>
  <si>
    <t>Риск потери ВП</t>
  </si>
  <si>
    <t>Кол-во продаж</t>
  </si>
  <si>
    <t>Выручка тек.</t>
  </si>
  <si>
    <t>ВП тек.суммарная</t>
  </si>
  <si>
    <t>Маржа тек.общая%</t>
  </si>
  <si>
    <t>С1:Цена</t>
  </si>
  <si>
    <t>С1:Наценка%</t>
  </si>
  <si>
    <t>С1:Маржа%</t>
  </si>
  <si>
    <t>С1:ВП/ед</t>
  </si>
  <si>
    <t>С1:Δ цены%</t>
  </si>
  <si>
    <t>С1:Δ маржи%</t>
  </si>
  <si>
    <t>С1:Δ ВП/ед</t>
  </si>
  <si>
    <t>С2:Цена</t>
  </si>
  <si>
    <t>С2:Наценка%</t>
  </si>
  <si>
    <t>С2:Маржа%</t>
  </si>
  <si>
    <t>С2:ВП/ед</t>
  </si>
  <si>
    <t>С2:Δ цены%</t>
  </si>
  <si>
    <t>С2:Δ маржи%</t>
  </si>
  <si>
    <t>С2:Δ ВП/ед</t>
  </si>
  <si>
    <t>С3:Цена</t>
  </si>
  <si>
    <t>С3:Наценка%</t>
  </si>
  <si>
    <t>С3:Маржа%</t>
  </si>
  <si>
    <t>С3:ВП/ед</t>
  </si>
  <si>
    <t>С3:Δ цены%</t>
  </si>
  <si>
    <t>С3:Δ маржи%</t>
  </si>
  <si>
    <t>С3:Δ ВП/ед</t>
  </si>
  <si>
    <t>С4:Нов.цена[ВВОД]</t>
  </si>
  <si>
    <t>С4:Наценка%</t>
  </si>
  <si>
    <t>С4:Маржа%</t>
  </si>
  <si>
    <t>С4:ВП/ед</t>
  </si>
  <si>
    <t>С4:Δ цены%</t>
  </si>
  <si>
    <t>С4:Δ маржи%</t>
  </si>
  <si>
    <t>С4:Δ ВП/ед</t>
  </si>
  <si>
    <t>С5:Цел.маржа[ВВОД]</t>
  </si>
  <si>
    <t>С5:Цена</t>
  </si>
  <si>
    <t>С5:Наценка%</t>
  </si>
  <si>
    <t>С5:Маржа%</t>
  </si>
  <si>
    <t>С5:ВП/ед</t>
  </si>
  <si>
    <t>С5:Δ цены%</t>
  </si>
  <si>
    <t>С5:Δ маржи%</t>
  </si>
  <si>
    <t>С5:Δ ВП/ед</t>
  </si>
  <si>
    <t>С1:Прогн.выручка</t>
  </si>
  <si>
    <t>С1:Прогн.ВП</t>
  </si>
  <si>
    <t>С2:Прогн.выручка</t>
  </si>
  <si>
    <t>С2:Прогн.ВП</t>
  </si>
  <si>
    <t>С3:Прогн.выручка</t>
  </si>
  <si>
    <t>С3:Прогн.ВП</t>
  </si>
  <si>
    <t>С4:Прогн.выручка</t>
  </si>
  <si>
    <t>С4:Прогн.ВП</t>
  </si>
  <si>
    <t>С5:Прогн.выручка</t>
  </si>
  <si>
    <t>С5:Прогн.ВП</t>
  </si>
  <si>
    <t>С1:Треб.рост шт</t>
  </si>
  <si>
    <t>С1:Треб.рост %</t>
  </si>
  <si>
    <t>С3:Треб.рост шт</t>
  </si>
  <si>
    <t>С3:Треб.рост %</t>
  </si>
  <si>
    <t>🍏  ЗЕЛЕНОЕ ЯБЛОКО — Dashboard цен и маржи</t>
  </si>
  <si>
    <t>Основные показатели по всему прайс-листу | Автообновление</t>
  </si>
  <si>
    <t>Всего позиций</t>
  </si>
  <si>
    <t>🔴 Выше рынка</t>
  </si>
  <si>
    <t>🟢 Ниже рынка</t>
  </si>
  <si>
    <t>📊 Средняя маржа</t>
  </si>
  <si>
    <t>📊 Средняя наценка</t>
  </si>
  <si>
    <t>⚠️ С критич.риском</t>
  </si>
  <si>
    <t>💰 Ср.ВП/ед (расч.)</t>
  </si>
  <si>
    <t>🏷️ Ср.цена ЗЯ</t>
  </si>
  <si>
    <t>🏷️ Ср.цена рынка</t>
  </si>
  <si>
    <t>↕️ Ср.откл.от рынка</t>
  </si>
  <si>
    <t>🟡 На уровне рынка</t>
  </si>
  <si>
    <t>✅ Хор.маржа(&gt;20%)</t>
  </si>
  <si>
    <t>🏆 Топ-10 позиций по текущей марже %</t>
  </si>
  <si>
    <t>🔴 Топ-10 выше рынка (откл.от средней)</t>
  </si>
  <si>
    <t>Маржа %</t>
  </si>
  <si>
    <t>ВП/ед</t>
  </si>
  <si>
    <t>Откл.%</t>
  </si>
  <si>
    <t>Цена ЗЯ</t>
  </si>
  <si>
    <t>📋  СЦЕНАРНЫЙ АНАЛИЗ — Сравнение 5 сценариев по всем позициям</t>
  </si>
  <si>
    <t>Кол-во продаж вводится вручную на листе 🔢 Расчеты (кол. T) или на листе 🛒 Продажи. При отсутствии — расчёты по ценам активны.</t>
  </si>
  <si>
    <t>Сценарий</t>
  </si>
  <si>
    <t>Описание</t>
  </si>
  <si>
    <t>Ср.новая цена</t>
  </si>
  <si>
    <t>Ср.новая маржа</t>
  </si>
  <si>
    <t>Ср.ВП/ед</t>
  </si>
  <si>
    <t>Σ прогн.ВП</t>
  </si>
  <si>
    <t>Вывод</t>
  </si>
  <si>
    <t>Текущая</t>
  </si>
  <si>
    <t>Действующая цена ЗЯ</t>
  </si>
  <si>
    <t>Базовый уровень</t>
  </si>
  <si>
    <t>С1: Средняя рынка</t>
  </si>
  <si>
    <t>Цена = средняя по конкурентам</t>
  </si>
  <si>
    <t>Выравнивание по рынку</t>
  </si>
  <si>
    <t>С2: Медиана рынка</t>
  </si>
  <si>
    <t>Цена = медианная по конкурентам</t>
  </si>
  <si>
    <t>Устойчив к выбросам</t>
  </si>
  <si>
    <t>С3: Мин.конкурент</t>
  </si>
  <si>
    <t>Цена = минимальный конкурент</t>
  </si>
  <si>
    <t>⚠️ Риск потери маржи</t>
  </si>
  <si>
    <t>С4: Произв.цена</t>
  </si>
  <si>
    <t>Пользовательская цена (кол.AS в Расчетах)</t>
  </si>
  <si>
    <t>Пользовательский сценарий</t>
  </si>
  <si>
    <t>С5: Целевая маржа</t>
  </si>
  <si>
    <t>Цена по целевой марже (кол.AZ в Расчетах)</t>
  </si>
  <si>
    <t>Маржинальный сценарий</t>
  </si>
  <si>
    <t>🚦 АВТОМАТИЧЕСКИЕ СИГНАЛЫ</t>
  </si>
  <si>
    <t>Позиций с ценой ВЫШЕ рынка</t>
  </si>
  <si>
    <t>🔴 Рассмотреть снижение цены до С1 или С2</t>
  </si>
  <si>
    <t>Позиций с ценой НИЖЕ рынка</t>
  </si>
  <si>
    <t>🟢 Потенциал повышения цены без потери конкурентоспособности</t>
  </si>
  <si>
    <t>Позиций с КРИТИЧНЫМ риском ВП (С3)</t>
  </si>
  <si>
    <t>🔴 Снижение до мин.конкурента дает маржу &lt;5% — опасно</t>
  </si>
  <si>
    <t>Позиций с УМЕРЕННЫМ риском (С3)</t>
  </si>
  <si>
    <t>🟡 Требует мониторинга при изменении цены</t>
  </si>
  <si>
    <t>Позиций с ХОРОШЕЙ маржой (&gt;20%)</t>
  </si>
  <si>
    <t>🟢 Высокая ценовая гибкость</t>
  </si>
  <si>
    <t>Позиций с НИЗКОЙ маржой (&lt;10%)</t>
  </si>
  <si>
    <t>🔴 Приоритет: переговоры с поставщиком / ценовая корректировка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</si>
</sst>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\+0.0%;\-0.0%;\—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u/>
      <sz val="11"/>
      <color rgb="FF0070C0"/>
      <name val="Calibri"/>
      <family val="2"/>
      <charset val="204"/>
    </font>
    <font>
      <sz val="10"/>
      <color rgb="FF595959"/>
      <name val="Calibri"/>
      <family val="2"/>
      <charset val="204"/>
    </font>
    <font>
      <sz val="10"/>
      <color rgb="FF0070C0"/>
      <name val="Calibri"/>
      <family val="2"/>
      <charset val="204"/>
    </font>
    <font>
      <sz val="9"/>
      <color rgb="FF595959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10"/>
      <color rgb="FF008000"/>
      <name val="Calibri"/>
      <family val="2"/>
      <charset val="204"/>
    </font>
    <font>
      <b/>
      <sz val="16"/>
      <color rgb="FFFFFFFF"/>
      <name val="Calibri"/>
      <family val="2"/>
      <charset val="204"/>
    </font>
    <font>
      <b/>
      <sz val="18"/>
      <color rgb="FF1F3864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0"/>
      <color rgb="FFC00000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4A6FA5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9E3AC4"/>
      </patternFill>
    </fill>
    <fill>
      <patternFill patternType="solid">
        <fgColor rgb="FFC55A11"/>
      </patternFill>
    </fill>
    <fill>
      <patternFill patternType="solid">
        <fgColor rgb="FF843C0C"/>
      </patternFill>
    </fill>
    <fill>
      <patternFill patternType="solid">
        <fgColor rgb="FF833C00"/>
      </patternFill>
    </fill>
    <fill>
      <patternFill patternType="solid">
        <fgColor rgb="FF0070C0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0E6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3" fontId="7" fillId="16" borderId="1" xfId="0" applyNumberFormat="1" applyFont="1" applyFill="1" applyBorder="1" applyAlignment="1">
      <alignment horizontal="right" vertical="center"/>
    </xf>
    <xf numFmtId="4" fontId="3" fillId="16" borderId="1" xfId="0" applyNumberFormat="1" applyFont="1" applyFill="1" applyBorder="1" applyAlignment="1">
      <alignment horizontal="right" vertical="center"/>
    </xf>
    <xf numFmtId="164" fontId="7" fillId="16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indent="1"/>
    </xf>
    <xf numFmtId="0" fontId="3" fillId="16" borderId="1" xfId="0" applyFont="1" applyFill="1" applyBorder="1" applyAlignment="1">
      <alignment horizontal="left" vertical="center" indent="1"/>
    </xf>
    <xf numFmtId="4" fontId="3" fillId="16" borderId="1" xfId="0" applyNumberFormat="1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 indent="1"/>
    </xf>
    <xf numFmtId="0" fontId="3" fillId="18" borderId="1" xfId="0" applyFont="1" applyFill="1" applyBorder="1" applyAlignment="1">
      <alignment horizontal="left" vertical="center" indent="1"/>
    </xf>
    <xf numFmtId="4" fontId="3" fillId="18" borderId="1" xfId="0" applyNumberFormat="1" applyFont="1" applyFill="1" applyBorder="1" applyAlignment="1">
      <alignment horizontal="center" vertical="center"/>
    </xf>
    <xf numFmtId="16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 indent="1"/>
    </xf>
    <xf numFmtId="0" fontId="3" fillId="19" borderId="1" xfId="0" applyFont="1" applyFill="1" applyBorder="1" applyAlignment="1">
      <alignment horizontal="left" vertical="center" indent="1"/>
    </xf>
    <xf numFmtId="4" fontId="3" fillId="19" borderId="1" xfId="0" applyNumberFormat="1" applyFont="1" applyFill="1" applyBorder="1" applyAlignment="1">
      <alignment horizontal="center" vertical="center"/>
    </xf>
    <xf numFmtId="16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 indent="1"/>
    </xf>
    <xf numFmtId="0" fontId="3" fillId="20" borderId="1" xfId="0" applyFont="1" applyFill="1" applyBorder="1" applyAlignment="1">
      <alignment horizontal="left" vertical="center" indent="1"/>
    </xf>
    <xf numFmtId="4" fontId="3" fillId="20" borderId="1" xfId="0" applyNumberFormat="1" applyFont="1" applyFill="1" applyBorder="1" applyAlignment="1">
      <alignment horizontal="center" vertical="center"/>
    </xf>
    <xf numFmtId="164" fontId="3" fillId="20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indent="2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1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l_Sales" displayName="tbl_Sales" ref="A1:D11">
  <autoFilter ref="A1:D11"/>
  <tableColumns count="4">
    <tableColumn id="1" name="Штрихкод"/>
    <tableColumn id="2" name="Кол-во_продаж"/>
    <tableColumn id="3" name="Выручка"/>
    <tableColumn id="4" name="Валовая_прибыл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2:K39"/>
  <sheetViews>
    <sheetView showGridLines="0" workbookViewId="0">
      <selection activeCell="B15" sqref="B15:K15"/>
    </sheetView>
  </sheetViews>
  <sheetFormatPr defaultRowHeight="14.4" x14ac:dyDescent="0.3"/>
  <cols>
    <col min="1" max="1" width="3" customWidth="1"/>
    <col min="2" max="11" width="22" customWidth="1"/>
  </cols>
  <sheetData>
    <row r="2" spans="2:11" ht="30" customHeight="1" x14ac:dyDescent="0.3">
      <c r="B2" s="72" t="s">
        <v>0</v>
      </c>
      <c r="C2" s="71"/>
      <c r="D2" s="71"/>
      <c r="E2" s="71"/>
      <c r="F2" s="71"/>
      <c r="G2" s="71"/>
      <c r="H2" s="71"/>
      <c r="I2" s="71"/>
      <c r="J2" s="71"/>
      <c r="K2" s="71"/>
    </row>
    <row r="3" spans="2:11" ht="6" customHeight="1" x14ac:dyDescent="0.3"/>
    <row r="4" spans="2:11" ht="19.95" customHeight="1" x14ac:dyDescent="0.3">
      <c r="B4" s="75" t="s">
        <v>1</v>
      </c>
      <c r="C4" s="71"/>
      <c r="D4" s="71"/>
      <c r="E4" s="71"/>
      <c r="F4" s="71"/>
      <c r="G4" s="71"/>
      <c r="H4" s="71"/>
      <c r="I4" s="71"/>
      <c r="J4" s="71"/>
      <c r="K4" s="71"/>
    </row>
    <row r="5" spans="2:11" ht="18" customHeight="1" x14ac:dyDescent="0.3">
      <c r="B5" s="73" t="s">
        <v>2</v>
      </c>
      <c r="C5" s="71"/>
      <c r="D5" s="71"/>
      <c r="E5" s="71"/>
      <c r="F5" s="71"/>
      <c r="G5" s="71"/>
      <c r="H5" s="71"/>
      <c r="I5" s="71"/>
      <c r="J5" s="71"/>
      <c r="K5" s="71"/>
    </row>
    <row r="7" spans="2:11" ht="19.95" customHeight="1" x14ac:dyDescent="0.3">
      <c r="B7" s="75" t="s">
        <v>3</v>
      </c>
      <c r="C7" s="71"/>
      <c r="D7" s="71"/>
      <c r="E7" s="71"/>
      <c r="F7" s="71"/>
      <c r="G7" s="71"/>
      <c r="H7" s="71"/>
      <c r="I7" s="71"/>
      <c r="J7" s="71"/>
      <c r="K7" s="71"/>
    </row>
    <row r="8" spans="2:11" ht="18" customHeight="1" x14ac:dyDescent="0.3">
      <c r="B8" s="73" t="s">
        <v>4</v>
      </c>
      <c r="C8" s="71"/>
      <c r="D8" s="71"/>
      <c r="E8" s="71"/>
      <c r="F8" s="71"/>
      <c r="G8" s="71"/>
      <c r="H8" s="71"/>
      <c r="I8" s="71"/>
      <c r="J8" s="71"/>
      <c r="K8" s="71"/>
    </row>
    <row r="9" spans="2:11" ht="18" customHeight="1" x14ac:dyDescent="0.3">
      <c r="B9" s="73" t="s">
        <v>5</v>
      </c>
      <c r="C9" s="71"/>
      <c r="D9" s="71"/>
      <c r="E9" s="71"/>
      <c r="F9" s="71"/>
      <c r="G9" s="71"/>
      <c r="H9" s="71"/>
      <c r="I9" s="71"/>
      <c r="J9" s="71"/>
      <c r="K9" s="71"/>
    </row>
    <row r="10" spans="2:11" ht="18" customHeight="1" x14ac:dyDescent="0.3">
      <c r="B10" s="73" t="s">
        <v>6</v>
      </c>
      <c r="C10" s="71"/>
      <c r="D10" s="71"/>
      <c r="E10" s="71"/>
      <c r="F10" s="71"/>
      <c r="G10" s="71"/>
      <c r="H10" s="71"/>
      <c r="I10" s="71"/>
      <c r="J10" s="71"/>
      <c r="K10" s="71"/>
    </row>
    <row r="11" spans="2:11" ht="18" customHeight="1" x14ac:dyDescent="0.3">
      <c r="B11" s="73" t="s">
        <v>7</v>
      </c>
      <c r="C11" s="71"/>
      <c r="D11" s="71"/>
      <c r="E11" s="71"/>
      <c r="F11" s="71"/>
      <c r="G11" s="71"/>
      <c r="H11" s="71"/>
      <c r="I11" s="71"/>
      <c r="J11" s="71"/>
      <c r="K11" s="71"/>
    </row>
    <row r="12" spans="2:11" ht="18" customHeight="1" x14ac:dyDescent="0.3">
      <c r="B12" s="73" t="s">
        <v>8</v>
      </c>
      <c r="C12" s="71"/>
      <c r="D12" s="71"/>
      <c r="E12" s="71"/>
      <c r="F12" s="71"/>
      <c r="G12" s="71"/>
      <c r="H12" s="71"/>
      <c r="I12" s="71"/>
      <c r="J12" s="71"/>
      <c r="K12" s="71"/>
    </row>
    <row r="14" spans="2:11" ht="19.95" customHeight="1" x14ac:dyDescent="0.3">
      <c r="B14" s="75" t="s">
        <v>9</v>
      </c>
      <c r="C14" s="71"/>
      <c r="D14" s="71"/>
      <c r="E14" s="71"/>
      <c r="F14" s="71"/>
      <c r="G14" s="71"/>
      <c r="H14" s="71"/>
      <c r="I14" s="71"/>
      <c r="J14" s="71"/>
      <c r="K14" s="71"/>
    </row>
    <row r="15" spans="2:11" ht="18" customHeight="1" x14ac:dyDescent="0.3">
      <c r="B15" s="73">
        <v>3</v>
      </c>
      <c r="C15" s="71"/>
      <c r="D15" s="71"/>
      <c r="E15" s="71"/>
      <c r="F15" s="71"/>
      <c r="G15" s="71"/>
      <c r="H15" s="71"/>
      <c r="I15" s="71"/>
      <c r="J15" s="71"/>
      <c r="K15" s="71"/>
    </row>
    <row r="16" spans="2:11" ht="18" customHeight="1" x14ac:dyDescent="0.3">
      <c r="B16" s="73" t="s">
        <v>10</v>
      </c>
      <c r="C16" s="71"/>
      <c r="D16" s="71"/>
      <c r="E16" s="71"/>
      <c r="F16" s="71"/>
      <c r="G16" s="71"/>
      <c r="H16" s="71"/>
      <c r="I16" s="71"/>
      <c r="J16" s="71"/>
      <c r="K16" s="71"/>
    </row>
    <row r="17" spans="2:11" ht="18" customHeight="1" x14ac:dyDescent="0.3">
      <c r="B17" s="73" t="s">
        <v>11</v>
      </c>
      <c r="C17" s="71"/>
      <c r="D17" s="71"/>
      <c r="E17" s="71"/>
      <c r="F17" s="71"/>
      <c r="G17" s="71"/>
      <c r="H17" s="71"/>
      <c r="I17" s="71"/>
      <c r="J17" s="71"/>
      <c r="K17" s="71"/>
    </row>
    <row r="18" spans="2:11" ht="18" customHeight="1" x14ac:dyDescent="0.3">
      <c r="B18" s="73" t="s">
        <v>12</v>
      </c>
      <c r="C18" s="71"/>
      <c r="D18" s="71"/>
      <c r="E18" s="71"/>
      <c r="F18" s="71"/>
      <c r="G18" s="71"/>
      <c r="H18" s="71"/>
      <c r="I18" s="71"/>
      <c r="J18" s="71"/>
      <c r="K18" s="71"/>
    </row>
    <row r="20" spans="2:11" ht="19.95" customHeight="1" x14ac:dyDescent="0.3">
      <c r="B20" s="75" t="s">
        <v>13</v>
      </c>
      <c r="C20" s="71"/>
      <c r="D20" s="71"/>
      <c r="E20" s="71"/>
      <c r="F20" s="71"/>
      <c r="G20" s="71"/>
      <c r="H20" s="71"/>
      <c r="I20" s="71"/>
      <c r="J20" s="71"/>
      <c r="K20" s="71"/>
    </row>
    <row r="21" spans="2:11" ht="18" customHeight="1" x14ac:dyDescent="0.3">
      <c r="B21" s="73" t="s">
        <v>14</v>
      </c>
      <c r="C21" s="71"/>
      <c r="D21" s="71"/>
      <c r="E21" s="71"/>
      <c r="F21" s="71"/>
      <c r="G21" s="71"/>
      <c r="H21" s="71"/>
      <c r="I21" s="71"/>
      <c r="J21" s="71"/>
      <c r="K21" s="71"/>
    </row>
    <row r="22" spans="2:11" ht="18" customHeight="1" x14ac:dyDescent="0.3">
      <c r="B22" s="73" t="s">
        <v>15</v>
      </c>
      <c r="C22" s="71"/>
      <c r="D22" s="71"/>
      <c r="E22" s="71"/>
      <c r="F22" s="71"/>
      <c r="G22" s="71"/>
      <c r="H22" s="71"/>
      <c r="I22" s="71"/>
      <c r="J22" s="71"/>
      <c r="K22" s="71"/>
    </row>
    <row r="23" spans="2:11" ht="18" customHeight="1" x14ac:dyDescent="0.3">
      <c r="B23" s="73" t="s">
        <v>16</v>
      </c>
      <c r="C23" s="71"/>
      <c r="D23" s="71"/>
      <c r="E23" s="71"/>
      <c r="F23" s="71"/>
      <c r="G23" s="71"/>
      <c r="H23" s="71"/>
      <c r="I23" s="71"/>
      <c r="J23" s="71"/>
      <c r="K23" s="71"/>
    </row>
    <row r="24" spans="2:11" ht="18" customHeight="1" x14ac:dyDescent="0.3">
      <c r="B24" s="73" t="s">
        <v>17</v>
      </c>
      <c r="C24" s="71"/>
      <c r="D24" s="71"/>
      <c r="E24" s="71"/>
      <c r="F24" s="71"/>
      <c r="G24" s="71"/>
      <c r="H24" s="71"/>
      <c r="I24" s="71"/>
      <c r="J24" s="71"/>
      <c r="K24" s="71"/>
    </row>
    <row r="25" spans="2:11" ht="18" customHeight="1" x14ac:dyDescent="0.3">
      <c r="B25" s="73" t="s">
        <v>18</v>
      </c>
      <c r="C25" s="71"/>
      <c r="D25" s="71"/>
      <c r="E25" s="71"/>
      <c r="F25" s="71"/>
      <c r="G25" s="71"/>
      <c r="H25" s="71"/>
      <c r="I25" s="71"/>
      <c r="J25" s="71"/>
      <c r="K25" s="71"/>
    </row>
    <row r="27" spans="2:11" ht="19.95" customHeight="1" x14ac:dyDescent="0.3">
      <c r="B27" s="75" t="s">
        <v>19</v>
      </c>
      <c r="C27" s="71"/>
      <c r="D27" s="71"/>
      <c r="E27" s="71"/>
      <c r="F27" s="71"/>
      <c r="G27" s="71"/>
      <c r="H27" s="71"/>
      <c r="I27" s="71"/>
      <c r="J27" s="71"/>
      <c r="K27" s="71"/>
    </row>
    <row r="28" spans="2:11" ht="18" customHeight="1" x14ac:dyDescent="0.3">
      <c r="B28" s="76" t="s">
        <v>20</v>
      </c>
      <c r="C28" s="71"/>
      <c r="D28" s="71"/>
      <c r="E28" s="74" t="s">
        <v>21</v>
      </c>
      <c r="F28" s="71"/>
      <c r="G28" s="71"/>
      <c r="H28" s="71"/>
      <c r="I28" s="71"/>
      <c r="J28" s="71"/>
      <c r="K28" s="71"/>
    </row>
    <row r="29" spans="2:11" ht="18" customHeight="1" x14ac:dyDescent="0.3">
      <c r="B29" s="76" t="s">
        <v>22</v>
      </c>
      <c r="C29" s="71"/>
      <c r="D29" s="71"/>
      <c r="E29" s="74" t="s">
        <v>23</v>
      </c>
      <c r="F29" s="71"/>
      <c r="G29" s="71"/>
      <c r="H29" s="71"/>
      <c r="I29" s="71"/>
      <c r="J29" s="71"/>
      <c r="K29" s="71"/>
    </row>
    <row r="30" spans="2:11" ht="18" customHeight="1" x14ac:dyDescent="0.3">
      <c r="B30" s="76" t="s">
        <v>24</v>
      </c>
      <c r="C30" s="71"/>
      <c r="D30" s="71"/>
      <c r="E30" s="74" t="s">
        <v>25</v>
      </c>
      <c r="F30" s="71"/>
      <c r="G30" s="71"/>
      <c r="H30" s="71"/>
      <c r="I30" s="71"/>
      <c r="J30" s="71"/>
      <c r="K30" s="71"/>
    </row>
    <row r="31" spans="2:11" ht="18" customHeight="1" x14ac:dyDescent="0.3">
      <c r="B31" s="76" t="s">
        <v>26</v>
      </c>
      <c r="C31" s="71"/>
      <c r="D31" s="71"/>
      <c r="E31" s="74" t="s">
        <v>27</v>
      </c>
      <c r="F31" s="71"/>
      <c r="G31" s="71"/>
      <c r="H31" s="71"/>
      <c r="I31" s="71"/>
      <c r="J31" s="71"/>
      <c r="K31" s="71"/>
    </row>
    <row r="32" spans="2:11" ht="18" customHeight="1" x14ac:dyDescent="0.3">
      <c r="B32" s="76" t="s">
        <v>28</v>
      </c>
      <c r="C32" s="71"/>
      <c r="D32" s="71"/>
      <c r="E32" s="74" t="s">
        <v>29</v>
      </c>
      <c r="F32" s="71"/>
      <c r="G32" s="71"/>
      <c r="H32" s="71"/>
      <c r="I32" s="71"/>
      <c r="J32" s="71"/>
      <c r="K32" s="71"/>
    </row>
    <row r="34" spans="2:11" ht="19.95" customHeight="1" x14ac:dyDescent="0.3">
      <c r="B34" s="75" t="s">
        <v>30</v>
      </c>
      <c r="C34" s="71"/>
      <c r="D34" s="71"/>
      <c r="E34" s="71"/>
      <c r="F34" s="71"/>
      <c r="G34" s="71"/>
      <c r="H34" s="71"/>
      <c r="I34" s="71"/>
      <c r="J34" s="71"/>
      <c r="K34" s="71"/>
    </row>
    <row r="35" spans="2:11" ht="19.95" customHeight="1" x14ac:dyDescent="0.3">
      <c r="B35" s="70" t="s">
        <v>31</v>
      </c>
      <c r="C35" s="71"/>
      <c r="D35" s="71"/>
      <c r="E35" s="71"/>
      <c r="F35" s="71"/>
      <c r="G35" s="71"/>
      <c r="H35" s="71"/>
      <c r="I35" s="71"/>
      <c r="J35" s="71"/>
      <c r="K35" s="71"/>
    </row>
    <row r="36" spans="2:11" ht="19.95" customHeight="1" x14ac:dyDescent="0.3">
      <c r="B36" s="70" t="s">
        <v>32</v>
      </c>
      <c r="C36" s="71"/>
      <c r="D36" s="71"/>
      <c r="E36" s="71"/>
      <c r="F36" s="71"/>
      <c r="G36" s="71"/>
      <c r="H36" s="71"/>
      <c r="I36" s="71"/>
      <c r="J36" s="71"/>
      <c r="K36" s="71"/>
    </row>
    <row r="37" spans="2:11" ht="19.95" customHeight="1" x14ac:dyDescent="0.3">
      <c r="B37" s="70" t="s">
        <v>33</v>
      </c>
      <c r="C37" s="71"/>
      <c r="D37" s="71"/>
      <c r="E37" s="71"/>
      <c r="F37" s="71"/>
      <c r="G37" s="71"/>
      <c r="H37" s="71"/>
      <c r="I37" s="71"/>
      <c r="J37" s="71"/>
      <c r="K37" s="71"/>
    </row>
    <row r="38" spans="2:11" ht="19.95" customHeight="1" x14ac:dyDescent="0.3">
      <c r="B38" s="70" t="s">
        <v>34</v>
      </c>
      <c r="C38" s="71"/>
      <c r="D38" s="71"/>
      <c r="E38" s="71"/>
      <c r="F38" s="71"/>
      <c r="G38" s="71"/>
      <c r="H38" s="71"/>
      <c r="I38" s="71"/>
      <c r="J38" s="71"/>
      <c r="K38" s="71"/>
    </row>
    <row r="39" spans="2:11" ht="19.95" customHeight="1" x14ac:dyDescent="0.3">
      <c r="B39" s="70" t="s">
        <v>35</v>
      </c>
      <c r="C39" s="71"/>
      <c r="D39" s="71"/>
      <c r="E39" s="71"/>
      <c r="F39" s="71"/>
      <c r="G39" s="71"/>
      <c r="H39" s="71"/>
      <c r="I39" s="71"/>
      <c r="J39" s="71"/>
      <c r="K39" s="71"/>
    </row>
  </sheetData>
  <mergeCells count="37">
    <mergeCell ref="B15:K15"/>
    <mergeCell ref="B24:K24"/>
    <mergeCell ref="E32:K32"/>
    <mergeCell ref="B20:K20"/>
    <mergeCell ref="B29:D29"/>
    <mergeCell ref="B36:K36"/>
    <mergeCell ref="B28:D28"/>
    <mergeCell ref="B4:K4"/>
    <mergeCell ref="B35:K35"/>
    <mergeCell ref="B7:K7"/>
    <mergeCell ref="B25:K25"/>
    <mergeCell ref="B30:D30"/>
    <mergeCell ref="B16:K16"/>
    <mergeCell ref="B22:K22"/>
    <mergeCell ref="B18:K18"/>
    <mergeCell ref="B27:K27"/>
    <mergeCell ref="B32:D32"/>
    <mergeCell ref="B21:K21"/>
    <mergeCell ref="E29:K29"/>
    <mergeCell ref="B12:K12"/>
    <mergeCell ref="B9:K9"/>
    <mergeCell ref="B39:K39"/>
    <mergeCell ref="B2:K2"/>
    <mergeCell ref="B11:K11"/>
    <mergeCell ref="E28:K28"/>
    <mergeCell ref="B23:K23"/>
    <mergeCell ref="E31:K31"/>
    <mergeCell ref="B8:K8"/>
    <mergeCell ref="B14:K14"/>
    <mergeCell ref="B31:D31"/>
    <mergeCell ref="B17:K17"/>
    <mergeCell ref="E30:K30"/>
    <mergeCell ref="B38:K38"/>
    <mergeCell ref="B34:K34"/>
    <mergeCell ref="B10:K10"/>
    <mergeCell ref="B37:K37"/>
    <mergeCell ref="B5:K5"/>
  </mergeCells>
  <hyperlinks>
    <hyperlink ref="B35" location="'📊 Исходные данные'!A1" display="📊 Исходные данные"/>
    <hyperlink ref="B36" location="'🛒 Продажи'!A1" display="🛒 Продажи"/>
    <hyperlink ref="B37" location="'🔢 Расчеты'!A1" display="🔢 Расчеты"/>
    <hyperlink ref="B38" location="'📈 Dashboard'!B2" display="📈 Dashboard"/>
    <hyperlink ref="B39" location="'📋 Сценарный анализ'!B2" display="📋 Сценарный анализ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K88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D88" sqref="D88"/>
    </sheetView>
  </sheetViews>
  <sheetFormatPr defaultRowHeight="14.4" x14ac:dyDescent="0.3"/>
  <cols>
    <col min="1" max="1" width="42" customWidth="1"/>
    <col min="2" max="2" width="18" customWidth="1"/>
    <col min="3" max="3" width="16" customWidth="1"/>
    <col min="4" max="4" width="18" customWidth="1"/>
    <col min="5" max="6" width="16" customWidth="1"/>
    <col min="7" max="7" width="14" customWidth="1"/>
    <col min="8" max="8" width="12" customWidth="1"/>
    <col min="9" max="9" width="14" customWidth="1"/>
    <col min="10" max="10" width="18" customWidth="1"/>
    <col min="11" max="11" width="20" customWidth="1"/>
  </cols>
  <sheetData>
    <row r="1" spans="1:11" ht="22.05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 x14ac:dyDescent="0.3">
      <c r="A2" s="2" t="s">
        <v>47</v>
      </c>
      <c r="B2" s="3" t="s">
        <v>48</v>
      </c>
      <c r="C2" s="4">
        <v>29</v>
      </c>
      <c r="D2" s="4">
        <v>39</v>
      </c>
      <c r="E2" s="4"/>
      <c r="F2" s="4">
        <v>55</v>
      </c>
      <c r="G2" s="4"/>
      <c r="H2" s="4"/>
      <c r="I2" s="4">
        <v>52</v>
      </c>
      <c r="J2" s="4">
        <v>41</v>
      </c>
      <c r="K2" s="4"/>
    </row>
    <row r="3" spans="1:11" x14ac:dyDescent="0.3">
      <c r="A3" s="2" t="s">
        <v>49</v>
      </c>
      <c r="B3" s="3" t="s">
        <v>50</v>
      </c>
      <c r="C3" s="4">
        <v>87.83</v>
      </c>
      <c r="D3" s="4">
        <v>119</v>
      </c>
      <c r="E3" s="4"/>
      <c r="F3" s="4"/>
      <c r="G3" s="4"/>
      <c r="H3" s="4">
        <v>131</v>
      </c>
      <c r="I3" s="4"/>
      <c r="J3" s="4">
        <v>110</v>
      </c>
      <c r="K3" s="4"/>
    </row>
    <row r="4" spans="1:11" x14ac:dyDescent="0.3">
      <c r="A4" s="2" t="s">
        <v>51</v>
      </c>
      <c r="B4" s="3" t="s">
        <v>52</v>
      </c>
      <c r="C4" s="4">
        <v>236.18</v>
      </c>
      <c r="D4" s="4">
        <v>339</v>
      </c>
      <c r="E4" s="4"/>
      <c r="F4" s="4">
        <v>349</v>
      </c>
      <c r="G4" s="4"/>
      <c r="H4" s="4">
        <v>301</v>
      </c>
      <c r="I4" s="4"/>
      <c r="J4" s="4">
        <v>265</v>
      </c>
      <c r="K4" s="4">
        <v>299</v>
      </c>
    </row>
    <row r="5" spans="1:11" x14ac:dyDescent="0.3">
      <c r="A5" s="2" t="s">
        <v>53</v>
      </c>
      <c r="B5" s="3" t="s">
        <v>54</v>
      </c>
      <c r="C5" s="4">
        <v>235</v>
      </c>
      <c r="D5" s="4">
        <v>289</v>
      </c>
      <c r="E5" s="4"/>
      <c r="F5" s="4">
        <v>285</v>
      </c>
      <c r="G5" s="4"/>
      <c r="H5" s="4">
        <v>288</v>
      </c>
      <c r="I5" s="4"/>
      <c r="J5" s="4">
        <v>240</v>
      </c>
      <c r="K5" s="4">
        <v>230</v>
      </c>
    </row>
    <row r="6" spans="1:11" x14ac:dyDescent="0.3">
      <c r="A6" s="2" t="s">
        <v>55</v>
      </c>
      <c r="B6" s="3" t="s">
        <v>56</v>
      </c>
      <c r="C6" s="4">
        <v>255</v>
      </c>
      <c r="D6" s="4">
        <v>385</v>
      </c>
      <c r="E6" s="4"/>
      <c r="F6" s="4">
        <v>356</v>
      </c>
      <c r="G6" s="4"/>
      <c r="H6" s="4">
        <v>394</v>
      </c>
      <c r="I6" s="4">
        <v>329</v>
      </c>
      <c r="J6" s="4"/>
      <c r="K6" s="4">
        <v>299</v>
      </c>
    </row>
    <row r="7" spans="1:11" x14ac:dyDescent="0.3">
      <c r="A7" s="2" t="s">
        <v>57</v>
      </c>
      <c r="B7" s="3" t="s">
        <v>58</v>
      </c>
      <c r="C7" s="4">
        <v>496.63</v>
      </c>
      <c r="D7" s="4">
        <v>599</v>
      </c>
      <c r="E7" s="4">
        <v>673</v>
      </c>
      <c r="F7" s="4"/>
      <c r="G7" s="4"/>
      <c r="H7" s="4">
        <v>540</v>
      </c>
      <c r="I7" s="4"/>
      <c r="J7" s="4">
        <v>490</v>
      </c>
      <c r="K7" s="4"/>
    </row>
    <row r="8" spans="1:11" x14ac:dyDescent="0.3">
      <c r="A8" s="2" t="s">
        <v>59</v>
      </c>
      <c r="B8" s="3" t="s">
        <v>60</v>
      </c>
      <c r="C8" s="4">
        <v>127</v>
      </c>
      <c r="D8" s="4">
        <v>179</v>
      </c>
      <c r="E8" s="4"/>
      <c r="F8" s="4"/>
      <c r="G8" s="4"/>
      <c r="H8" s="4"/>
      <c r="I8" s="4">
        <v>191</v>
      </c>
      <c r="J8" s="4"/>
      <c r="K8" s="4"/>
    </row>
    <row r="9" spans="1:11" x14ac:dyDescent="0.3">
      <c r="A9" s="2" t="s">
        <v>61</v>
      </c>
      <c r="B9" s="3" t="s">
        <v>62</v>
      </c>
      <c r="C9" s="4">
        <v>67.94</v>
      </c>
      <c r="D9" s="4">
        <v>85</v>
      </c>
      <c r="E9" s="4">
        <v>107</v>
      </c>
      <c r="F9" s="4"/>
      <c r="G9" s="4"/>
      <c r="H9" s="4">
        <v>85</v>
      </c>
      <c r="I9" s="4">
        <v>88</v>
      </c>
      <c r="J9" s="4">
        <v>80</v>
      </c>
      <c r="K9" s="4">
        <v>71</v>
      </c>
    </row>
    <row r="10" spans="1:11" x14ac:dyDescent="0.3">
      <c r="A10" s="2" t="s">
        <v>63</v>
      </c>
      <c r="B10" s="3" t="s">
        <v>64</v>
      </c>
      <c r="C10" s="4">
        <v>131.78</v>
      </c>
      <c r="D10" s="4">
        <v>199</v>
      </c>
      <c r="E10" s="4"/>
      <c r="F10" s="4"/>
      <c r="G10" s="4"/>
      <c r="H10" s="4">
        <v>169</v>
      </c>
      <c r="I10" s="4">
        <v>179</v>
      </c>
      <c r="J10" s="4">
        <v>140</v>
      </c>
      <c r="K10" s="4">
        <v>138</v>
      </c>
    </row>
    <row r="11" spans="1:11" x14ac:dyDescent="0.3">
      <c r="A11" s="2" t="s">
        <v>65</v>
      </c>
      <c r="B11" s="3" t="s">
        <v>66</v>
      </c>
      <c r="C11" s="4">
        <v>116.07</v>
      </c>
      <c r="D11" s="4">
        <v>159</v>
      </c>
      <c r="E11" s="4"/>
      <c r="F11" s="4">
        <v>157</v>
      </c>
      <c r="G11" s="4"/>
      <c r="H11" s="4">
        <v>157</v>
      </c>
      <c r="I11" s="4"/>
      <c r="J11" s="4">
        <v>125</v>
      </c>
      <c r="K11" s="4"/>
    </row>
    <row r="12" spans="1:11" x14ac:dyDescent="0.3">
      <c r="A12" s="2" t="s">
        <v>67</v>
      </c>
      <c r="B12" s="3" t="s">
        <v>68</v>
      </c>
      <c r="C12" s="4">
        <v>160.16</v>
      </c>
      <c r="D12" s="4">
        <v>249</v>
      </c>
      <c r="E12" s="4"/>
      <c r="F12" s="4"/>
      <c r="G12" s="4"/>
      <c r="H12" s="4"/>
      <c r="I12" s="4"/>
      <c r="J12" s="4"/>
      <c r="K12" s="4"/>
    </row>
    <row r="13" spans="1:11" x14ac:dyDescent="0.3">
      <c r="A13" s="2" t="s">
        <v>69</v>
      </c>
      <c r="B13" s="3" t="s">
        <v>70</v>
      </c>
      <c r="C13" s="4">
        <v>77.02</v>
      </c>
      <c r="D13" s="4">
        <v>139</v>
      </c>
      <c r="E13" s="4"/>
      <c r="F13" s="4">
        <v>124</v>
      </c>
      <c r="G13" s="4"/>
      <c r="H13" s="4">
        <v>105</v>
      </c>
      <c r="I13" s="4"/>
      <c r="J13" s="4"/>
      <c r="K13" s="4"/>
    </row>
    <row r="14" spans="1:11" x14ac:dyDescent="0.3">
      <c r="A14" s="2" t="s">
        <v>71</v>
      </c>
      <c r="B14" s="3" t="s">
        <v>72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2" t="s">
        <v>73</v>
      </c>
      <c r="B15" s="3" t="s">
        <v>74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2" t="s">
        <v>75</v>
      </c>
      <c r="B16" s="3" t="s">
        <v>76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2" t="s">
        <v>77</v>
      </c>
      <c r="B17" s="3" t="s">
        <v>78</v>
      </c>
      <c r="C17" s="4">
        <v>99.19</v>
      </c>
      <c r="D17" s="4">
        <v>129</v>
      </c>
      <c r="E17" s="4"/>
      <c r="F17" s="4">
        <v>134</v>
      </c>
      <c r="G17" s="4"/>
      <c r="H17" s="4">
        <v>127</v>
      </c>
      <c r="I17" s="4">
        <v>139</v>
      </c>
      <c r="J17" s="4">
        <v>100</v>
      </c>
      <c r="K17" s="4"/>
    </row>
    <row r="18" spans="1:11" x14ac:dyDescent="0.3">
      <c r="A18" s="2" t="s">
        <v>79</v>
      </c>
      <c r="B18" s="3" t="s">
        <v>80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2" t="s">
        <v>81</v>
      </c>
      <c r="B19" s="3" t="s">
        <v>82</v>
      </c>
      <c r="C19" s="4">
        <v>77</v>
      </c>
      <c r="D19" s="4">
        <v>99</v>
      </c>
      <c r="E19" s="4"/>
      <c r="F19" s="4"/>
      <c r="G19" s="4"/>
      <c r="H19" s="4"/>
      <c r="I19" s="4"/>
      <c r="J19" s="4"/>
      <c r="K19" s="4"/>
    </row>
    <row r="20" spans="1:11" x14ac:dyDescent="0.3">
      <c r="A20" s="2" t="s">
        <v>83</v>
      </c>
      <c r="B20" s="3" t="s">
        <v>84</v>
      </c>
      <c r="C20" s="4">
        <v>77</v>
      </c>
      <c r="D20" s="4">
        <v>99</v>
      </c>
      <c r="E20" s="4"/>
      <c r="F20" s="4">
        <v>95</v>
      </c>
      <c r="G20" s="4"/>
      <c r="H20" s="4">
        <v>90</v>
      </c>
      <c r="I20" s="4"/>
      <c r="J20" s="4"/>
      <c r="K20" s="4"/>
    </row>
    <row r="21" spans="1:11" x14ac:dyDescent="0.3">
      <c r="A21" s="2" t="s">
        <v>85</v>
      </c>
      <c r="B21" s="3" t="s">
        <v>86</v>
      </c>
      <c r="C21" s="4">
        <v>48</v>
      </c>
      <c r="D21" s="4">
        <v>59</v>
      </c>
      <c r="E21" s="4"/>
      <c r="F21" s="4">
        <v>75</v>
      </c>
      <c r="G21" s="4"/>
      <c r="H21" s="4">
        <v>61</v>
      </c>
      <c r="I21" s="4">
        <v>60</v>
      </c>
      <c r="J21" s="4"/>
      <c r="K21" s="4"/>
    </row>
    <row r="22" spans="1:11" x14ac:dyDescent="0.3">
      <c r="A22" s="2" t="s">
        <v>87</v>
      </c>
      <c r="B22" s="3" t="s">
        <v>88</v>
      </c>
      <c r="C22" s="4">
        <v>60</v>
      </c>
      <c r="D22" s="4">
        <v>79</v>
      </c>
      <c r="E22" s="4"/>
      <c r="F22" s="4">
        <v>87</v>
      </c>
      <c r="G22" s="4"/>
      <c r="H22" s="4">
        <v>91</v>
      </c>
      <c r="I22" s="4">
        <v>80</v>
      </c>
      <c r="J22" s="4">
        <v>80</v>
      </c>
      <c r="K22" s="4"/>
    </row>
    <row r="23" spans="1:11" x14ac:dyDescent="0.3">
      <c r="A23" s="2" t="s">
        <v>89</v>
      </c>
      <c r="B23" s="3" t="s">
        <v>90</v>
      </c>
      <c r="C23" s="4">
        <v>71.349999999999994</v>
      </c>
      <c r="D23" s="4">
        <v>89</v>
      </c>
      <c r="E23" s="4"/>
      <c r="F23" s="4">
        <v>99</v>
      </c>
      <c r="G23" s="4"/>
      <c r="H23" s="4">
        <v>94</v>
      </c>
      <c r="I23" s="4">
        <v>100</v>
      </c>
      <c r="J23" s="4">
        <v>89</v>
      </c>
      <c r="K23" s="4">
        <v>91</v>
      </c>
    </row>
    <row r="24" spans="1:11" x14ac:dyDescent="0.3">
      <c r="A24" s="2" t="s">
        <v>91</v>
      </c>
      <c r="B24" s="3" t="s">
        <v>92</v>
      </c>
      <c r="C24" s="4">
        <v>81.790000000000006</v>
      </c>
      <c r="D24" s="4">
        <v>119</v>
      </c>
      <c r="E24" s="4"/>
      <c r="F24" s="4">
        <v>95</v>
      </c>
      <c r="G24" s="4"/>
      <c r="H24" s="4">
        <v>100</v>
      </c>
      <c r="I24" s="4">
        <v>135</v>
      </c>
      <c r="J24" s="4">
        <v>94</v>
      </c>
      <c r="K24" s="4">
        <v>96</v>
      </c>
    </row>
    <row r="25" spans="1:11" x14ac:dyDescent="0.3">
      <c r="A25" s="2" t="s">
        <v>93</v>
      </c>
      <c r="B25" s="3" t="s">
        <v>94</v>
      </c>
      <c r="C25" s="4">
        <v>81.790000000000006</v>
      </c>
      <c r="D25" s="4">
        <v>119</v>
      </c>
      <c r="E25" s="4"/>
      <c r="F25" s="4">
        <v>108</v>
      </c>
      <c r="G25" s="4"/>
      <c r="H25" s="4">
        <v>109</v>
      </c>
      <c r="I25" s="4">
        <v>115</v>
      </c>
      <c r="J25" s="4">
        <v>122</v>
      </c>
      <c r="K25" s="4">
        <v>199</v>
      </c>
    </row>
    <row r="26" spans="1:11" x14ac:dyDescent="0.3">
      <c r="A26" s="2" t="s">
        <v>95</v>
      </c>
      <c r="B26" s="3" t="s">
        <v>96</v>
      </c>
      <c r="C26" s="4">
        <v>49.51</v>
      </c>
      <c r="D26" s="4">
        <v>65</v>
      </c>
      <c r="E26" s="4"/>
      <c r="F26" s="4">
        <v>68</v>
      </c>
      <c r="G26" s="4"/>
      <c r="H26" s="4">
        <v>64</v>
      </c>
      <c r="I26" s="4">
        <v>77</v>
      </c>
      <c r="J26" s="4">
        <v>61</v>
      </c>
      <c r="K26" s="4">
        <v>80</v>
      </c>
    </row>
    <row r="27" spans="1:11" x14ac:dyDescent="0.3">
      <c r="A27" s="2" t="s">
        <v>97</v>
      </c>
      <c r="B27" s="3" t="s">
        <v>98</v>
      </c>
      <c r="C27" s="4">
        <v>49.51</v>
      </c>
      <c r="D27" s="4">
        <v>65</v>
      </c>
      <c r="E27" s="4"/>
      <c r="F27" s="4">
        <v>68</v>
      </c>
      <c r="G27" s="4"/>
      <c r="H27" s="4">
        <v>64</v>
      </c>
      <c r="I27" s="4">
        <v>68</v>
      </c>
      <c r="J27" s="4">
        <v>63</v>
      </c>
      <c r="K27" s="4">
        <v>62</v>
      </c>
    </row>
    <row r="28" spans="1:11" x14ac:dyDescent="0.3">
      <c r="A28" s="2" t="s">
        <v>99</v>
      </c>
      <c r="B28" s="3" t="s">
        <v>100</v>
      </c>
      <c r="C28" s="4">
        <v>93</v>
      </c>
      <c r="D28" s="4">
        <v>119</v>
      </c>
      <c r="E28" s="4"/>
      <c r="F28" s="4">
        <v>139</v>
      </c>
      <c r="G28" s="4"/>
      <c r="H28" s="4">
        <v>107</v>
      </c>
      <c r="I28" s="4">
        <v>140</v>
      </c>
      <c r="J28" s="4">
        <v>157</v>
      </c>
      <c r="K28" s="4">
        <v>108</v>
      </c>
    </row>
    <row r="29" spans="1:11" x14ac:dyDescent="0.3">
      <c r="A29" s="2" t="s">
        <v>101</v>
      </c>
      <c r="B29" s="3" t="s">
        <v>102</v>
      </c>
      <c r="C29" s="4">
        <v>83.16</v>
      </c>
      <c r="D29" s="4">
        <v>99</v>
      </c>
      <c r="E29" s="4"/>
      <c r="F29" s="4">
        <v>110</v>
      </c>
      <c r="G29" s="4"/>
      <c r="H29" s="4">
        <v>116</v>
      </c>
      <c r="I29" s="4">
        <v>108</v>
      </c>
      <c r="J29" s="4">
        <v>90</v>
      </c>
      <c r="K29" s="4"/>
    </row>
    <row r="30" spans="1:11" x14ac:dyDescent="0.3">
      <c r="A30" s="2" t="s">
        <v>103</v>
      </c>
      <c r="B30" s="3" t="s">
        <v>104</v>
      </c>
      <c r="C30" s="4">
        <v>116.5</v>
      </c>
      <c r="D30" s="4">
        <v>135</v>
      </c>
      <c r="E30" s="4"/>
      <c r="F30" s="4">
        <v>202</v>
      </c>
      <c r="G30" s="4"/>
      <c r="H30" s="4">
        <v>197</v>
      </c>
      <c r="I30" s="4"/>
      <c r="J30" s="4">
        <v>145</v>
      </c>
      <c r="K30" s="4"/>
    </row>
    <row r="31" spans="1:11" x14ac:dyDescent="0.3">
      <c r="A31" s="2" t="s">
        <v>105</v>
      </c>
      <c r="B31" s="3" t="s">
        <v>106</v>
      </c>
      <c r="C31" s="4">
        <v>240</v>
      </c>
      <c r="D31" s="4">
        <v>299</v>
      </c>
      <c r="E31" s="4"/>
      <c r="F31" s="4">
        <v>310</v>
      </c>
      <c r="G31" s="4"/>
      <c r="H31" s="4">
        <v>293</v>
      </c>
      <c r="I31" s="4"/>
      <c r="J31" s="4">
        <v>265</v>
      </c>
      <c r="K31" s="4"/>
    </row>
    <row r="32" spans="1:11" x14ac:dyDescent="0.3">
      <c r="A32" s="2" t="s">
        <v>107</v>
      </c>
      <c r="B32" s="3" t="s">
        <v>108</v>
      </c>
      <c r="C32" s="4">
        <v>91.5</v>
      </c>
      <c r="D32" s="4">
        <v>115</v>
      </c>
      <c r="E32" s="4"/>
      <c r="F32" s="4">
        <v>113</v>
      </c>
      <c r="G32" s="4"/>
      <c r="H32" s="4">
        <v>123</v>
      </c>
      <c r="I32" s="4"/>
      <c r="J32" s="4">
        <v>120</v>
      </c>
      <c r="K32" s="4">
        <v>110</v>
      </c>
    </row>
    <row r="33" spans="1:11" x14ac:dyDescent="0.3">
      <c r="A33" s="2" t="s">
        <v>109</v>
      </c>
      <c r="B33" s="3" t="s">
        <v>110</v>
      </c>
      <c r="C33" s="4">
        <v>165</v>
      </c>
      <c r="D33" s="4">
        <v>249</v>
      </c>
      <c r="E33" s="4"/>
      <c r="F33" s="4">
        <v>250</v>
      </c>
      <c r="G33" s="4"/>
      <c r="H33" s="4">
        <v>245</v>
      </c>
      <c r="I33" s="4">
        <v>244</v>
      </c>
      <c r="J33" s="4">
        <v>238</v>
      </c>
      <c r="K33" s="4">
        <v>230</v>
      </c>
    </row>
    <row r="34" spans="1:11" x14ac:dyDescent="0.3">
      <c r="A34" s="2" t="s">
        <v>111</v>
      </c>
      <c r="B34" s="3" t="s">
        <v>112</v>
      </c>
      <c r="C34" s="4">
        <v>58.9</v>
      </c>
      <c r="D34" s="4">
        <v>65</v>
      </c>
      <c r="E34" s="4"/>
      <c r="F34" s="4">
        <v>60</v>
      </c>
      <c r="G34" s="4"/>
      <c r="H34" s="4">
        <v>64</v>
      </c>
      <c r="I34" s="4">
        <v>85</v>
      </c>
      <c r="J34" s="4">
        <v>78</v>
      </c>
      <c r="K34" s="4">
        <v>80</v>
      </c>
    </row>
    <row r="35" spans="1:11" x14ac:dyDescent="0.3">
      <c r="A35" s="2" t="s">
        <v>113</v>
      </c>
      <c r="B35" s="3" t="s">
        <v>114</v>
      </c>
      <c r="C35" s="4">
        <v>38.159999999999997</v>
      </c>
      <c r="D35" s="4">
        <v>55</v>
      </c>
      <c r="E35" s="4"/>
      <c r="F35" s="4">
        <v>55</v>
      </c>
      <c r="G35" s="4"/>
      <c r="H35" s="4">
        <v>56</v>
      </c>
      <c r="I35" s="4">
        <v>55</v>
      </c>
      <c r="J35" s="4">
        <v>52</v>
      </c>
      <c r="K35" s="4">
        <v>53</v>
      </c>
    </row>
    <row r="36" spans="1:11" x14ac:dyDescent="0.3">
      <c r="A36" s="2" t="s">
        <v>115</v>
      </c>
      <c r="B36" s="3" t="s">
        <v>116</v>
      </c>
      <c r="C36" s="4">
        <v>9.32</v>
      </c>
      <c r="D36" s="4">
        <v>17</v>
      </c>
      <c r="E36" s="4"/>
      <c r="F36" s="4">
        <v>28</v>
      </c>
      <c r="G36" s="4"/>
      <c r="H36" s="4">
        <v>22</v>
      </c>
      <c r="I36" s="4">
        <v>20</v>
      </c>
      <c r="J36" s="4">
        <v>19</v>
      </c>
      <c r="K36" s="4">
        <v>21</v>
      </c>
    </row>
    <row r="37" spans="1:11" x14ac:dyDescent="0.3">
      <c r="A37" s="2" t="s">
        <v>117</v>
      </c>
      <c r="B37" s="3" t="s">
        <v>118</v>
      </c>
      <c r="C37" s="4">
        <v>65.38</v>
      </c>
      <c r="D37" s="4">
        <v>85</v>
      </c>
      <c r="E37" s="4"/>
      <c r="F37" s="4">
        <v>84</v>
      </c>
      <c r="G37" s="4"/>
      <c r="H37" s="4">
        <v>81</v>
      </c>
      <c r="I37" s="4"/>
      <c r="J37" s="4">
        <v>55</v>
      </c>
      <c r="K37" s="4"/>
    </row>
    <row r="38" spans="1:11" x14ac:dyDescent="0.3">
      <c r="A38" s="2" t="s">
        <v>119</v>
      </c>
      <c r="B38" s="3" t="s">
        <v>120</v>
      </c>
      <c r="C38" s="4">
        <v>63.16</v>
      </c>
      <c r="D38" s="4">
        <v>79</v>
      </c>
      <c r="E38" s="4"/>
      <c r="F38" s="4">
        <v>76</v>
      </c>
      <c r="G38" s="4"/>
      <c r="H38" s="4">
        <v>80</v>
      </c>
      <c r="I38" s="4">
        <v>75</v>
      </c>
      <c r="J38" s="4"/>
      <c r="K38" s="4"/>
    </row>
    <row r="39" spans="1:11" x14ac:dyDescent="0.3">
      <c r="A39" s="2" t="s">
        <v>121</v>
      </c>
      <c r="B39" s="3" t="s">
        <v>122</v>
      </c>
      <c r="C39" s="4">
        <v>47.48</v>
      </c>
      <c r="D39" s="4">
        <v>59</v>
      </c>
      <c r="E39" s="4"/>
      <c r="F39" s="4"/>
      <c r="G39" s="4"/>
      <c r="H39" s="4"/>
      <c r="I39" s="4">
        <v>45</v>
      </c>
      <c r="J39" s="4"/>
      <c r="K39" s="4"/>
    </row>
    <row r="40" spans="1:11" x14ac:dyDescent="0.3">
      <c r="A40" s="2" t="s">
        <v>123</v>
      </c>
      <c r="B40" s="3" t="s">
        <v>124</v>
      </c>
      <c r="C40" s="4">
        <v>577.03</v>
      </c>
      <c r="D40" s="4">
        <v>689</v>
      </c>
      <c r="E40" s="4"/>
      <c r="F40" s="4">
        <v>699</v>
      </c>
      <c r="G40" s="4"/>
      <c r="H40" s="4">
        <v>732</v>
      </c>
      <c r="I40" s="4">
        <v>660</v>
      </c>
      <c r="J40" s="4"/>
      <c r="K40" s="4"/>
    </row>
    <row r="41" spans="1:11" x14ac:dyDescent="0.3">
      <c r="A41" s="2" t="s">
        <v>125</v>
      </c>
      <c r="B41" s="3" t="s">
        <v>126</v>
      </c>
      <c r="C41" s="4">
        <v>828.52</v>
      </c>
      <c r="D41" s="4">
        <v>955</v>
      </c>
      <c r="E41" s="4"/>
      <c r="F41" s="4">
        <v>1095</v>
      </c>
      <c r="G41" s="4"/>
      <c r="H41" s="4">
        <v>979</v>
      </c>
      <c r="I41" s="4">
        <v>935</v>
      </c>
      <c r="J41" s="4">
        <v>915</v>
      </c>
      <c r="K41" s="4"/>
    </row>
    <row r="42" spans="1:11" x14ac:dyDescent="0.3">
      <c r="A42" s="2" t="s">
        <v>127</v>
      </c>
      <c r="B42" s="3" t="s">
        <v>128</v>
      </c>
      <c r="C42" s="4">
        <v>96.62</v>
      </c>
      <c r="D42" s="4">
        <v>125</v>
      </c>
      <c r="E42" s="4"/>
      <c r="F42" s="4">
        <v>130</v>
      </c>
      <c r="G42" s="4"/>
      <c r="H42" s="4">
        <v>85</v>
      </c>
      <c r="I42" s="4">
        <v>119</v>
      </c>
      <c r="J42" s="4">
        <v>120</v>
      </c>
      <c r="K42" s="4"/>
    </row>
    <row r="43" spans="1:11" x14ac:dyDescent="0.3">
      <c r="A43" s="2" t="s">
        <v>129</v>
      </c>
      <c r="B43" s="3" t="s">
        <v>130</v>
      </c>
      <c r="C43" s="4">
        <v>96.62</v>
      </c>
      <c r="D43" s="4">
        <v>125</v>
      </c>
      <c r="E43" s="4"/>
      <c r="F43" s="4">
        <v>130</v>
      </c>
      <c r="G43" s="4"/>
      <c r="H43" s="4">
        <v>85</v>
      </c>
      <c r="I43" s="4">
        <v>119</v>
      </c>
      <c r="J43" s="4">
        <v>120</v>
      </c>
      <c r="K43" s="4"/>
    </row>
    <row r="44" spans="1:11" x14ac:dyDescent="0.3">
      <c r="A44" s="2" t="s">
        <v>131</v>
      </c>
      <c r="B44" s="3" t="s">
        <v>132</v>
      </c>
      <c r="C44" s="4">
        <v>567</v>
      </c>
      <c r="D44" s="4">
        <v>695</v>
      </c>
      <c r="E44" s="4"/>
      <c r="F44" s="4">
        <v>740</v>
      </c>
      <c r="G44" s="4"/>
      <c r="H44" s="4"/>
      <c r="I44" s="4"/>
      <c r="J44" s="4">
        <v>915</v>
      </c>
      <c r="K44" s="4"/>
    </row>
    <row r="45" spans="1:11" x14ac:dyDescent="0.3">
      <c r="A45" s="2" t="s">
        <v>133</v>
      </c>
      <c r="B45" s="3" t="s">
        <v>134</v>
      </c>
      <c r="C45" s="4">
        <v>468</v>
      </c>
      <c r="D45" s="4">
        <v>599</v>
      </c>
      <c r="E45" s="4"/>
      <c r="F45" s="4">
        <v>594</v>
      </c>
      <c r="G45" s="4"/>
      <c r="H45" s="4"/>
      <c r="I45" s="4"/>
      <c r="J45" s="4"/>
      <c r="K45" s="4"/>
    </row>
    <row r="46" spans="1:11" x14ac:dyDescent="0.3">
      <c r="A46" s="2" t="s">
        <v>135</v>
      </c>
      <c r="B46" s="3" t="s">
        <v>136</v>
      </c>
      <c r="C46" s="4">
        <v>217</v>
      </c>
      <c r="D46" s="4">
        <v>269</v>
      </c>
      <c r="E46" s="4"/>
      <c r="F46" s="4">
        <v>320</v>
      </c>
      <c r="G46" s="4"/>
      <c r="H46" s="4">
        <v>319</v>
      </c>
      <c r="I46" s="4">
        <v>335</v>
      </c>
      <c r="J46" s="4"/>
      <c r="K46" s="4"/>
    </row>
    <row r="47" spans="1:11" x14ac:dyDescent="0.3">
      <c r="A47" s="2" t="s">
        <v>137</v>
      </c>
      <c r="B47" s="3" t="s">
        <v>138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">
      <c r="A48" s="2" t="s">
        <v>139</v>
      </c>
      <c r="B48" s="3" t="s">
        <v>140</v>
      </c>
      <c r="C48" s="4">
        <v>80.22</v>
      </c>
      <c r="D48" s="4">
        <v>99</v>
      </c>
      <c r="E48" s="4"/>
      <c r="F48" s="4">
        <v>100</v>
      </c>
      <c r="G48" s="4"/>
      <c r="H48" s="4">
        <v>108</v>
      </c>
      <c r="I48" s="4">
        <v>104</v>
      </c>
      <c r="J48" s="4">
        <v>98</v>
      </c>
      <c r="K48" s="4">
        <v>95</v>
      </c>
    </row>
    <row r="49" spans="1:11" x14ac:dyDescent="0.3">
      <c r="A49" s="2" t="s">
        <v>141</v>
      </c>
      <c r="B49" s="3" t="s">
        <v>142</v>
      </c>
      <c r="C49" s="4">
        <v>72.430000000000007</v>
      </c>
      <c r="D49" s="4">
        <v>89</v>
      </c>
      <c r="E49" s="4"/>
      <c r="F49" s="4">
        <v>95</v>
      </c>
      <c r="G49" s="4"/>
      <c r="H49" s="4">
        <v>80</v>
      </c>
      <c r="I49" s="4">
        <v>94</v>
      </c>
      <c r="J49" s="4">
        <v>88</v>
      </c>
      <c r="K49" s="4">
        <v>85</v>
      </c>
    </row>
    <row r="50" spans="1:11" x14ac:dyDescent="0.3">
      <c r="A50" s="2" t="s">
        <v>143</v>
      </c>
      <c r="B50" s="3" t="s">
        <v>144</v>
      </c>
      <c r="C50" s="4">
        <v>99.25</v>
      </c>
      <c r="D50" s="4">
        <v>129</v>
      </c>
      <c r="E50" s="4"/>
      <c r="F50" s="4">
        <v>142</v>
      </c>
      <c r="G50" s="4"/>
      <c r="H50" s="4">
        <v>154</v>
      </c>
      <c r="I50" s="4">
        <v>151</v>
      </c>
      <c r="J50" s="4">
        <v>125</v>
      </c>
      <c r="K50" s="4">
        <v>110</v>
      </c>
    </row>
    <row r="51" spans="1:11" x14ac:dyDescent="0.3">
      <c r="A51" s="2" t="s">
        <v>145</v>
      </c>
      <c r="B51" s="3" t="s">
        <v>146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">
      <c r="A52" s="2" t="s">
        <v>147</v>
      </c>
      <c r="B52" s="3" t="s">
        <v>148</v>
      </c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3">
      <c r="A53" s="2" t="s">
        <v>149</v>
      </c>
      <c r="B53" s="3" t="s">
        <v>150</v>
      </c>
      <c r="C53" s="4">
        <v>73.599999999999994</v>
      </c>
      <c r="D53" s="4">
        <v>95</v>
      </c>
      <c r="E53" s="4"/>
      <c r="F53" s="4">
        <v>97</v>
      </c>
      <c r="G53" s="4"/>
      <c r="H53" s="4">
        <v>115</v>
      </c>
      <c r="I53" s="4">
        <v>100</v>
      </c>
      <c r="J53" s="4">
        <v>100</v>
      </c>
      <c r="K53" s="4">
        <v>91</v>
      </c>
    </row>
    <row r="54" spans="1:11" x14ac:dyDescent="0.3">
      <c r="A54" s="2" t="s">
        <v>151</v>
      </c>
      <c r="B54" s="3" t="s">
        <v>152</v>
      </c>
      <c r="C54" s="4">
        <v>73.72</v>
      </c>
      <c r="D54" s="4">
        <v>99</v>
      </c>
      <c r="E54" s="4"/>
      <c r="F54" s="4">
        <v>100</v>
      </c>
      <c r="G54" s="4"/>
      <c r="H54" s="4">
        <v>86</v>
      </c>
      <c r="I54" s="4">
        <v>105</v>
      </c>
      <c r="J54" s="4">
        <v>83</v>
      </c>
      <c r="K54" s="4">
        <v>80</v>
      </c>
    </row>
    <row r="55" spans="1:11" x14ac:dyDescent="0.3">
      <c r="A55" s="2" t="s">
        <v>153</v>
      </c>
      <c r="B55" s="3" t="s">
        <v>154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">
      <c r="A56" s="2" t="s">
        <v>155</v>
      </c>
      <c r="B56" s="3" t="s">
        <v>156</v>
      </c>
      <c r="C56" s="4">
        <v>100.04</v>
      </c>
      <c r="D56" s="4">
        <v>149</v>
      </c>
      <c r="E56" s="4"/>
      <c r="F56" s="4"/>
      <c r="G56" s="4"/>
      <c r="H56" s="4"/>
      <c r="I56" s="4">
        <v>70</v>
      </c>
      <c r="J56" s="4"/>
      <c r="K56" s="4"/>
    </row>
    <row r="57" spans="1:11" x14ac:dyDescent="0.3">
      <c r="A57" s="2" t="s">
        <v>157</v>
      </c>
      <c r="B57" s="3" t="s">
        <v>158</v>
      </c>
      <c r="C57" s="4">
        <v>141.52000000000001</v>
      </c>
      <c r="D57" s="4">
        <v>215</v>
      </c>
      <c r="E57" s="4"/>
      <c r="F57" s="4">
        <v>205</v>
      </c>
      <c r="G57" s="4"/>
      <c r="H57" s="4">
        <v>224</v>
      </c>
      <c r="I57" s="4"/>
      <c r="J57" s="4"/>
      <c r="K57" s="4"/>
    </row>
    <row r="58" spans="1:11" x14ac:dyDescent="0.3">
      <c r="A58" s="2" t="s">
        <v>159</v>
      </c>
      <c r="B58" s="3" t="s">
        <v>160</v>
      </c>
      <c r="C58" s="4">
        <v>96.95</v>
      </c>
      <c r="D58" s="4">
        <v>125</v>
      </c>
      <c r="E58" s="4"/>
      <c r="F58" s="4">
        <v>120</v>
      </c>
      <c r="G58" s="4"/>
      <c r="H58" s="4">
        <v>123</v>
      </c>
      <c r="I58" s="4">
        <v>141</v>
      </c>
      <c r="J58" s="4">
        <v>115</v>
      </c>
      <c r="K58" s="4"/>
    </row>
    <row r="59" spans="1:11" x14ac:dyDescent="0.3">
      <c r="A59" s="2" t="s">
        <v>161</v>
      </c>
      <c r="B59" s="3" t="s">
        <v>162</v>
      </c>
      <c r="C59" s="4">
        <v>82.92</v>
      </c>
      <c r="D59" s="4">
        <v>105</v>
      </c>
      <c r="E59" s="4"/>
      <c r="F59" s="4">
        <v>115</v>
      </c>
      <c r="G59" s="4"/>
      <c r="H59" s="4">
        <v>110</v>
      </c>
      <c r="I59" s="4">
        <v>112</v>
      </c>
      <c r="J59" s="4">
        <v>88</v>
      </c>
      <c r="K59" s="4">
        <v>85</v>
      </c>
    </row>
    <row r="60" spans="1:11" x14ac:dyDescent="0.3">
      <c r="A60" s="2" t="s">
        <v>163</v>
      </c>
      <c r="B60" s="3" t="s">
        <v>164</v>
      </c>
      <c r="C60" s="4">
        <v>99</v>
      </c>
      <c r="D60" s="4">
        <v>125</v>
      </c>
      <c r="E60" s="4"/>
      <c r="F60" s="4">
        <v>120</v>
      </c>
      <c r="G60" s="4"/>
      <c r="H60" s="4"/>
      <c r="I60" s="4"/>
      <c r="J60" s="4"/>
      <c r="K60" s="4"/>
    </row>
    <row r="61" spans="1:11" x14ac:dyDescent="0.3">
      <c r="A61" s="2" t="s">
        <v>165</v>
      </c>
      <c r="B61" s="3" t="s">
        <v>166</v>
      </c>
      <c r="C61" s="4">
        <v>122.02</v>
      </c>
      <c r="D61" s="4">
        <v>149</v>
      </c>
      <c r="E61" s="4"/>
      <c r="F61" s="4">
        <v>153</v>
      </c>
      <c r="G61" s="4"/>
      <c r="H61" s="4">
        <v>153</v>
      </c>
      <c r="I61" s="4">
        <v>156</v>
      </c>
      <c r="J61" s="4">
        <v>154</v>
      </c>
      <c r="K61" s="4">
        <v>140</v>
      </c>
    </row>
    <row r="62" spans="1:11" x14ac:dyDescent="0.3">
      <c r="A62" s="2" t="s">
        <v>167</v>
      </c>
      <c r="B62" s="3" t="s">
        <v>168</v>
      </c>
      <c r="C62" s="4">
        <v>118.32</v>
      </c>
      <c r="D62" s="4">
        <v>145</v>
      </c>
      <c r="E62" s="4"/>
      <c r="F62" s="4">
        <v>145</v>
      </c>
      <c r="G62" s="4"/>
      <c r="H62" s="4">
        <v>145</v>
      </c>
      <c r="I62" s="4">
        <v>147</v>
      </c>
      <c r="J62" s="4">
        <v>130</v>
      </c>
      <c r="K62" s="4">
        <v>130</v>
      </c>
    </row>
    <row r="63" spans="1:11" x14ac:dyDescent="0.3">
      <c r="A63" s="2" t="s">
        <v>169</v>
      </c>
      <c r="B63" s="3" t="s">
        <v>170</v>
      </c>
      <c r="C63" s="4">
        <v>76.2</v>
      </c>
      <c r="D63" s="4">
        <v>99</v>
      </c>
      <c r="E63" s="4"/>
      <c r="F63" s="4">
        <v>107</v>
      </c>
      <c r="G63" s="4"/>
      <c r="H63" s="4">
        <v>108</v>
      </c>
      <c r="I63" s="4">
        <v>109</v>
      </c>
      <c r="J63" s="4">
        <v>104</v>
      </c>
      <c r="K63" s="4"/>
    </row>
    <row r="64" spans="1:11" x14ac:dyDescent="0.3">
      <c r="A64" s="2" t="s">
        <v>171</v>
      </c>
      <c r="B64" s="3" t="s">
        <v>172</v>
      </c>
      <c r="C64" s="4">
        <v>84.48</v>
      </c>
      <c r="D64" s="4">
        <v>109</v>
      </c>
      <c r="E64" s="4"/>
      <c r="F64" s="4">
        <v>111</v>
      </c>
      <c r="G64" s="4"/>
      <c r="H64" s="4">
        <v>133</v>
      </c>
      <c r="I64" s="4">
        <v>114</v>
      </c>
      <c r="J64" s="4">
        <v>105</v>
      </c>
      <c r="K64" s="4"/>
    </row>
    <row r="65" spans="1:11" x14ac:dyDescent="0.3">
      <c r="A65" s="2" t="s">
        <v>173</v>
      </c>
      <c r="B65" s="3" t="s">
        <v>174</v>
      </c>
      <c r="C65" s="4">
        <v>62.8</v>
      </c>
      <c r="D65" s="4">
        <v>79</v>
      </c>
      <c r="E65" s="4"/>
      <c r="F65" s="4">
        <v>79</v>
      </c>
      <c r="G65" s="4"/>
      <c r="H65" s="4">
        <v>100</v>
      </c>
      <c r="I65" s="4">
        <v>77</v>
      </c>
      <c r="J65" s="4">
        <v>75</v>
      </c>
      <c r="K65" s="4">
        <v>73</v>
      </c>
    </row>
    <row r="66" spans="1:11" x14ac:dyDescent="0.3">
      <c r="A66" s="2" t="s">
        <v>175</v>
      </c>
      <c r="B66" s="3" t="s">
        <v>176</v>
      </c>
      <c r="C66" s="4">
        <v>122.3</v>
      </c>
      <c r="D66" s="4">
        <v>155</v>
      </c>
      <c r="E66" s="4"/>
      <c r="F66" s="4">
        <v>153</v>
      </c>
      <c r="G66" s="4"/>
      <c r="H66" s="4">
        <v>160</v>
      </c>
      <c r="I66" s="4">
        <v>149</v>
      </c>
      <c r="J66" s="4">
        <v>145</v>
      </c>
      <c r="K66" s="4">
        <v>143</v>
      </c>
    </row>
    <row r="67" spans="1:11" x14ac:dyDescent="0.3">
      <c r="A67" s="2" t="s">
        <v>177</v>
      </c>
      <c r="B67" s="3" t="s">
        <v>178</v>
      </c>
      <c r="C67" s="4">
        <v>97</v>
      </c>
      <c r="D67" s="4">
        <v>129</v>
      </c>
      <c r="E67" s="4"/>
      <c r="F67" s="4">
        <v>140</v>
      </c>
      <c r="G67" s="4"/>
      <c r="H67" s="4">
        <v>134</v>
      </c>
      <c r="I67" s="4"/>
      <c r="J67" s="4"/>
      <c r="K67" s="4"/>
    </row>
    <row r="68" spans="1:11" x14ac:dyDescent="0.3">
      <c r="A68" s="2" t="s">
        <v>179</v>
      </c>
      <c r="B68" s="3" t="s">
        <v>180</v>
      </c>
      <c r="C68" s="4">
        <v>152.09</v>
      </c>
      <c r="D68" s="4">
        <v>189</v>
      </c>
      <c r="E68" s="4"/>
      <c r="F68" s="4">
        <v>170</v>
      </c>
      <c r="G68" s="4"/>
      <c r="H68" s="4">
        <v>166</v>
      </c>
      <c r="I68" s="4">
        <v>171</v>
      </c>
      <c r="J68" s="4">
        <v>173</v>
      </c>
      <c r="K68" s="4">
        <v>155</v>
      </c>
    </row>
    <row r="69" spans="1:11" x14ac:dyDescent="0.3">
      <c r="A69" s="2" t="s">
        <v>181</v>
      </c>
      <c r="B69" s="3" t="s">
        <v>182</v>
      </c>
      <c r="C69" s="4">
        <v>546</v>
      </c>
      <c r="D69" s="4">
        <v>690</v>
      </c>
      <c r="E69" s="4"/>
      <c r="F69" s="4">
        <v>750</v>
      </c>
      <c r="G69" s="4"/>
      <c r="H69" s="4">
        <v>780</v>
      </c>
      <c r="I69" s="4">
        <v>768</v>
      </c>
      <c r="J69" s="4">
        <v>685</v>
      </c>
      <c r="K69" s="4"/>
    </row>
    <row r="70" spans="1:11" x14ac:dyDescent="0.3">
      <c r="A70" s="2" t="s">
        <v>183</v>
      </c>
      <c r="B70" s="3" t="s">
        <v>184</v>
      </c>
      <c r="C70" s="4">
        <v>773</v>
      </c>
      <c r="D70" s="4">
        <v>1120</v>
      </c>
      <c r="E70" s="4"/>
      <c r="F70" s="4">
        <v>960</v>
      </c>
      <c r="G70" s="4"/>
      <c r="H70" s="4">
        <v>1088</v>
      </c>
      <c r="I70" s="4"/>
      <c r="J70" s="4">
        <v>875</v>
      </c>
      <c r="K70" s="4"/>
    </row>
    <row r="71" spans="1:11" x14ac:dyDescent="0.3">
      <c r="A71" s="2" t="s">
        <v>185</v>
      </c>
      <c r="B71" s="3" t="s">
        <v>186</v>
      </c>
      <c r="C71" s="4">
        <v>870</v>
      </c>
      <c r="D71" s="4">
        <v>990</v>
      </c>
      <c r="E71" s="4"/>
      <c r="F71" s="4">
        <v>1050</v>
      </c>
      <c r="G71" s="4"/>
      <c r="H71" s="4">
        <v>1000</v>
      </c>
      <c r="I71" s="4">
        <v>998</v>
      </c>
      <c r="J71" s="4">
        <v>850</v>
      </c>
      <c r="K71" s="4"/>
    </row>
    <row r="72" spans="1:11" x14ac:dyDescent="0.3">
      <c r="A72" s="2" t="s">
        <v>187</v>
      </c>
      <c r="B72" s="3" t="s">
        <v>188</v>
      </c>
      <c r="C72" s="4">
        <v>897.8</v>
      </c>
      <c r="D72" s="4">
        <v>1099</v>
      </c>
      <c r="E72" s="4"/>
      <c r="F72" s="4">
        <v>1300</v>
      </c>
      <c r="G72" s="4"/>
      <c r="H72" s="4">
        <v>1050</v>
      </c>
      <c r="I72" s="4"/>
      <c r="J72" s="4">
        <v>1030</v>
      </c>
      <c r="K72" s="4"/>
    </row>
    <row r="73" spans="1:11" x14ac:dyDescent="0.3">
      <c r="A73" s="2" t="s">
        <v>189</v>
      </c>
      <c r="B73" s="3" t="s">
        <v>190</v>
      </c>
      <c r="C73" s="4">
        <v>1000</v>
      </c>
      <c r="D73" s="4">
        <v>1250</v>
      </c>
      <c r="E73" s="4"/>
      <c r="F73" s="4">
        <v>1250</v>
      </c>
      <c r="G73" s="4"/>
      <c r="H73" s="4">
        <v>1600</v>
      </c>
      <c r="I73" s="4">
        <v>1536</v>
      </c>
      <c r="J73" s="4">
        <v>1260</v>
      </c>
      <c r="K73" s="4"/>
    </row>
    <row r="74" spans="1:11" x14ac:dyDescent="0.3">
      <c r="A74" s="2" t="s">
        <v>191</v>
      </c>
      <c r="B74" s="3" t="s">
        <v>192</v>
      </c>
      <c r="C74" s="4">
        <v>1050</v>
      </c>
      <c r="D74" s="4">
        <v>1290</v>
      </c>
      <c r="E74" s="4"/>
      <c r="F74" s="4">
        <v>1300</v>
      </c>
      <c r="G74" s="4"/>
      <c r="H74" s="4">
        <v>1280</v>
      </c>
      <c r="I74" s="4">
        <v>1242</v>
      </c>
      <c r="J74" s="4">
        <v>1140</v>
      </c>
      <c r="K74" s="4"/>
    </row>
    <row r="75" spans="1:11" x14ac:dyDescent="0.3">
      <c r="A75" s="2" t="s">
        <v>193</v>
      </c>
      <c r="B75" s="3" t="s">
        <v>194</v>
      </c>
      <c r="C75" s="4">
        <v>87</v>
      </c>
      <c r="D75" s="4">
        <v>125</v>
      </c>
      <c r="E75" s="4"/>
      <c r="F75" s="4">
        <v>114</v>
      </c>
      <c r="G75" s="4"/>
      <c r="H75" s="4">
        <v>106</v>
      </c>
      <c r="I75" s="4"/>
      <c r="J75" s="4">
        <v>100</v>
      </c>
      <c r="K75" s="4"/>
    </row>
    <row r="76" spans="1:11" x14ac:dyDescent="0.3">
      <c r="A76" s="2" t="s">
        <v>195</v>
      </c>
      <c r="B76" s="3" t="s">
        <v>196</v>
      </c>
      <c r="C76" s="4">
        <v>320</v>
      </c>
      <c r="D76" s="4">
        <v>385</v>
      </c>
      <c r="E76" s="4"/>
      <c r="F76" s="4"/>
      <c r="G76" s="4"/>
      <c r="H76" s="4"/>
      <c r="I76" s="4"/>
      <c r="J76" s="4"/>
      <c r="K76" s="4"/>
    </row>
    <row r="77" spans="1:11" x14ac:dyDescent="0.3">
      <c r="A77" s="2" t="s">
        <v>197</v>
      </c>
      <c r="B77" s="3" t="s">
        <v>198</v>
      </c>
      <c r="C77" s="4">
        <v>590</v>
      </c>
      <c r="D77" s="4">
        <v>735</v>
      </c>
      <c r="E77" s="4"/>
      <c r="F77" s="4"/>
      <c r="G77" s="4"/>
      <c r="H77" s="4"/>
      <c r="I77" s="4"/>
      <c r="J77" s="4"/>
      <c r="K77" s="4"/>
    </row>
    <row r="78" spans="1:11" x14ac:dyDescent="0.3">
      <c r="A78" s="2" t="s">
        <v>199</v>
      </c>
      <c r="B78" s="3" t="s">
        <v>200</v>
      </c>
      <c r="C78" s="4">
        <v>530</v>
      </c>
      <c r="D78" s="4">
        <v>689</v>
      </c>
      <c r="E78" s="4"/>
      <c r="F78" s="4">
        <v>640</v>
      </c>
      <c r="G78" s="4"/>
      <c r="H78" s="4">
        <v>688</v>
      </c>
      <c r="I78" s="4"/>
      <c r="J78" s="4"/>
      <c r="K78" s="4"/>
    </row>
    <row r="79" spans="1:11" x14ac:dyDescent="0.3">
      <c r="A79" s="2" t="s">
        <v>201</v>
      </c>
      <c r="B79" s="3" t="s">
        <v>202</v>
      </c>
      <c r="C79" s="4">
        <v>155.1</v>
      </c>
      <c r="D79" s="4">
        <v>210</v>
      </c>
      <c r="E79" s="4"/>
      <c r="F79" s="4">
        <v>205</v>
      </c>
      <c r="G79" s="4"/>
      <c r="H79" s="4"/>
      <c r="I79" s="4"/>
      <c r="J79" s="4"/>
      <c r="K79" s="4"/>
    </row>
    <row r="80" spans="1:11" x14ac:dyDescent="0.3">
      <c r="A80" s="2" t="s">
        <v>203</v>
      </c>
      <c r="B80" s="3" t="s">
        <v>204</v>
      </c>
      <c r="C80" s="4">
        <v>124.8</v>
      </c>
      <c r="D80" s="4">
        <v>169</v>
      </c>
      <c r="E80" s="4"/>
      <c r="F80" s="4"/>
      <c r="G80" s="4"/>
      <c r="H80" s="4"/>
      <c r="I80" s="4"/>
      <c r="J80" s="4"/>
      <c r="K80" s="4"/>
    </row>
    <row r="81" spans="1:11" x14ac:dyDescent="0.3">
      <c r="A81" s="2" t="s">
        <v>205</v>
      </c>
      <c r="B81" s="3" t="s">
        <v>206</v>
      </c>
      <c r="C81" s="4">
        <v>490</v>
      </c>
      <c r="D81" s="4">
        <v>649</v>
      </c>
      <c r="E81" s="4"/>
      <c r="F81" s="4">
        <v>613</v>
      </c>
      <c r="G81" s="4"/>
      <c r="H81" s="4">
        <v>675</v>
      </c>
      <c r="I81" s="4"/>
      <c r="J81" s="4"/>
      <c r="K81" s="4"/>
    </row>
    <row r="82" spans="1:11" x14ac:dyDescent="0.3">
      <c r="A82" s="2" t="s">
        <v>207</v>
      </c>
      <c r="B82" s="3" t="s">
        <v>208</v>
      </c>
      <c r="C82" s="4">
        <v>64.16</v>
      </c>
      <c r="D82" s="4">
        <v>75</v>
      </c>
      <c r="E82" s="4"/>
      <c r="F82" s="4"/>
      <c r="G82" s="4"/>
      <c r="H82" s="4">
        <v>67</v>
      </c>
      <c r="I82" s="4"/>
      <c r="J82" s="4"/>
      <c r="K82" s="4"/>
    </row>
    <row r="83" spans="1:11" x14ac:dyDescent="0.3">
      <c r="A83" s="2" t="s">
        <v>209</v>
      </c>
      <c r="B83" s="3" t="s">
        <v>210</v>
      </c>
      <c r="C83" s="4">
        <v>62</v>
      </c>
      <c r="D83" s="4">
        <v>75</v>
      </c>
      <c r="E83" s="4"/>
      <c r="F83" s="4">
        <v>76</v>
      </c>
      <c r="G83" s="4"/>
      <c r="H83" s="4">
        <v>102</v>
      </c>
      <c r="I83" s="4">
        <v>70</v>
      </c>
      <c r="J83" s="4">
        <v>90</v>
      </c>
      <c r="K83" s="4">
        <v>75</v>
      </c>
    </row>
    <row r="84" spans="1:11" x14ac:dyDescent="0.3">
      <c r="A84" s="2" t="s">
        <v>211</v>
      </c>
      <c r="B84" s="3" t="s">
        <v>212</v>
      </c>
      <c r="C84" s="4">
        <v>100</v>
      </c>
      <c r="D84" s="4">
        <v>120</v>
      </c>
      <c r="E84" s="4"/>
      <c r="F84" s="4">
        <v>118</v>
      </c>
      <c r="G84" s="4"/>
      <c r="H84" s="4">
        <v>127</v>
      </c>
      <c r="I84" s="4">
        <v>129</v>
      </c>
      <c r="J84" s="4"/>
      <c r="K84" s="4"/>
    </row>
    <row r="85" spans="1:11" x14ac:dyDescent="0.3">
      <c r="A85" s="2" t="s">
        <v>213</v>
      </c>
      <c r="B85" s="3"/>
      <c r="C85" s="4">
        <v>219</v>
      </c>
      <c r="D85" s="4">
        <v>315</v>
      </c>
      <c r="E85" s="4"/>
      <c r="F85" s="4"/>
      <c r="G85" s="4"/>
      <c r="H85" s="4">
        <v>207</v>
      </c>
      <c r="I85" s="4"/>
      <c r="J85" s="4"/>
      <c r="K85" s="4"/>
    </row>
    <row r="86" spans="1:11" x14ac:dyDescent="0.3">
      <c r="A86" s="2" t="s">
        <v>214</v>
      </c>
      <c r="B86" s="3" t="s">
        <v>215</v>
      </c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3">
      <c r="A87" s="2" t="s">
        <v>216</v>
      </c>
      <c r="B87" s="3" t="s">
        <v>217</v>
      </c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3">
      <c r="A88" s="2" t="s">
        <v>218</v>
      </c>
      <c r="B88" s="3" t="s">
        <v>219</v>
      </c>
      <c r="C88" s="4"/>
      <c r="D88" s="4"/>
      <c r="E88" s="4"/>
      <c r="F88" s="4"/>
      <c r="G88" s="4"/>
      <c r="H88" s="4"/>
      <c r="I88" s="4"/>
      <c r="J88" s="4"/>
      <c r="K88" s="4"/>
    </row>
  </sheetData>
  <autoFilter ref="A1:K8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D13"/>
  <sheetViews>
    <sheetView showGridLines="0" workbookViewId="0">
      <pane ySplit="1" topLeftCell="A2" activePane="bottomLeft" state="frozen"/>
      <selection pane="bottomLeft" activeCell="A13" sqref="A13:D13"/>
    </sheetView>
  </sheetViews>
  <sheetFormatPr defaultRowHeight="14.4" x14ac:dyDescent="0.3"/>
  <cols>
    <col min="1" max="1" width="20" customWidth="1"/>
    <col min="2" max="3" width="16" customWidth="1"/>
    <col min="4" max="4" width="18" customWidth="1"/>
  </cols>
  <sheetData>
    <row r="1" spans="1:4" ht="22.05" customHeight="1" x14ac:dyDescent="0.3">
      <c r="A1" s="1" t="s">
        <v>37</v>
      </c>
      <c r="B1" s="1" t="s">
        <v>220</v>
      </c>
      <c r="C1" s="1" t="s">
        <v>221</v>
      </c>
      <c r="D1" s="1" t="s">
        <v>222</v>
      </c>
    </row>
    <row r="2" spans="1:4" x14ac:dyDescent="0.3">
      <c r="A2" s="5">
        <v>4665272570017</v>
      </c>
      <c r="B2" s="6">
        <v>10</v>
      </c>
      <c r="C2" s="6">
        <v>390</v>
      </c>
      <c r="D2" s="6">
        <v>100</v>
      </c>
    </row>
    <row r="3" spans="1:4" x14ac:dyDescent="0.3">
      <c r="A3" s="5"/>
      <c r="B3" s="6"/>
      <c r="C3" s="6"/>
      <c r="D3" s="6"/>
    </row>
    <row r="4" spans="1:4" x14ac:dyDescent="0.3">
      <c r="A4" s="5"/>
      <c r="B4" s="6"/>
      <c r="C4" s="6"/>
      <c r="D4" s="6"/>
    </row>
    <row r="5" spans="1:4" x14ac:dyDescent="0.3">
      <c r="A5" s="5"/>
      <c r="B5" s="6"/>
      <c r="C5" s="6"/>
      <c r="D5" s="6"/>
    </row>
    <row r="6" spans="1:4" x14ac:dyDescent="0.3">
      <c r="A6" s="5"/>
      <c r="B6" s="6"/>
      <c r="C6" s="6"/>
      <c r="D6" s="6"/>
    </row>
    <row r="7" spans="1:4" x14ac:dyDescent="0.3">
      <c r="A7" s="5"/>
      <c r="B7" s="6"/>
      <c r="C7" s="6"/>
      <c r="D7" s="6"/>
    </row>
    <row r="8" spans="1:4" x14ac:dyDescent="0.3">
      <c r="A8" s="5"/>
      <c r="B8" s="6"/>
      <c r="C8" s="6"/>
      <c r="D8" s="6"/>
    </row>
    <row r="9" spans="1:4" x14ac:dyDescent="0.3">
      <c r="A9" s="5"/>
      <c r="B9" s="6"/>
      <c r="C9" s="6"/>
      <c r="D9" s="6"/>
    </row>
    <row r="10" spans="1:4" x14ac:dyDescent="0.3">
      <c r="A10" s="5"/>
      <c r="B10" s="6"/>
      <c r="C10" s="6"/>
      <c r="D10" s="6"/>
    </row>
    <row r="11" spans="1:4" x14ac:dyDescent="0.3">
      <c r="A11" s="5"/>
      <c r="B11" s="6"/>
      <c r="C11" s="6"/>
      <c r="D11" s="6"/>
    </row>
    <row r="13" spans="1:4" x14ac:dyDescent="0.3">
      <c r="A13" s="77" t="s">
        <v>223</v>
      </c>
      <c r="B13" s="71"/>
      <c r="C13" s="71"/>
      <c r="D13" s="71"/>
    </row>
  </sheetData>
  <mergeCells count="1">
    <mergeCell ref="A13:D13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942"/>
  </sheetPr>
  <dimension ref="A1:BU89"/>
  <sheetViews>
    <sheetView showGridLines="0" workbookViewId="0">
      <pane xSplit="2" ySplit="2" topLeftCell="C15" activePane="bottomRight" state="frozen"/>
      <selection pane="topRight"/>
      <selection pane="bottomLeft"/>
      <selection pane="bottomRight" activeCell="E3" sqref="E3"/>
    </sheetView>
  </sheetViews>
  <sheetFormatPr defaultRowHeight="14.4" x14ac:dyDescent="0.3"/>
  <cols>
    <col min="1" max="1" width="40" customWidth="1"/>
    <col min="2" max="2" width="16" customWidth="1"/>
    <col min="3" max="4" width="14" customWidth="1"/>
    <col min="5" max="5" width="16" customWidth="1"/>
    <col min="6" max="9" width="14" customWidth="1"/>
    <col min="10" max="12" width="13" customWidth="1"/>
    <col min="13" max="13" width="11" customWidth="1"/>
    <col min="14" max="14" width="14" customWidth="1"/>
    <col min="15" max="17" width="13" customWidth="1"/>
    <col min="18" max="18" width="16.21875" bestFit="1" customWidth="1"/>
    <col min="19" max="23" width="14" customWidth="1"/>
    <col min="24" max="24" width="12" customWidth="1"/>
    <col min="25" max="26" width="11" customWidth="1"/>
    <col min="27" max="27" width="12" customWidth="1"/>
    <col min="28" max="29" width="11" customWidth="1"/>
    <col min="30" max="31" width="12" customWidth="1"/>
    <col min="32" max="33" width="11" customWidth="1"/>
    <col min="34" max="34" width="12" customWidth="1"/>
    <col min="35" max="36" width="11" customWidth="1"/>
    <col min="37" max="38" width="12" customWidth="1"/>
    <col min="39" max="40" width="11" customWidth="1"/>
    <col min="41" max="41" width="12" customWidth="1"/>
    <col min="42" max="43" width="11" customWidth="1"/>
    <col min="44" max="44" width="12" customWidth="1"/>
    <col min="45" max="45" width="14" customWidth="1"/>
    <col min="46" max="47" width="11" customWidth="1"/>
    <col min="48" max="48" width="12" customWidth="1"/>
    <col min="49" max="50" width="11" customWidth="1"/>
    <col min="51" max="51" width="12" customWidth="1"/>
    <col min="52" max="52" width="14" customWidth="1"/>
    <col min="53" max="53" width="12" customWidth="1"/>
    <col min="54" max="55" width="11" customWidth="1"/>
    <col min="56" max="56" width="12" customWidth="1"/>
    <col min="57" max="58" width="11" customWidth="1"/>
    <col min="59" max="59" width="12" customWidth="1"/>
    <col min="60" max="69" width="14" customWidth="1"/>
    <col min="70" max="70" width="13" customWidth="1"/>
    <col min="71" max="71" width="12" customWidth="1"/>
    <col min="72" max="72" width="13" customWidth="1"/>
    <col min="73" max="73" width="12" customWidth="1"/>
  </cols>
  <sheetData>
    <row r="1" spans="1:73" ht="18" customHeight="1" x14ac:dyDescent="0.3">
      <c r="A1" s="87" t="s">
        <v>224</v>
      </c>
      <c r="B1" s="71"/>
      <c r="C1" s="83" t="s">
        <v>225</v>
      </c>
      <c r="D1" s="71"/>
      <c r="E1" s="71"/>
      <c r="F1" s="86" t="s">
        <v>226</v>
      </c>
      <c r="G1" s="71"/>
      <c r="H1" s="71"/>
      <c r="I1" s="71"/>
      <c r="J1" s="71"/>
      <c r="K1" s="71"/>
      <c r="L1" s="71"/>
      <c r="M1" s="71"/>
      <c r="N1" s="71"/>
      <c r="O1" s="85" t="s">
        <v>227</v>
      </c>
      <c r="P1" s="71"/>
      <c r="Q1" s="71"/>
      <c r="R1" s="71"/>
      <c r="S1" s="71"/>
      <c r="T1" s="88" t="s">
        <v>228</v>
      </c>
      <c r="U1" s="71"/>
      <c r="V1" s="71"/>
      <c r="W1" s="71"/>
      <c r="X1" s="80" t="s">
        <v>229</v>
      </c>
      <c r="Y1" s="71"/>
      <c r="Z1" s="71"/>
      <c r="AA1" s="71"/>
      <c r="AB1" s="71"/>
      <c r="AC1" s="71"/>
      <c r="AD1" s="71"/>
      <c r="AE1" s="81" t="s">
        <v>230</v>
      </c>
      <c r="AF1" s="71"/>
      <c r="AG1" s="71"/>
      <c r="AH1" s="71"/>
      <c r="AI1" s="71"/>
      <c r="AJ1" s="71"/>
      <c r="AK1" s="71"/>
      <c r="AL1" s="79" t="s">
        <v>231</v>
      </c>
      <c r="AM1" s="71"/>
      <c r="AN1" s="71"/>
      <c r="AO1" s="71"/>
      <c r="AP1" s="71"/>
      <c r="AQ1" s="71"/>
      <c r="AR1" s="71"/>
      <c r="AS1" s="84" t="s">
        <v>232</v>
      </c>
      <c r="AT1" s="71"/>
      <c r="AU1" s="71"/>
      <c r="AV1" s="71"/>
      <c r="AW1" s="71"/>
      <c r="AX1" s="71"/>
      <c r="AY1" s="71"/>
      <c r="AZ1" s="78" t="s">
        <v>233</v>
      </c>
      <c r="BA1" s="71"/>
      <c r="BB1" s="71"/>
      <c r="BC1" s="71"/>
      <c r="BD1" s="71"/>
      <c r="BE1" s="71"/>
      <c r="BF1" s="71"/>
      <c r="BG1" s="71"/>
      <c r="BH1" s="82" t="s">
        <v>234</v>
      </c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</row>
    <row r="2" spans="1:73" ht="36" customHeight="1" x14ac:dyDescent="0.3">
      <c r="A2" s="11" t="s">
        <v>36</v>
      </c>
      <c r="B2" s="11" t="s">
        <v>37</v>
      </c>
      <c r="C2" s="12" t="s">
        <v>235</v>
      </c>
      <c r="D2" s="12" t="s">
        <v>236</v>
      </c>
      <c r="E2" s="12" t="s">
        <v>237</v>
      </c>
      <c r="F2" s="13" t="s">
        <v>238</v>
      </c>
      <c r="G2" s="13" t="s">
        <v>239</v>
      </c>
      <c r="H2" s="13" t="s">
        <v>240</v>
      </c>
      <c r="I2" s="13" t="s">
        <v>241</v>
      </c>
      <c r="J2" s="13" t="s">
        <v>242</v>
      </c>
      <c r="K2" s="13" t="s">
        <v>243</v>
      </c>
      <c r="L2" s="13" t="s">
        <v>244</v>
      </c>
      <c r="M2" s="13" t="s">
        <v>245</v>
      </c>
      <c r="N2" s="13" t="s">
        <v>246</v>
      </c>
      <c r="O2" s="14" t="s">
        <v>247</v>
      </c>
      <c r="P2" s="14" t="s">
        <v>248</v>
      </c>
      <c r="Q2" s="14" t="s">
        <v>249</v>
      </c>
      <c r="R2" s="14" t="s">
        <v>250</v>
      </c>
      <c r="S2" s="14" t="s">
        <v>251</v>
      </c>
      <c r="T2" s="15" t="s">
        <v>252</v>
      </c>
      <c r="U2" s="15" t="s">
        <v>253</v>
      </c>
      <c r="V2" s="15" t="s">
        <v>254</v>
      </c>
      <c r="W2" s="15" t="s">
        <v>255</v>
      </c>
      <c r="X2" s="16" t="s">
        <v>256</v>
      </c>
      <c r="Y2" s="16" t="s">
        <v>257</v>
      </c>
      <c r="Z2" s="16" t="s">
        <v>258</v>
      </c>
      <c r="AA2" s="16" t="s">
        <v>259</v>
      </c>
      <c r="AB2" s="16" t="s">
        <v>260</v>
      </c>
      <c r="AC2" s="16" t="s">
        <v>261</v>
      </c>
      <c r="AD2" s="16" t="s">
        <v>262</v>
      </c>
      <c r="AE2" s="17" t="s">
        <v>263</v>
      </c>
      <c r="AF2" s="17" t="s">
        <v>264</v>
      </c>
      <c r="AG2" s="17" t="s">
        <v>265</v>
      </c>
      <c r="AH2" s="17" t="s">
        <v>266</v>
      </c>
      <c r="AI2" s="17" t="s">
        <v>267</v>
      </c>
      <c r="AJ2" s="17" t="s">
        <v>268</v>
      </c>
      <c r="AK2" s="17" t="s">
        <v>269</v>
      </c>
      <c r="AL2" s="18" t="s">
        <v>270</v>
      </c>
      <c r="AM2" s="18" t="s">
        <v>271</v>
      </c>
      <c r="AN2" s="18" t="s">
        <v>272</v>
      </c>
      <c r="AO2" s="18" t="s">
        <v>273</v>
      </c>
      <c r="AP2" s="18" t="s">
        <v>274</v>
      </c>
      <c r="AQ2" s="18" t="s">
        <v>275</v>
      </c>
      <c r="AR2" s="18" t="s">
        <v>276</v>
      </c>
      <c r="AS2" s="19" t="s">
        <v>277</v>
      </c>
      <c r="AT2" s="19" t="s">
        <v>278</v>
      </c>
      <c r="AU2" s="19" t="s">
        <v>279</v>
      </c>
      <c r="AV2" s="19" t="s">
        <v>280</v>
      </c>
      <c r="AW2" s="19" t="s">
        <v>281</v>
      </c>
      <c r="AX2" s="19" t="s">
        <v>282</v>
      </c>
      <c r="AY2" s="19" t="s">
        <v>283</v>
      </c>
      <c r="AZ2" s="20" t="s">
        <v>284</v>
      </c>
      <c r="BA2" s="20" t="s">
        <v>285</v>
      </c>
      <c r="BB2" s="20" t="s">
        <v>286</v>
      </c>
      <c r="BC2" s="20" t="s">
        <v>287</v>
      </c>
      <c r="BD2" s="20" t="s">
        <v>288</v>
      </c>
      <c r="BE2" s="20" t="s">
        <v>289</v>
      </c>
      <c r="BF2" s="20" t="s">
        <v>290</v>
      </c>
      <c r="BG2" s="20" t="s">
        <v>291</v>
      </c>
      <c r="BH2" s="21" t="s">
        <v>292</v>
      </c>
      <c r="BI2" s="21" t="s">
        <v>293</v>
      </c>
      <c r="BJ2" s="21" t="s">
        <v>294</v>
      </c>
      <c r="BK2" s="21" t="s">
        <v>295</v>
      </c>
      <c r="BL2" s="21" t="s">
        <v>296</v>
      </c>
      <c r="BM2" s="21" t="s">
        <v>297</v>
      </c>
      <c r="BN2" s="21" t="s">
        <v>298</v>
      </c>
      <c r="BO2" s="21" t="s">
        <v>299</v>
      </c>
      <c r="BP2" s="21" t="s">
        <v>300</v>
      </c>
      <c r="BQ2" s="21" t="s">
        <v>301</v>
      </c>
      <c r="BR2" s="21" t="s">
        <v>302</v>
      </c>
      <c r="BS2" s="21" t="s">
        <v>303</v>
      </c>
      <c r="BT2" s="21" t="s">
        <v>304</v>
      </c>
      <c r="BU2" s="21" t="s">
        <v>305</v>
      </c>
    </row>
    <row r="3" spans="1:73" x14ac:dyDescent="0.3">
      <c r="A3" s="22" t="str">
        <f>'📊 Исходные данные'!A2</f>
        <v>Белизна гипохлорид 1л</v>
      </c>
      <c r="B3" s="23" t="str">
        <f>'📊 Исходные данные'!B2</f>
        <v>4665272570017</v>
      </c>
      <c r="C3" s="24">
        <f>'📊 Исходные данные'!C2</f>
        <v>29</v>
      </c>
      <c r="D3" s="24">
        <f>'📊 Исходные данные'!D2</f>
        <v>39</v>
      </c>
      <c r="E3" s="25" t="str">
        <f t="shared" ref="E3:E34" si="0">IF(OR(D3="",F3=""),"—",IF(D3&gt;F3*1.05,"🔴 Выше рынка",IF(D3&lt;F3*0.95,"🟢 Ниже рынка","🟡 На уровне")))</f>
        <v>🟢 Ниже рынка</v>
      </c>
      <c r="F3" s="26">
        <f>IFERROR(AVERAGE('📊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>49.333333333333336</v>
      </c>
      <c r="G3" s="26">
        <f>IFERROR(MEDIAN('📊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>52</v>
      </c>
      <c r="H3" s="26">
        <f>IFERROR(MIN('📊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>41</v>
      </c>
      <c r="I3" s="26">
        <f>IFERROR(MAX('📊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>55</v>
      </c>
      <c r="J3" s="27">
        <f t="shared" ref="J3:J34" si="1">IF(AND(D3&lt;&gt;"",F3&lt;&gt;""),(D3-F3)/F3,"")</f>
        <v>-0.20945945945945948</v>
      </c>
      <c r="K3" s="27">
        <f t="shared" ref="K3:K34" si="2">IF(AND(D3&lt;&gt;"",G3&lt;&gt;""),(D3-G3)/G3,"")</f>
        <v>-0.25</v>
      </c>
      <c r="L3" s="27">
        <f t="shared" ref="L3:L34" si="3">IF(AND(D3&lt;&gt;"",H3&lt;&gt;""),(D3-H3)/H3,"")</f>
        <v>-4.878048780487805E-2</v>
      </c>
      <c r="M3" s="28" t="str">
        <f>IFERROR(RANK(D3,('📊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данные'!K2)),"")</f>
        <v/>
      </c>
      <c r="N3" s="25" t="str">
        <f t="shared" ref="N3:N34" si="4">IF(M3="","—",IF(M3=1,"1️⃣ Дороже всех",IF(M3=2,"2️⃣ 2-й по цене",IF(M3&lt;=4,"🟡 Средний","🟢 Ниже конкурентов"))))</f>
        <v>—</v>
      </c>
      <c r="O3" s="27">
        <f t="shared" ref="O3:O34" si="5">IF(AND(C3&gt;0,D3&gt;0),(D3-C3)/C3,"")</f>
        <v>0.34482758620689657</v>
      </c>
      <c r="P3" s="27">
        <f t="shared" ref="P3:P34" si="6">IF(AND(C3&gt;0,D3&gt;0),(D3-C3)/D3,"")</f>
        <v>0.25641025641025639</v>
      </c>
      <c r="Q3" s="26">
        <f t="shared" ref="Q3:Q34" si="7">IF(AND(C3&gt;0,D3&gt;0),D3-C3,"")</f>
        <v>10</v>
      </c>
      <c r="R3" s="25" t="str">
        <f t="shared" ref="R3:R34" si="8">IF(P3="","—",IF(P3&lt;0.1,"🔴 Низкая(&lt;10%)",IF(P3&lt;0.2,"🟡 Средняя(10-20%)","🟢 Хорошая(&gt;20%)")))</f>
        <v>🟢 Хорошая(&gt;20%)</v>
      </c>
      <c r="S3" s="25" t="str">
        <f t="shared" ref="S3:S34" si="9">IF(OR(H3="",C3=""),"—",IF((H3-C3)/H3&lt;0.05,"🔴 КРИТИЧНО",IF((H3-C3)/H3&lt;0.15,"🟡 УМЕРЕННЫЙ","🟢 НИЗКИЙ")))</f>
        <v>🟢 НИЗКИЙ</v>
      </c>
      <c r="T3" s="29">
        <v>10</v>
      </c>
      <c r="U3" s="26">
        <f t="shared" ref="U3:U34" si="10">IF(T3&gt;0,T3*D3,"")</f>
        <v>390</v>
      </c>
      <c r="V3" s="26">
        <f t="shared" ref="V3:V34" si="11">IF(T3&gt;0,T3*Q3,"")</f>
        <v>100</v>
      </c>
      <c r="W3" s="27">
        <f t="shared" ref="W3:W34" si="12">IF(U3&gt;0,V3/U3,"")</f>
        <v>0.25641025641025639</v>
      </c>
      <c r="X3" s="26">
        <f t="shared" ref="X3:X34" si="13">IF(F3&lt;&gt;"",F3,"")</f>
        <v>49.333333333333336</v>
      </c>
      <c r="Y3" s="27">
        <f t="shared" ref="Y3:Y34" si="14">IF(AND(X3&lt;&gt;"",C3&gt;0),(X3-C3)/C3,"")</f>
        <v>0.70114942528735635</v>
      </c>
      <c r="Z3" s="27">
        <f t="shared" ref="Z3:Z34" si="15">IF(AND(X3&lt;&gt;"",X3&gt;0),(X3-C3)/X3,"")</f>
        <v>0.41216216216216217</v>
      </c>
      <c r="AA3" s="26">
        <f t="shared" ref="AA3:AA34" si="16">IF(AND(X3&lt;&gt;"",C3&gt;0),X3-C3,"")</f>
        <v>20.333333333333336</v>
      </c>
      <c r="AB3" s="27">
        <f t="shared" ref="AB3:AB34" si="17">IF(AND(X3&lt;&gt;"",D3&gt;0),(X3-D3)/D3,"")</f>
        <v>0.26495726495726502</v>
      </c>
      <c r="AC3" s="27">
        <f t="shared" ref="AC3:AC34" si="18">IF(AND(Z3&lt;&gt;"",P3&lt;&gt;""),(Z3-P3)/ABS(IF(P3=0,1,P3)),"")</f>
        <v>0.60743243243243261</v>
      </c>
      <c r="AD3" s="26">
        <f t="shared" ref="AD3:AD34" si="19">IF(AND(AA3&lt;&gt;"",Q3&lt;&gt;""),AA3-Q3,"")</f>
        <v>10.333333333333336</v>
      </c>
      <c r="AE3" s="26">
        <f t="shared" ref="AE3:AE34" si="20">IF(G3&lt;&gt;"",G3,"")</f>
        <v>52</v>
      </c>
      <c r="AF3" s="27">
        <f t="shared" ref="AF3:AF34" si="21">IF(AND(AE3&lt;&gt;"",C3&gt;0),(AE3-C3)/C3,"")</f>
        <v>0.7931034482758621</v>
      </c>
      <c r="AG3" s="27">
        <f t="shared" ref="AG3:AG34" si="22">IF(AND(AE3&lt;&gt;"",AE3&gt;0),(AE3-C3)/AE3,"")</f>
        <v>0.44230769230769229</v>
      </c>
      <c r="AH3" s="26">
        <f t="shared" ref="AH3:AH34" si="23">IF(AND(AE3&lt;&gt;"",C3&gt;0),AE3-C3,"")</f>
        <v>23</v>
      </c>
      <c r="AI3" s="27">
        <f t="shared" ref="AI3:AI34" si="24">IF(AND(AE3&lt;&gt;"",D3&gt;0),(AE3-D3)/D3,"")</f>
        <v>0.33333333333333331</v>
      </c>
      <c r="AJ3" s="27">
        <f t="shared" ref="AJ3:AJ34" si="25">IF(AND(AG3&lt;&gt;"",P3&lt;&gt;""),(AG3-P3)/ABS(IF(P3=0,1,P3)),"")</f>
        <v>0.72500000000000009</v>
      </c>
      <c r="AK3" s="26">
        <f t="shared" ref="AK3:AK34" si="26">IF(AND(AH3&lt;&gt;"",Q3&lt;&gt;""),AH3-Q3,"")</f>
        <v>13</v>
      </c>
      <c r="AL3" s="26">
        <f t="shared" ref="AL3:AL34" si="27">IF(H3&lt;&gt;"",H3,"")</f>
        <v>41</v>
      </c>
      <c r="AM3" s="27">
        <f t="shared" ref="AM3:AM34" si="28">IF(AND(AL3&lt;&gt;"",C3&gt;0),(AL3-C3)/C3,"")</f>
        <v>0.41379310344827586</v>
      </c>
      <c r="AN3" s="27">
        <f t="shared" ref="AN3:AN34" si="29">IF(AND(AL3&lt;&gt;"",AL3&gt;0),(AL3-C3)/AL3,"")</f>
        <v>0.29268292682926828</v>
      </c>
      <c r="AO3" s="26">
        <f t="shared" ref="AO3:AO34" si="30">IF(AND(AL3&lt;&gt;"",C3&gt;0),AL3-C3,"")</f>
        <v>12</v>
      </c>
      <c r="AP3" s="27">
        <f t="shared" ref="AP3:AP34" si="31">IF(AND(AL3&lt;&gt;"",D3&gt;0),(AL3-D3)/D3,"")</f>
        <v>5.128205128205128E-2</v>
      </c>
      <c r="AQ3" s="27">
        <f t="shared" ref="AQ3:AQ34" si="32">IF(AND(AN3&lt;&gt;"",P3&lt;&gt;""),(AN3-P3)/ABS(IF(P3=0,1,P3)),"")</f>
        <v>0.14146341463414638</v>
      </c>
      <c r="AR3" s="26">
        <f t="shared" ref="AR3:AR34" si="33">IF(AND(AO3&lt;&gt;"",Q3&lt;&gt;""),AO3-Q3,"")</f>
        <v>2</v>
      </c>
      <c r="AS3" s="30">
        <v>44</v>
      </c>
      <c r="AT3" s="27">
        <f t="shared" ref="AT3:AT34" si="34">IF(AND(AS3&gt;0,C3&gt;0),(AS3-C3)/C3,"")</f>
        <v>0.51724137931034486</v>
      </c>
      <c r="AU3" s="27">
        <f t="shared" ref="AU3:AU34" si="35">IF(AND(AS3&gt;0,AS3&gt;0),(AS3-C3)/AS3,"")</f>
        <v>0.34090909090909088</v>
      </c>
      <c r="AV3" s="26">
        <f t="shared" ref="AV3:AV34" si="36">IF(AND(AS3&gt;0,C3&gt;0),AS3-C3,"")</f>
        <v>15</v>
      </c>
      <c r="AW3" s="27">
        <f t="shared" ref="AW3:AW34" si="37">IF(AND(AS3&gt;0,D3&gt;0),(AS3-D3)/D3,"")</f>
        <v>0.12820512820512819</v>
      </c>
      <c r="AX3" s="27">
        <f t="shared" ref="AX3:AX34" si="38">IF(AND(AU3&lt;&gt;"",P3&lt;&gt;""),(AU3-P3)/ABS(IF(P3=0,1,P3)),"")</f>
        <v>0.32954545454545459</v>
      </c>
      <c r="AY3" s="26">
        <f t="shared" ref="AY3:AY34" si="39">IF(AND(AV3&lt;&gt;"",Q3&lt;&gt;""),AV3-Q3,"")</f>
        <v>5</v>
      </c>
      <c r="AZ3" s="31">
        <v>0.5</v>
      </c>
      <c r="BA3" s="26">
        <f t="shared" ref="BA3:BA34" si="40">IF(AND(AZ3&gt;0,C3&gt;0),C3/(1-AZ3),"")</f>
        <v>58</v>
      </c>
      <c r="BB3" s="27">
        <f t="shared" ref="BB3:BB34" si="41">IF(AND(BA3&lt;&gt;"",C3&gt;0),(BA3-C3)/C3,"")</f>
        <v>1</v>
      </c>
      <c r="BC3" s="27">
        <f t="shared" ref="BC3:BC34" si="42">IF(BA3&lt;&gt;"",AZ3,"")</f>
        <v>0.5</v>
      </c>
      <c r="BD3" s="26">
        <f t="shared" ref="BD3:BD34" si="43">IF(AND(BA3&lt;&gt;"",C3&gt;0),BA3-C3,"")</f>
        <v>29</v>
      </c>
      <c r="BE3" s="27">
        <f t="shared" ref="BE3:BE34" si="44">IF(AND(BA3&lt;&gt;"",D3&gt;0),(BA3-D3)/D3,"")</f>
        <v>0.48717948717948717</v>
      </c>
      <c r="BF3" s="27">
        <f t="shared" ref="BF3:BF34" si="45">IF(AND(BC3&lt;&gt;"",P3&lt;&gt;""),(BC3-P3)/ABS(IF(P3=0,1,P3)),"")</f>
        <v>0.95000000000000018</v>
      </c>
      <c r="BG3" s="26">
        <f t="shared" ref="BG3:BG34" si="46">IF(AND(BD3&lt;&gt;"",Q3&lt;&gt;""),BD3-Q3,"")</f>
        <v>19</v>
      </c>
      <c r="BH3" s="26">
        <f t="shared" ref="BH3:BH34" si="47">IF(AND(T3&gt;0,X3&lt;&gt;""),T3*X3,"")</f>
        <v>493.33333333333337</v>
      </c>
      <c r="BI3" s="26">
        <f t="shared" ref="BI3:BI34" si="48">IF(AND(T3&gt;0,AA3&lt;&gt;""),T3*AA3,"")</f>
        <v>203.33333333333337</v>
      </c>
      <c r="BJ3" s="26">
        <f t="shared" ref="BJ3:BJ34" si="49">IF(AND(T3&gt;0,AE3&lt;&gt;""),T3*AE3,"")</f>
        <v>520</v>
      </c>
      <c r="BK3" s="26">
        <f t="shared" ref="BK3:BK34" si="50">IF(AND(T3&gt;0,AH3&lt;&gt;""),T3*AH3,"")</f>
        <v>230</v>
      </c>
      <c r="BL3" s="26">
        <f t="shared" ref="BL3:BL34" si="51">IF(AND(T3&gt;0,AL3&lt;&gt;""),T3*AL3,"")</f>
        <v>410</v>
      </c>
      <c r="BM3" s="26">
        <f t="shared" ref="BM3:BM34" si="52">IF(AND(T3&gt;0,AO3&lt;&gt;""),T3*AO3,"")</f>
        <v>120</v>
      </c>
      <c r="BN3" s="26">
        <f t="shared" ref="BN3:BN34" si="53">IF(AND(T3&gt;0,AS3&gt;0),T3*AS3,"")</f>
        <v>440</v>
      </c>
      <c r="BO3" s="26">
        <f t="shared" ref="BO3:BO34" si="54">IF(AND(T3&gt;0,AV3&lt;&gt;""),T3*AV3,"")</f>
        <v>150</v>
      </c>
      <c r="BP3" s="26">
        <f t="shared" ref="BP3:BP34" si="55">IF(AND(T3&gt;0,BA3&lt;&gt;""),T3*BA3,"")</f>
        <v>580</v>
      </c>
      <c r="BQ3" s="26">
        <f t="shared" ref="BQ3:BQ34" si="56">IF(AND(T3&gt;0,BD3&lt;&gt;""),T3*BD3,"")</f>
        <v>290</v>
      </c>
      <c r="BR3" s="32">
        <f t="shared" ref="BR3:BR34" si="57">IF(AND(T3&gt;0,V3&gt;0,AA3&lt;&gt;0),V3/AA3-T3,"")</f>
        <v>-5.0819672131147549</v>
      </c>
      <c r="BS3" s="27">
        <f t="shared" ref="BS3:BS34" si="58">IF(AND(BR3&lt;&gt;"",T3&gt;0),BR3/T3,"")</f>
        <v>-0.50819672131147553</v>
      </c>
      <c r="BT3" s="32">
        <f t="shared" ref="BT3:BT34" si="59">IF(AND(T3&gt;0,V3&gt;0,AO3&lt;&gt;0),V3/AO3-T3,"")</f>
        <v>-1.6666666666666661</v>
      </c>
      <c r="BU3" s="27">
        <f t="shared" ref="BU3:BU34" si="60">IF(AND(BT3&lt;&gt;"",T3&gt;0),BT3/T3,"")</f>
        <v>-0.1666666666666666</v>
      </c>
    </row>
    <row r="4" spans="1:73" x14ac:dyDescent="0.3">
      <c r="A4" s="22" t="str">
        <f>'📊 Исходные данные'!A3</f>
        <v>Гель белизна Санфор 3в1 700мл</v>
      </c>
      <c r="B4" s="23" t="str">
        <f>'📊 Исходные данные'!B3</f>
        <v>4602984001637</v>
      </c>
      <c r="C4" s="24">
        <f>'📊 Исходные данные'!C3</f>
        <v>87.83</v>
      </c>
      <c r="D4" s="24">
        <f>'📊 Исходные данные'!D3</f>
        <v>119</v>
      </c>
      <c r="E4" s="25" t="str">
        <f t="shared" si="0"/>
        <v>🟡 На уровне</v>
      </c>
      <c r="F4" s="26">
        <f>IFERROR(AVERAGE('📊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>120.5</v>
      </c>
      <c r="G4" s="26">
        <f>IFERROR(MEDIAN('📊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>120.5</v>
      </c>
      <c r="H4" s="26">
        <f>IFERROR(MIN('📊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>110</v>
      </c>
      <c r="I4" s="26">
        <f>IFERROR(MAX('📊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>131</v>
      </c>
      <c r="J4" s="27">
        <f t="shared" si="1"/>
        <v>-1.2448132780082987E-2</v>
      </c>
      <c r="K4" s="27">
        <f t="shared" si="2"/>
        <v>-1.2448132780082987E-2</v>
      </c>
      <c r="L4" s="27">
        <f t="shared" si="3"/>
        <v>8.1818181818181818E-2</v>
      </c>
      <c r="M4" s="28" t="str">
        <f>IFERROR(RANK(D4,('📊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данные'!K3)),"")</f>
        <v/>
      </c>
      <c r="N4" s="25" t="str">
        <f t="shared" si="4"/>
        <v>—</v>
      </c>
      <c r="O4" s="27">
        <f t="shared" si="5"/>
        <v>0.35489012865763409</v>
      </c>
      <c r="P4" s="27">
        <f t="shared" si="6"/>
        <v>0.26193277310924373</v>
      </c>
      <c r="Q4" s="26">
        <f t="shared" si="7"/>
        <v>31.17</v>
      </c>
      <c r="R4" s="25" t="str">
        <f t="shared" si="8"/>
        <v>🟢 Хорошая(&gt;20%)</v>
      </c>
      <c r="S4" s="25" t="str">
        <f t="shared" si="9"/>
        <v>🟢 НИЗКИЙ</v>
      </c>
      <c r="T4" s="29"/>
      <c r="U4" s="26" t="str">
        <f t="shared" si="10"/>
        <v/>
      </c>
      <c r="V4" s="26" t="str">
        <f t="shared" si="11"/>
        <v/>
      </c>
      <c r="W4" s="27" t="e">
        <f t="shared" si="12"/>
        <v>#VALUE!</v>
      </c>
      <c r="X4" s="26">
        <f t="shared" si="13"/>
        <v>120.5</v>
      </c>
      <c r="Y4" s="27">
        <f t="shared" si="14"/>
        <v>0.37196857565752023</v>
      </c>
      <c r="Z4" s="27">
        <f t="shared" si="15"/>
        <v>0.27112033195020746</v>
      </c>
      <c r="AA4" s="26">
        <f t="shared" si="16"/>
        <v>32.67</v>
      </c>
      <c r="AB4" s="27">
        <f t="shared" si="17"/>
        <v>1.2605042016806723E-2</v>
      </c>
      <c r="AC4" s="27">
        <f t="shared" si="18"/>
        <v>3.5076018674195811E-2</v>
      </c>
      <c r="AD4" s="26">
        <f t="shared" si="19"/>
        <v>1.5</v>
      </c>
      <c r="AE4" s="26">
        <f t="shared" si="20"/>
        <v>120.5</v>
      </c>
      <c r="AF4" s="27">
        <f t="shared" si="21"/>
        <v>0.37196857565752023</v>
      </c>
      <c r="AG4" s="27">
        <f t="shared" si="22"/>
        <v>0.27112033195020746</v>
      </c>
      <c r="AH4" s="26">
        <f t="shared" si="23"/>
        <v>32.67</v>
      </c>
      <c r="AI4" s="27">
        <f t="shared" si="24"/>
        <v>1.2605042016806723E-2</v>
      </c>
      <c r="AJ4" s="27">
        <f t="shared" si="25"/>
        <v>3.5076018674195811E-2</v>
      </c>
      <c r="AK4" s="26">
        <f t="shared" si="26"/>
        <v>1.5</v>
      </c>
      <c r="AL4" s="26">
        <f t="shared" si="27"/>
        <v>110</v>
      </c>
      <c r="AM4" s="27">
        <f t="shared" si="28"/>
        <v>0.25241944665831723</v>
      </c>
      <c r="AN4" s="27">
        <f t="shared" si="29"/>
        <v>0.20154545454545456</v>
      </c>
      <c r="AO4" s="26">
        <f t="shared" si="30"/>
        <v>22.17</v>
      </c>
      <c r="AP4" s="27">
        <f t="shared" si="31"/>
        <v>-7.5630252100840331E-2</v>
      </c>
      <c r="AQ4" s="27">
        <f t="shared" si="32"/>
        <v>-0.23054510455857913</v>
      </c>
      <c r="AR4" s="26">
        <f t="shared" si="33"/>
        <v>-9</v>
      </c>
      <c r="AS4" s="30"/>
      <c r="AT4" s="27" t="str">
        <f t="shared" si="34"/>
        <v/>
      </c>
      <c r="AU4" s="27" t="str">
        <f t="shared" si="35"/>
        <v/>
      </c>
      <c r="AV4" s="26" t="str">
        <f t="shared" si="36"/>
        <v/>
      </c>
      <c r="AW4" s="27" t="str">
        <f t="shared" si="37"/>
        <v/>
      </c>
      <c r="AX4" s="27" t="str">
        <f t="shared" si="38"/>
        <v/>
      </c>
      <c r="AY4" s="26" t="str">
        <f t="shared" si="39"/>
        <v/>
      </c>
      <c r="AZ4" s="31"/>
      <c r="BA4" s="26" t="str">
        <f t="shared" si="40"/>
        <v/>
      </c>
      <c r="BB4" s="27" t="str">
        <f t="shared" si="41"/>
        <v/>
      </c>
      <c r="BC4" s="27" t="str">
        <f t="shared" si="42"/>
        <v/>
      </c>
      <c r="BD4" s="26" t="str">
        <f t="shared" si="43"/>
        <v/>
      </c>
      <c r="BE4" s="27" t="str">
        <f t="shared" si="44"/>
        <v/>
      </c>
      <c r="BF4" s="27" t="str">
        <f t="shared" si="45"/>
        <v/>
      </c>
      <c r="BG4" s="26" t="str">
        <f t="shared" si="46"/>
        <v/>
      </c>
      <c r="BH4" s="26" t="str">
        <f t="shared" si="47"/>
        <v/>
      </c>
      <c r="BI4" s="26" t="str">
        <f t="shared" si="48"/>
        <v/>
      </c>
      <c r="BJ4" s="26" t="str">
        <f t="shared" si="49"/>
        <v/>
      </c>
      <c r="BK4" s="26" t="str">
        <f t="shared" si="50"/>
        <v/>
      </c>
      <c r="BL4" s="26" t="str">
        <f t="shared" si="51"/>
        <v/>
      </c>
      <c r="BM4" s="26" t="str">
        <f t="shared" si="52"/>
        <v/>
      </c>
      <c r="BN4" s="26" t="str">
        <f t="shared" si="53"/>
        <v/>
      </c>
      <c r="BO4" s="26" t="str">
        <f t="shared" si="54"/>
        <v/>
      </c>
      <c r="BP4" s="26" t="str">
        <f t="shared" si="55"/>
        <v/>
      </c>
      <c r="BQ4" s="26" t="str">
        <f t="shared" si="56"/>
        <v/>
      </c>
      <c r="BR4" s="32" t="str">
        <f t="shared" si="57"/>
        <v/>
      </c>
      <c r="BS4" s="27" t="str">
        <f t="shared" si="58"/>
        <v/>
      </c>
      <c r="BT4" s="32" t="str">
        <f t="shared" si="59"/>
        <v/>
      </c>
      <c r="BU4" s="27" t="str">
        <f t="shared" si="60"/>
        <v/>
      </c>
    </row>
    <row r="5" spans="1:73" x14ac:dyDescent="0.3">
      <c r="A5" s="22" t="str">
        <f>'📊 Исходные данные'!A4</f>
        <v>Гель Ласка 1л для Черного Эффект восстановления</v>
      </c>
      <c r="B5" s="23" t="str">
        <f>'📊 Исходные данные'!B4</f>
        <v>9000101409321</v>
      </c>
      <c r="C5" s="24">
        <f>'📊 Исходные данные'!C4</f>
        <v>236.18</v>
      </c>
      <c r="D5" s="24">
        <f>'📊 Исходные данные'!D4</f>
        <v>339</v>
      </c>
      <c r="E5" s="25" t="str">
        <f t="shared" si="0"/>
        <v>🔴 Выше рынка</v>
      </c>
      <c r="F5" s="26">
        <f>IFERROR(AVERAGE('📊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>303.5</v>
      </c>
      <c r="G5" s="26">
        <f>IFERROR(MEDIAN('📊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>300</v>
      </c>
      <c r="H5" s="26">
        <f>IFERROR(MIN('📊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>265</v>
      </c>
      <c r="I5" s="26">
        <f>IFERROR(MAX('📊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>349</v>
      </c>
      <c r="J5" s="27">
        <f t="shared" si="1"/>
        <v>0.11696869851729819</v>
      </c>
      <c r="K5" s="27">
        <f t="shared" si="2"/>
        <v>0.13</v>
      </c>
      <c r="L5" s="27">
        <f t="shared" si="3"/>
        <v>0.27924528301886792</v>
      </c>
      <c r="M5" s="28" t="str">
        <f>IFERROR(RANK(D5,('📊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данные'!K4)),"")</f>
        <v/>
      </c>
      <c r="N5" s="25" t="str">
        <f t="shared" si="4"/>
        <v>—</v>
      </c>
      <c r="O5" s="27">
        <f t="shared" si="5"/>
        <v>0.43534592260140564</v>
      </c>
      <c r="P5" s="27">
        <f t="shared" si="6"/>
        <v>0.30330383480825956</v>
      </c>
      <c r="Q5" s="26">
        <f t="shared" si="7"/>
        <v>102.82</v>
      </c>
      <c r="R5" s="25" t="str">
        <f t="shared" si="8"/>
        <v>🟢 Хорошая(&gt;20%)</v>
      </c>
      <c r="S5" s="25" t="str">
        <f t="shared" si="9"/>
        <v>🟡 УМЕРЕННЫЙ</v>
      </c>
      <c r="T5" s="29"/>
      <c r="U5" s="26" t="str">
        <f t="shared" si="10"/>
        <v/>
      </c>
      <c r="V5" s="26" t="str">
        <f t="shared" si="11"/>
        <v/>
      </c>
      <c r="W5" s="27" t="e">
        <f t="shared" si="12"/>
        <v>#VALUE!</v>
      </c>
      <c r="X5" s="26">
        <f t="shared" si="13"/>
        <v>303.5</v>
      </c>
      <c r="Y5" s="27">
        <f t="shared" si="14"/>
        <v>0.28503683631128796</v>
      </c>
      <c r="Z5" s="27">
        <f t="shared" si="15"/>
        <v>0.22181219110378911</v>
      </c>
      <c r="AA5" s="26">
        <f t="shared" si="16"/>
        <v>67.319999999999993</v>
      </c>
      <c r="AB5" s="27">
        <f t="shared" si="17"/>
        <v>-0.10471976401179942</v>
      </c>
      <c r="AC5" s="27">
        <f t="shared" si="18"/>
        <v>-0.26867989900618056</v>
      </c>
      <c r="AD5" s="26">
        <f t="shared" si="19"/>
        <v>-35.5</v>
      </c>
      <c r="AE5" s="26">
        <f t="shared" si="20"/>
        <v>300</v>
      </c>
      <c r="AF5" s="27">
        <f t="shared" si="21"/>
        <v>0.27021763062071297</v>
      </c>
      <c r="AG5" s="27">
        <f t="shared" si="22"/>
        <v>0.2127333333333333</v>
      </c>
      <c r="AH5" s="26">
        <f t="shared" si="23"/>
        <v>63.819999999999993</v>
      </c>
      <c r="AI5" s="27">
        <f t="shared" si="24"/>
        <v>-0.11504424778761062</v>
      </c>
      <c r="AJ5" s="27">
        <f t="shared" si="25"/>
        <v>-0.29861311028982696</v>
      </c>
      <c r="AK5" s="26">
        <f t="shared" si="26"/>
        <v>-39</v>
      </c>
      <c r="AL5" s="26">
        <f t="shared" si="27"/>
        <v>265</v>
      </c>
      <c r="AM5" s="27">
        <f t="shared" si="28"/>
        <v>0.12202557371496313</v>
      </c>
      <c r="AN5" s="27">
        <f t="shared" si="29"/>
        <v>0.10875471698113205</v>
      </c>
      <c r="AO5" s="26">
        <f t="shared" si="30"/>
        <v>28.819999999999993</v>
      </c>
      <c r="AP5" s="27">
        <f t="shared" si="31"/>
        <v>-0.21828908554572271</v>
      </c>
      <c r="AQ5" s="27">
        <f t="shared" si="32"/>
        <v>-0.6414330961232857</v>
      </c>
      <c r="AR5" s="26">
        <f t="shared" si="33"/>
        <v>-74</v>
      </c>
      <c r="AS5" s="30"/>
      <c r="AT5" s="27" t="str">
        <f t="shared" si="34"/>
        <v/>
      </c>
      <c r="AU5" s="27" t="str">
        <f t="shared" si="35"/>
        <v/>
      </c>
      <c r="AV5" s="26" t="str">
        <f t="shared" si="36"/>
        <v/>
      </c>
      <c r="AW5" s="27" t="str">
        <f t="shared" si="37"/>
        <v/>
      </c>
      <c r="AX5" s="27" t="str">
        <f t="shared" si="38"/>
        <v/>
      </c>
      <c r="AY5" s="26" t="str">
        <f t="shared" si="39"/>
        <v/>
      </c>
      <c r="AZ5" s="31"/>
      <c r="BA5" s="26" t="str">
        <f t="shared" si="40"/>
        <v/>
      </c>
      <c r="BB5" s="27" t="str">
        <f t="shared" si="41"/>
        <v/>
      </c>
      <c r="BC5" s="27" t="str">
        <f t="shared" si="42"/>
        <v/>
      </c>
      <c r="BD5" s="26" t="str">
        <f t="shared" si="43"/>
        <v/>
      </c>
      <c r="BE5" s="27" t="str">
        <f t="shared" si="44"/>
        <v/>
      </c>
      <c r="BF5" s="27" t="str">
        <f t="shared" si="45"/>
        <v/>
      </c>
      <c r="BG5" s="26" t="str">
        <f t="shared" si="46"/>
        <v/>
      </c>
      <c r="BH5" s="26" t="str">
        <f t="shared" si="47"/>
        <v/>
      </c>
      <c r="BI5" s="26" t="str">
        <f t="shared" si="48"/>
        <v/>
      </c>
      <c r="BJ5" s="26" t="str">
        <f t="shared" si="49"/>
        <v/>
      </c>
      <c r="BK5" s="26" t="str">
        <f t="shared" si="50"/>
        <v/>
      </c>
      <c r="BL5" s="26" t="str">
        <f t="shared" si="51"/>
        <v/>
      </c>
      <c r="BM5" s="26" t="str">
        <f t="shared" si="52"/>
        <v/>
      </c>
      <c r="BN5" s="26" t="str">
        <f t="shared" si="53"/>
        <v/>
      </c>
      <c r="BO5" s="26" t="str">
        <f t="shared" si="54"/>
        <v/>
      </c>
      <c r="BP5" s="26" t="str">
        <f t="shared" si="55"/>
        <v/>
      </c>
      <c r="BQ5" s="26" t="str">
        <f t="shared" si="56"/>
        <v/>
      </c>
      <c r="BR5" s="32" t="str">
        <f t="shared" si="57"/>
        <v/>
      </c>
      <c r="BS5" s="27" t="str">
        <f t="shared" si="58"/>
        <v/>
      </c>
      <c r="BT5" s="32" t="str">
        <f t="shared" si="59"/>
        <v/>
      </c>
      <c r="BU5" s="27" t="str">
        <f t="shared" si="60"/>
        <v/>
      </c>
    </row>
    <row r="6" spans="1:73" x14ac:dyDescent="0.3">
      <c r="A6" s="22" t="str">
        <f>'📊 Исходные данные'!A5</f>
        <v>Кондиционер ABC для белья 1440мл Элегантная Орхидея</v>
      </c>
      <c r="B6" s="23" t="str">
        <f>'📊 Исходные данные'!B5</f>
        <v>8690511000983</v>
      </c>
      <c r="C6" s="24">
        <f>'📊 Исходные данные'!C5</f>
        <v>235</v>
      </c>
      <c r="D6" s="24">
        <f>'📊 Исходные данные'!D5</f>
        <v>289</v>
      </c>
      <c r="E6" s="25" t="str">
        <f t="shared" si="0"/>
        <v>🔴 Выше рынка</v>
      </c>
      <c r="F6" s="26">
        <f>IFERROR(AVERAGE('📊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>260.75</v>
      </c>
      <c r="G6" s="26">
        <f>IFERROR(MEDIAN('📊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>262.5</v>
      </c>
      <c r="H6" s="26">
        <f>IFERROR(MIN('📊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>230</v>
      </c>
      <c r="I6" s="26">
        <f>IFERROR(MAX('📊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>288</v>
      </c>
      <c r="J6" s="27">
        <f t="shared" si="1"/>
        <v>0.10834132310642378</v>
      </c>
      <c r="K6" s="27">
        <f t="shared" si="2"/>
        <v>0.10095238095238095</v>
      </c>
      <c r="L6" s="27">
        <f t="shared" si="3"/>
        <v>0.2565217391304348</v>
      </c>
      <c r="M6" s="28" t="str">
        <f>IFERROR(RANK(D6,('📊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данные'!K5)),"")</f>
        <v/>
      </c>
      <c r="N6" s="25" t="str">
        <f t="shared" si="4"/>
        <v>—</v>
      </c>
      <c r="O6" s="27">
        <f t="shared" si="5"/>
        <v>0.22978723404255319</v>
      </c>
      <c r="P6" s="27">
        <f t="shared" si="6"/>
        <v>0.18685121107266436</v>
      </c>
      <c r="Q6" s="26">
        <f t="shared" si="7"/>
        <v>54</v>
      </c>
      <c r="R6" s="25" t="str">
        <f t="shared" si="8"/>
        <v>🟡 Средняя(10-20%)</v>
      </c>
      <c r="S6" s="25" t="str">
        <f t="shared" si="9"/>
        <v>🔴 КРИТИЧНО</v>
      </c>
      <c r="T6" s="29"/>
      <c r="U6" s="26" t="str">
        <f t="shared" si="10"/>
        <v/>
      </c>
      <c r="V6" s="26" t="str">
        <f t="shared" si="11"/>
        <v/>
      </c>
      <c r="W6" s="27" t="e">
        <f t="shared" si="12"/>
        <v>#VALUE!</v>
      </c>
      <c r="X6" s="26">
        <f t="shared" si="13"/>
        <v>260.75</v>
      </c>
      <c r="Y6" s="27">
        <f t="shared" si="14"/>
        <v>0.10957446808510639</v>
      </c>
      <c r="Z6" s="27">
        <f t="shared" si="15"/>
        <v>9.8753595397890706E-2</v>
      </c>
      <c r="AA6" s="26">
        <f t="shared" si="16"/>
        <v>25.75</v>
      </c>
      <c r="AB6" s="27">
        <f t="shared" si="17"/>
        <v>-9.7750865051903113E-2</v>
      </c>
      <c r="AC6" s="27">
        <f t="shared" si="18"/>
        <v>-0.47148538759277014</v>
      </c>
      <c r="AD6" s="26">
        <f t="shared" si="19"/>
        <v>-28.25</v>
      </c>
      <c r="AE6" s="26">
        <f t="shared" si="20"/>
        <v>262.5</v>
      </c>
      <c r="AF6" s="27">
        <f t="shared" si="21"/>
        <v>0.11702127659574468</v>
      </c>
      <c r="AG6" s="27">
        <f t="shared" si="22"/>
        <v>0.10476190476190476</v>
      </c>
      <c r="AH6" s="26">
        <f t="shared" si="23"/>
        <v>27.5</v>
      </c>
      <c r="AI6" s="27">
        <f t="shared" si="24"/>
        <v>-9.1695501730103809E-2</v>
      </c>
      <c r="AJ6" s="27">
        <f t="shared" si="25"/>
        <v>-0.43932980599647264</v>
      </c>
      <c r="AK6" s="26">
        <f t="shared" si="26"/>
        <v>-26.5</v>
      </c>
      <c r="AL6" s="26">
        <f t="shared" si="27"/>
        <v>230</v>
      </c>
      <c r="AM6" s="27">
        <f t="shared" si="28"/>
        <v>-2.1276595744680851E-2</v>
      </c>
      <c r="AN6" s="27">
        <f t="shared" si="29"/>
        <v>-2.1739130434782608E-2</v>
      </c>
      <c r="AO6" s="26">
        <f t="shared" si="30"/>
        <v>-5</v>
      </c>
      <c r="AP6" s="27">
        <f t="shared" si="31"/>
        <v>-0.20415224913494809</v>
      </c>
      <c r="AQ6" s="27">
        <f t="shared" si="32"/>
        <v>-1.1163446054750403</v>
      </c>
      <c r="AR6" s="26">
        <f t="shared" si="33"/>
        <v>-59</v>
      </c>
      <c r="AS6" s="30"/>
      <c r="AT6" s="27" t="str">
        <f t="shared" si="34"/>
        <v/>
      </c>
      <c r="AU6" s="27" t="str">
        <f t="shared" si="35"/>
        <v/>
      </c>
      <c r="AV6" s="26" t="str">
        <f t="shared" si="36"/>
        <v/>
      </c>
      <c r="AW6" s="27" t="str">
        <f t="shared" si="37"/>
        <v/>
      </c>
      <c r="AX6" s="27" t="str">
        <f t="shared" si="38"/>
        <v/>
      </c>
      <c r="AY6" s="26" t="str">
        <f t="shared" si="39"/>
        <v/>
      </c>
      <c r="AZ6" s="31"/>
      <c r="BA6" s="26" t="str">
        <f t="shared" si="40"/>
        <v/>
      </c>
      <c r="BB6" s="27" t="str">
        <f t="shared" si="41"/>
        <v/>
      </c>
      <c r="BC6" s="27" t="str">
        <f t="shared" si="42"/>
        <v/>
      </c>
      <c r="BD6" s="26" t="str">
        <f t="shared" si="43"/>
        <v/>
      </c>
      <c r="BE6" s="27" t="str">
        <f t="shared" si="44"/>
        <v/>
      </c>
      <c r="BF6" s="27" t="str">
        <f t="shared" si="45"/>
        <v/>
      </c>
      <c r="BG6" s="26" t="str">
        <f t="shared" si="46"/>
        <v/>
      </c>
      <c r="BH6" s="26" t="str">
        <f t="shared" si="47"/>
        <v/>
      </c>
      <c r="BI6" s="26" t="str">
        <f t="shared" si="48"/>
        <v/>
      </c>
      <c r="BJ6" s="26" t="str">
        <f t="shared" si="49"/>
        <v/>
      </c>
      <c r="BK6" s="26" t="str">
        <f t="shared" si="50"/>
        <v/>
      </c>
      <c r="BL6" s="26" t="str">
        <f t="shared" si="51"/>
        <v/>
      </c>
      <c r="BM6" s="26" t="str">
        <f t="shared" si="52"/>
        <v/>
      </c>
      <c r="BN6" s="26" t="str">
        <f t="shared" si="53"/>
        <v/>
      </c>
      <c r="BO6" s="26" t="str">
        <f t="shared" si="54"/>
        <v/>
      </c>
      <c r="BP6" s="26" t="str">
        <f t="shared" si="55"/>
        <v/>
      </c>
      <c r="BQ6" s="26" t="str">
        <f t="shared" si="56"/>
        <v/>
      </c>
      <c r="BR6" s="32" t="str">
        <f t="shared" si="57"/>
        <v/>
      </c>
      <c r="BS6" s="27" t="str">
        <f t="shared" si="58"/>
        <v/>
      </c>
      <c r="BT6" s="32" t="str">
        <f t="shared" si="59"/>
        <v/>
      </c>
      <c r="BU6" s="27" t="str">
        <f t="shared" si="60"/>
        <v/>
      </c>
    </row>
    <row r="7" spans="1:73" x14ac:dyDescent="0.3">
      <c r="A7" s="22" t="str">
        <f>'📊 Исходные данные'!A6</f>
        <v>Порошок ABC авт 3кг Лимон</v>
      </c>
      <c r="B7" s="23" t="str">
        <f>'📊 Исходные данные'!B6</f>
        <v>8690511171614</v>
      </c>
      <c r="C7" s="24">
        <f>'📊 Исходные данные'!C6</f>
        <v>255</v>
      </c>
      <c r="D7" s="24">
        <f>'📊 Исходные данные'!D6</f>
        <v>385</v>
      </c>
      <c r="E7" s="25" t="str">
        <f t="shared" si="0"/>
        <v>🔴 Выше рынка</v>
      </c>
      <c r="F7" s="26">
        <f>IFERROR(AVERAGE('📊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>344.5</v>
      </c>
      <c r="G7" s="26">
        <f>IFERROR(MEDIAN('📊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>342.5</v>
      </c>
      <c r="H7" s="26">
        <f>IFERROR(MIN('📊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>299</v>
      </c>
      <c r="I7" s="26">
        <f>IFERROR(MAX('📊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>394</v>
      </c>
      <c r="J7" s="27">
        <f t="shared" si="1"/>
        <v>0.11756168359941944</v>
      </c>
      <c r="K7" s="27">
        <f t="shared" si="2"/>
        <v>0.12408759124087591</v>
      </c>
      <c r="L7" s="27">
        <f t="shared" si="3"/>
        <v>0.28762541806020064</v>
      </c>
      <c r="M7" s="28" t="str">
        <f>IFERROR(RANK(D7,('📊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данные'!K6)),"")</f>
        <v/>
      </c>
      <c r="N7" s="25" t="str">
        <f t="shared" si="4"/>
        <v>—</v>
      </c>
      <c r="O7" s="27">
        <f t="shared" si="5"/>
        <v>0.50980392156862742</v>
      </c>
      <c r="P7" s="27">
        <f t="shared" si="6"/>
        <v>0.33766233766233766</v>
      </c>
      <c r="Q7" s="26">
        <f t="shared" si="7"/>
        <v>130</v>
      </c>
      <c r="R7" s="25" t="str">
        <f t="shared" si="8"/>
        <v>🟢 Хорошая(&gt;20%)</v>
      </c>
      <c r="S7" s="25" t="str">
        <f t="shared" si="9"/>
        <v>🟡 УМЕРЕННЫЙ</v>
      </c>
      <c r="T7" s="29"/>
      <c r="U7" s="26" t="str">
        <f t="shared" si="10"/>
        <v/>
      </c>
      <c r="V7" s="26" t="str">
        <f t="shared" si="11"/>
        <v/>
      </c>
      <c r="W7" s="27" t="e">
        <f t="shared" si="12"/>
        <v>#VALUE!</v>
      </c>
      <c r="X7" s="26">
        <f t="shared" si="13"/>
        <v>344.5</v>
      </c>
      <c r="Y7" s="27">
        <f t="shared" si="14"/>
        <v>0.35098039215686272</v>
      </c>
      <c r="Z7" s="27">
        <f t="shared" si="15"/>
        <v>0.25979680696661828</v>
      </c>
      <c r="AA7" s="26">
        <f t="shared" si="16"/>
        <v>89.5</v>
      </c>
      <c r="AB7" s="27">
        <f t="shared" si="17"/>
        <v>-0.10519480519480519</v>
      </c>
      <c r="AC7" s="27">
        <f t="shared" si="18"/>
        <v>-0.23060176398347665</v>
      </c>
      <c r="AD7" s="26">
        <f t="shared" si="19"/>
        <v>-40.5</v>
      </c>
      <c r="AE7" s="26">
        <f t="shared" si="20"/>
        <v>342.5</v>
      </c>
      <c r="AF7" s="27">
        <f t="shared" si="21"/>
        <v>0.34313725490196079</v>
      </c>
      <c r="AG7" s="27">
        <f t="shared" si="22"/>
        <v>0.25547445255474455</v>
      </c>
      <c r="AH7" s="26">
        <f t="shared" si="23"/>
        <v>87.5</v>
      </c>
      <c r="AI7" s="27">
        <f t="shared" si="24"/>
        <v>-0.11038961038961038</v>
      </c>
      <c r="AJ7" s="27">
        <f t="shared" si="25"/>
        <v>-0.24340258281864116</v>
      </c>
      <c r="AK7" s="26">
        <f t="shared" si="26"/>
        <v>-42.5</v>
      </c>
      <c r="AL7" s="26">
        <f t="shared" si="27"/>
        <v>299</v>
      </c>
      <c r="AM7" s="27">
        <f t="shared" si="28"/>
        <v>0.17254901960784313</v>
      </c>
      <c r="AN7" s="27">
        <f t="shared" si="29"/>
        <v>0.14715719063545152</v>
      </c>
      <c r="AO7" s="26">
        <f t="shared" si="30"/>
        <v>44</v>
      </c>
      <c r="AP7" s="27">
        <f t="shared" si="31"/>
        <v>-0.22337662337662337</v>
      </c>
      <c r="AQ7" s="27">
        <f t="shared" si="32"/>
        <v>-0.56418832004116282</v>
      </c>
      <c r="AR7" s="26">
        <f t="shared" si="33"/>
        <v>-86</v>
      </c>
      <c r="AS7" s="30"/>
      <c r="AT7" s="27" t="str">
        <f t="shared" si="34"/>
        <v/>
      </c>
      <c r="AU7" s="27" t="str">
        <f t="shared" si="35"/>
        <v/>
      </c>
      <c r="AV7" s="26" t="str">
        <f t="shared" si="36"/>
        <v/>
      </c>
      <c r="AW7" s="27" t="str">
        <f t="shared" si="37"/>
        <v/>
      </c>
      <c r="AX7" s="27" t="str">
        <f t="shared" si="38"/>
        <v/>
      </c>
      <c r="AY7" s="26" t="str">
        <f t="shared" si="39"/>
        <v/>
      </c>
      <c r="AZ7" s="31"/>
      <c r="BA7" s="26" t="str">
        <f t="shared" si="40"/>
        <v/>
      </c>
      <c r="BB7" s="27" t="str">
        <f t="shared" si="41"/>
        <v/>
      </c>
      <c r="BC7" s="27" t="str">
        <f t="shared" si="42"/>
        <v/>
      </c>
      <c r="BD7" s="26" t="str">
        <f t="shared" si="43"/>
        <v/>
      </c>
      <c r="BE7" s="27" t="str">
        <f t="shared" si="44"/>
        <v/>
      </c>
      <c r="BF7" s="27" t="str">
        <f t="shared" si="45"/>
        <v/>
      </c>
      <c r="BG7" s="26" t="str">
        <f t="shared" si="46"/>
        <v/>
      </c>
      <c r="BH7" s="26" t="str">
        <f t="shared" si="47"/>
        <v/>
      </c>
      <c r="BI7" s="26" t="str">
        <f t="shared" si="48"/>
        <v/>
      </c>
      <c r="BJ7" s="26" t="str">
        <f t="shared" si="49"/>
        <v/>
      </c>
      <c r="BK7" s="26" t="str">
        <f t="shared" si="50"/>
        <v/>
      </c>
      <c r="BL7" s="26" t="str">
        <f t="shared" si="51"/>
        <v/>
      </c>
      <c r="BM7" s="26" t="str">
        <f t="shared" si="52"/>
        <v/>
      </c>
      <c r="BN7" s="26" t="str">
        <f t="shared" si="53"/>
        <v/>
      </c>
      <c r="BO7" s="26" t="str">
        <f t="shared" si="54"/>
        <v/>
      </c>
      <c r="BP7" s="26" t="str">
        <f t="shared" si="55"/>
        <v/>
      </c>
      <c r="BQ7" s="26" t="str">
        <f t="shared" si="56"/>
        <v/>
      </c>
      <c r="BR7" s="32" t="str">
        <f t="shared" si="57"/>
        <v/>
      </c>
      <c r="BS7" s="27" t="str">
        <f t="shared" si="58"/>
        <v/>
      </c>
      <c r="BT7" s="32" t="str">
        <f t="shared" si="59"/>
        <v/>
      </c>
      <c r="BU7" s="27" t="str">
        <f t="shared" si="60"/>
        <v/>
      </c>
    </row>
    <row r="8" spans="1:73" x14ac:dyDescent="0.3">
      <c r="A8" s="22" t="str">
        <f>'📊 Исходные данные'!A7</f>
        <v>Порошок Ариэль авт 3кг Колор</v>
      </c>
      <c r="B8" s="23" t="str">
        <f>'📊 Исходные данные'!B7</f>
        <v>5413149333437</v>
      </c>
      <c r="C8" s="24">
        <f>'📊 Исходные данные'!C7</f>
        <v>496.63</v>
      </c>
      <c r="D8" s="24">
        <f>'📊 Исходные данные'!D7</f>
        <v>599</v>
      </c>
      <c r="E8" s="25" t="str">
        <f t="shared" si="0"/>
        <v>🔴 Выше рынка</v>
      </c>
      <c r="F8" s="26">
        <f>IFERROR(AVERAGE('📊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>567.66666666666663</v>
      </c>
      <c r="G8" s="26">
        <f>IFERROR(MEDIAN('📊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>540</v>
      </c>
      <c r="H8" s="26">
        <f>IFERROR(MIN('📊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>490</v>
      </c>
      <c r="I8" s="26">
        <f>IFERROR(MAX('📊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>673</v>
      </c>
      <c r="J8" s="27">
        <f t="shared" si="1"/>
        <v>5.5196711685261371E-2</v>
      </c>
      <c r="K8" s="27">
        <f t="shared" si="2"/>
        <v>0.10925925925925926</v>
      </c>
      <c r="L8" s="27">
        <f t="shared" si="3"/>
        <v>0.22244897959183674</v>
      </c>
      <c r="M8" s="28" t="str">
        <f>IFERROR(RANK(D8,('📊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данные'!K7)),"")</f>
        <v/>
      </c>
      <c r="N8" s="25" t="str">
        <f t="shared" si="4"/>
        <v>—</v>
      </c>
      <c r="O8" s="27">
        <f t="shared" si="5"/>
        <v>0.20612931155991382</v>
      </c>
      <c r="P8" s="27">
        <f t="shared" si="6"/>
        <v>0.17090150250417363</v>
      </c>
      <c r="Q8" s="26">
        <f t="shared" si="7"/>
        <v>102.37</v>
      </c>
      <c r="R8" s="25" t="str">
        <f t="shared" si="8"/>
        <v>🟡 Средняя(10-20%)</v>
      </c>
      <c r="S8" s="25" t="str">
        <f t="shared" si="9"/>
        <v>🔴 КРИТИЧНО</v>
      </c>
      <c r="T8" s="29"/>
      <c r="U8" s="26" t="str">
        <f t="shared" si="10"/>
        <v/>
      </c>
      <c r="V8" s="26" t="str">
        <f t="shared" si="11"/>
        <v/>
      </c>
      <c r="W8" s="27" t="e">
        <f t="shared" si="12"/>
        <v>#VALUE!</v>
      </c>
      <c r="X8" s="26">
        <f t="shared" si="13"/>
        <v>567.66666666666663</v>
      </c>
      <c r="Y8" s="27">
        <f t="shared" si="14"/>
        <v>0.14303740544603957</v>
      </c>
      <c r="Z8" s="27">
        <f t="shared" si="15"/>
        <v>0.12513799177921311</v>
      </c>
      <c r="AA8" s="26">
        <f t="shared" si="16"/>
        <v>71.036666666666633</v>
      </c>
      <c r="AB8" s="27">
        <f t="shared" si="17"/>
        <v>-5.230940456316089E-2</v>
      </c>
      <c r="AC8" s="27">
        <f t="shared" si="18"/>
        <v>-0.26777711169533408</v>
      </c>
      <c r="AD8" s="26">
        <f t="shared" si="19"/>
        <v>-31.333333333333371</v>
      </c>
      <c r="AE8" s="26">
        <f t="shared" si="20"/>
        <v>540</v>
      </c>
      <c r="AF8" s="27">
        <f t="shared" si="21"/>
        <v>8.7328594728469891E-2</v>
      </c>
      <c r="AG8" s="27">
        <f t="shared" si="22"/>
        <v>8.0314814814814825E-2</v>
      </c>
      <c r="AH8" s="26">
        <f t="shared" si="23"/>
        <v>43.370000000000005</v>
      </c>
      <c r="AI8" s="27">
        <f t="shared" si="24"/>
        <v>-9.849749582637729E-2</v>
      </c>
      <c r="AJ8" s="27">
        <f t="shared" si="25"/>
        <v>-0.53005202623743208</v>
      </c>
      <c r="AK8" s="26">
        <f t="shared" si="26"/>
        <v>-59</v>
      </c>
      <c r="AL8" s="26">
        <f t="shared" si="27"/>
        <v>490</v>
      </c>
      <c r="AM8" s="27">
        <f t="shared" si="28"/>
        <v>-1.3349978857499539E-2</v>
      </c>
      <c r="AN8" s="27">
        <f t="shared" si="29"/>
        <v>-1.353061224489795E-2</v>
      </c>
      <c r="AO8" s="26">
        <f t="shared" si="30"/>
        <v>-6.6299999999999955</v>
      </c>
      <c r="AP8" s="27">
        <f t="shared" si="31"/>
        <v>-0.18196994991652754</v>
      </c>
      <c r="AQ8" s="27">
        <f t="shared" si="32"/>
        <v>-1.079171991156529</v>
      </c>
      <c r="AR8" s="26">
        <f t="shared" si="33"/>
        <v>-109</v>
      </c>
      <c r="AS8" s="30"/>
      <c r="AT8" s="27" t="str">
        <f t="shared" si="34"/>
        <v/>
      </c>
      <c r="AU8" s="27" t="str">
        <f t="shared" si="35"/>
        <v/>
      </c>
      <c r="AV8" s="26" t="str">
        <f t="shared" si="36"/>
        <v/>
      </c>
      <c r="AW8" s="27" t="str">
        <f t="shared" si="37"/>
        <v/>
      </c>
      <c r="AX8" s="27" t="str">
        <f t="shared" si="38"/>
        <v/>
      </c>
      <c r="AY8" s="26" t="str">
        <f t="shared" si="39"/>
        <v/>
      </c>
      <c r="AZ8" s="31"/>
      <c r="BA8" s="26" t="str">
        <f t="shared" si="40"/>
        <v/>
      </c>
      <c r="BB8" s="27" t="str">
        <f t="shared" si="41"/>
        <v/>
      </c>
      <c r="BC8" s="27" t="str">
        <f t="shared" si="42"/>
        <v/>
      </c>
      <c r="BD8" s="26" t="str">
        <f t="shared" si="43"/>
        <v/>
      </c>
      <c r="BE8" s="27" t="str">
        <f t="shared" si="44"/>
        <v/>
      </c>
      <c r="BF8" s="27" t="str">
        <f t="shared" si="45"/>
        <v/>
      </c>
      <c r="BG8" s="26" t="str">
        <f t="shared" si="46"/>
        <v/>
      </c>
      <c r="BH8" s="26" t="str">
        <f t="shared" si="47"/>
        <v/>
      </c>
      <c r="BI8" s="26" t="str">
        <f t="shared" si="48"/>
        <v/>
      </c>
      <c r="BJ8" s="26" t="str">
        <f t="shared" si="49"/>
        <v/>
      </c>
      <c r="BK8" s="26" t="str">
        <f t="shared" si="50"/>
        <v/>
      </c>
      <c r="BL8" s="26" t="str">
        <f t="shared" si="51"/>
        <v/>
      </c>
      <c r="BM8" s="26" t="str">
        <f t="shared" si="52"/>
        <v/>
      </c>
      <c r="BN8" s="26" t="str">
        <f t="shared" si="53"/>
        <v/>
      </c>
      <c r="BO8" s="26" t="str">
        <f t="shared" si="54"/>
        <v/>
      </c>
      <c r="BP8" s="26" t="str">
        <f t="shared" si="55"/>
        <v/>
      </c>
      <c r="BQ8" s="26" t="str">
        <f t="shared" si="56"/>
        <v/>
      </c>
      <c r="BR8" s="32" t="str">
        <f t="shared" si="57"/>
        <v/>
      </c>
      <c r="BS8" s="27" t="str">
        <f t="shared" si="58"/>
        <v/>
      </c>
      <c r="BT8" s="32" t="str">
        <f t="shared" si="59"/>
        <v/>
      </c>
      <c r="BU8" s="27" t="str">
        <f t="shared" si="60"/>
        <v/>
      </c>
    </row>
    <row r="9" spans="1:73" x14ac:dyDescent="0.3">
      <c r="A9" s="22" t="str">
        <f>'📊 Исходные данные'!A8</f>
        <v>Отбеливатель Бос плюс Макс 500г</v>
      </c>
      <c r="B9" s="23" t="str">
        <f>'📊 Исходные данные'!B8</f>
        <v>4600905000332</v>
      </c>
      <c r="C9" s="24">
        <f>'📊 Исходные данные'!C8</f>
        <v>127</v>
      </c>
      <c r="D9" s="24">
        <f>'📊 Исходные данные'!D8</f>
        <v>179</v>
      </c>
      <c r="E9" s="25" t="str">
        <f t="shared" si="0"/>
        <v>🟢 Ниже рынка</v>
      </c>
      <c r="F9" s="26">
        <f>IFERROR(AVERAGE('📊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>191</v>
      </c>
      <c r="G9" s="26">
        <f>IFERROR(MEDIAN('📊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>191</v>
      </c>
      <c r="H9" s="26">
        <f>IFERROR(MIN('📊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>191</v>
      </c>
      <c r="I9" s="26">
        <f>IFERROR(MAX('📊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>191</v>
      </c>
      <c r="J9" s="27">
        <f t="shared" si="1"/>
        <v>-6.2827225130890049E-2</v>
      </c>
      <c r="K9" s="27">
        <f t="shared" si="2"/>
        <v>-6.2827225130890049E-2</v>
      </c>
      <c r="L9" s="27">
        <f t="shared" si="3"/>
        <v>-6.2827225130890049E-2</v>
      </c>
      <c r="M9" s="28" t="str">
        <f>IFERROR(RANK(D9,('📊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данные'!K8)),"")</f>
        <v/>
      </c>
      <c r="N9" s="25" t="str">
        <f t="shared" si="4"/>
        <v>—</v>
      </c>
      <c r="O9" s="27">
        <f t="shared" si="5"/>
        <v>0.40944881889763779</v>
      </c>
      <c r="P9" s="27">
        <f t="shared" si="6"/>
        <v>0.29050279329608941</v>
      </c>
      <c r="Q9" s="26">
        <f t="shared" si="7"/>
        <v>52</v>
      </c>
      <c r="R9" s="25" t="str">
        <f t="shared" si="8"/>
        <v>🟢 Хорошая(&gt;20%)</v>
      </c>
      <c r="S9" s="25" t="str">
        <f t="shared" si="9"/>
        <v>🟢 НИЗКИЙ</v>
      </c>
      <c r="T9" s="29"/>
      <c r="U9" s="26" t="str">
        <f t="shared" si="10"/>
        <v/>
      </c>
      <c r="V9" s="26" t="str">
        <f t="shared" si="11"/>
        <v/>
      </c>
      <c r="W9" s="27" t="e">
        <f t="shared" si="12"/>
        <v>#VALUE!</v>
      </c>
      <c r="X9" s="26">
        <f t="shared" si="13"/>
        <v>191</v>
      </c>
      <c r="Y9" s="27">
        <f t="shared" si="14"/>
        <v>0.50393700787401574</v>
      </c>
      <c r="Z9" s="27">
        <f t="shared" si="15"/>
        <v>0.33507853403141363</v>
      </c>
      <c r="AA9" s="26">
        <f t="shared" si="16"/>
        <v>64</v>
      </c>
      <c r="AB9" s="27">
        <f t="shared" si="17"/>
        <v>6.7039106145251395E-2</v>
      </c>
      <c r="AC9" s="27">
        <f t="shared" si="18"/>
        <v>0.1534434152235199</v>
      </c>
      <c r="AD9" s="26">
        <f t="shared" si="19"/>
        <v>12</v>
      </c>
      <c r="AE9" s="26">
        <f t="shared" si="20"/>
        <v>191</v>
      </c>
      <c r="AF9" s="27">
        <f t="shared" si="21"/>
        <v>0.50393700787401574</v>
      </c>
      <c r="AG9" s="27">
        <f t="shared" si="22"/>
        <v>0.33507853403141363</v>
      </c>
      <c r="AH9" s="26">
        <f t="shared" si="23"/>
        <v>64</v>
      </c>
      <c r="AI9" s="27">
        <f t="shared" si="24"/>
        <v>6.7039106145251395E-2</v>
      </c>
      <c r="AJ9" s="27">
        <f t="shared" si="25"/>
        <v>0.1534434152235199</v>
      </c>
      <c r="AK9" s="26">
        <f t="shared" si="26"/>
        <v>12</v>
      </c>
      <c r="AL9" s="26">
        <f t="shared" si="27"/>
        <v>191</v>
      </c>
      <c r="AM9" s="27">
        <f t="shared" si="28"/>
        <v>0.50393700787401574</v>
      </c>
      <c r="AN9" s="27">
        <f t="shared" si="29"/>
        <v>0.33507853403141363</v>
      </c>
      <c r="AO9" s="26">
        <f t="shared" si="30"/>
        <v>64</v>
      </c>
      <c r="AP9" s="27">
        <f t="shared" si="31"/>
        <v>6.7039106145251395E-2</v>
      </c>
      <c r="AQ9" s="27">
        <f t="shared" si="32"/>
        <v>0.1534434152235199</v>
      </c>
      <c r="AR9" s="26">
        <f t="shared" si="33"/>
        <v>12</v>
      </c>
      <c r="AS9" s="30"/>
      <c r="AT9" s="27" t="str">
        <f t="shared" si="34"/>
        <v/>
      </c>
      <c r="AU9" s="27" t="str">
        <f t="shared" si="35"/>
        <v/>
      </c>
      <c r="AV9" s="26" t="str">
        <f t="shared" si="36"/>
        <v/>
      </c>
      <c r="AW9" s="27" t="str">
        <f t="shared" si="37"/>
        <v/>
      </c>
      <c r="AX9" s="27" t="str">
        <f t="shared" si="38"/>
        <v/>
      </c>
      <c r="AY9" s="26" t="str">
        <f t="shared" si="39"/>
        <v/>
      </c>
      <c r="AZ9" s="31"/>
      <c r="BA9" s="26" t="str">
        <f t="shared" si="40"/>
        <v/>
      </c>
      <c r="BB9" s="27" t="str">
        <f t="shared" si="41"/>
        <v/>
      </c>
      <c r="BC9" s="27" t="str">
        <f t="shared" si="42"/>
        <v/>
      </c>
      <c r="BD9" s="26" t="str">
        <f t="shared" si="43"/>
        <v/>
      </c>
      <c r="BE9" s="27" t="str">
        <f t="shared" si="44"/>
        <v/>
      </c>
      <c r="BF9" s="27" t="str">
        <f t="shared" si="45"/>
        <v/>
      </c>
      <c r="BG9" s="26" t="str">
        <f t="shared" si="46"/>
        <v/>
      </c>
      <c r="BH9" s="26" t="str">
        <f t="shared" si="47"/>
        <v/>
      </c>
      <c r="BI9" s="26" t="str">
        <f t="shared" si="48"/>
        <v/>
      </c>
      <c r="BJ9" s="26" t="str">
        <f t="shared" si="49"/>
        <v/>
      </c>
      <c r="BK9" s="26" t="str">
        <f t="shared" si="50"/>
        <v/>
      </c>
      <c r="BL9" s="26" t="str">
        <f t="shared" si="51"/>
        <v/>
      </c>
      <c r="BM9" s="26" t="str">
        <f t="shared" si="52"/>
        <v/>
      </c>
      <c r="BN9" s="26" t="str">
        <f t="shared" si="53"/>
        <v/>
      </c>
      <c r="BO9" s="26" t="str">
        <f t="shared" si="54"/>
        <v/>
      </c>
      <c r="BP9" s="26" t="str">
        <f t="shared" si="55"/>
        <v/>
      </c>
      <c r="BQ9" s="26" t="str">
        <f t="shared" si="56"/>
        <v/>
      </c>
      <c r="BR9" s="32" t="str">
        <f t="shared" si="57"/>
        <v/>
      </c>
      <c r="BS9" s="27" t="str">
        <f t="shared" si="58"/>
        <v/>
      </c>
      <c r="BT9" s="32" t="str">
        <f t="shared" si="59"/>
        <v/>
      </c>
      <c r="BU9" s="27" t="str">
        <f t="shared" si="60"/>
        <v/>
      </c>
    </row>
    <row r="10" spans="1:73" x14ac:dyDescent="0.3">
      <c r="A10" s="22" t="str">
        <f>'📊 Исходные данные'!A9</f>
        <v>Средство AOS для посуды 450г Лимон</v>
      </c>
      <c r="B10" s="23" t="str">
        <f>'📊 Исходные данные'!B9</f>
        <v>4604049012305</v>
      </c>
      <c r="C10" s="24">
        <f>'📊 Исходные данные'!C9</f>
        <v>67.94</v>
      </c>
      <c r="D10" s="24">
        <f>'📊 Исходные данные'!D9</f>
        <v>85</v>
      </c>
      <c r="E10" s="25" t="str">
        <f t="shared" si="0"/>
        <v>🟡 На уровне</v>
      </c>
      <c r="F10" s="26">
        <f>IFERROR(AVERAGE('📊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>86.2</v>
      </c>
      <c r="G10" s="26">
        <f>IFERROR(MEDIAN('📊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>85</v>
      </c>
      <c r="H10" s="26">
        <f>IFERROR(MIN('📊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>71</v>
      </c>
      <c r="I10" s="26">
        <f>IFERROR(MAX('📊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>107</v>
      </c>
      <c r="J10" s="27">
        <f t="shared" si="1"/>
        <v>-1.392111368909516E-2</v>
      </c>
      <c r="K10" s="27">
        <f t="shared" si="2"/>
        <v>0</v>
      </c>
      <c r="L10" s="27">
        <f t="shared" si="3"/>
        <v>0.19718309859154928</v>
      </c>
      <c r="M10" s="28">
        <f>IFERROR(RANK(D10,('📊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данные'!K9)),"")</f>
        <v>3</v>
      </c>
      <c r="N10" s="25" t="str">
        <f t="shared" si="4"/>
        <v>🟡 Средний</v>
      </c>
      <c r="O10" s="27">
        <f t="shared" si="5"/>
        <v>0.25110391521931119</v>
      </c>
      <c r="P10" s="27">
        <f t="shared" si="6"/>
        <v>0.20070588235294121</v>
      </c>
      <c r="Q10" s="26">
        <f t="shared" si="7"/>
        <v>17.060000000000002</v>
      </c>
      <c r="R10" s="25" t="str">
        <f t="shared" si="8"/>
        <v>🟢 Хорошая(&gt;20%)</v>
      </c>
      <c r="S10" s="25" t="str">
        <f t="shared" si="9"/>
        <v>🔴 КРИТИЧНО</v>
      </c>
      <c r="T10" s="29"/>
      <c r="U10" s="26" t="str">
        <f t="shared" si="10"/>
        <v/>
      </c>
      <c r="V10" s="26" t="str">
        <f t="shared" si="11"/>
        <v/>
      </c>
      <c r="W10" s="27" t="e">
        <f t="shared" si="12"/>
        <v>#VALUE!</v>
      </c>
      <c r="X10" s="26">
        <f t="shared" si="13"/>
        <v>86.2</v>
      </c>
      <c r="Y10" s="27">
        <f t="shared" si="14"/>
        <v>0.26876655872828975</v>
      </c>
      <c r="Z10" s="27">
        <f t="shared" si="15"/>
        <v>0.21183294663573091</v>
      </c>
      <c r="AA10" s="26">
        <f t="shared" si="16"/>
        <v>18.260000000000005</v>
      </c>
      <c r="AB10" s="27">
        <f t="shared" si="17"/>
        <v>1.4117647058823563E-2</v>
      </c>
      <c r="AC10" s="27">
        <f t="shared" si="18"/>
        <v>5.543965205375876E-2</v>
      </c>
      <c r="AD10" s="26">
        <f t="shared" si="19"/>
        <v>1.2000000000000028</v>
      </c>
      <c r="AE10" s="26">
        <f t="shared" si="20"/>
        <v>85</v>
      </c>
      <c r="AF10" s="27">
        <f t="shared" si="21"/>
        <v>0.25110391521931119</v>
      </c>
      <c r="AG10" s="27">
        <f t="shared" si="22"/>
        <v>0.20070588235294121</v>
      </c>
      <c r="AH10" s="26">
        <f t="shared" si="23"/>
        <v>17.060000000000002</v>
      </c>
      <c r="AI10" s="27">
        <f t="shared" si="24"/>
        <v>0</v>
      </c>
      <c r="AJ10" s="27">
        <f t="shared" si="25"/>
        <v>0</v>
      </c>
      <c r="AK10" s="26">
        <f t="shared" si="26"/>
        <v>0</v>
      </c>
      <c r="AL10" s="26">
        <f t="shared" si="27"/>
        <v>71</v>
      </c>
      <c r="AM10" s="27">
        <f t="shared" si="28"/>
        <v>4.5039740947895236E-2</v>
      </c>
      <c r="AN10" s="27">
        <f t="shared" si="29"/>
        <v>4.3098591549295809E-2</v>
      </c>
      <c r="AO10" s="26">
        <f t="shared" si="30"/>
        <v>3.0600000000000023</v>
      </c>
      <c r="AP10" s="27">
        <f t="shared" si="31"/>
        <v>-0.16470588235294117</v>
      </c>
      <c r="AQ10" s="27">
        <f t="shared" si="32"/>
        <v>-0.78526493073328574</v>
      </c>
      <c r="AR10" s="26">
        <f t="shared" si="33"/>
        <v>-14</v>
      </c>
      <c r="AS10" s="30"/>
      <c r="AT10" s="27" t="str">
        <f t="shared" si="34"/>
        <v/>
      </c>
      <c r="AU10" s="27" t="str">
        <f t="shared" si="35"/>
        <v/>
      </c>
      <c r="AV10" s="26" t="str">
        <f t="shared" si="36"/>
        <v/>
      </c>
      <c r="AW10" s="27" t="str">
        <f t="shared" si="37"/>
        <v/>
      </c>
      <c r="AX10" s="27" t="str">
        <f t="shared" si="38"/>
        <v/>
      </c>
      <c r="AY10" s="26" t="str">
        <f t="shared" si="39"/>
        <v/>
      </c>
      <c r="AZ10" s="31"/>
      <c r="BA10" s="26" t="str">
        <f t="shared" si="40"/>
        <v/>
      </c>
      <c r="BB10" s="27" t="str">
        <f t="shared" si="41"/>
        <v/>
      </c>
      <c r="BC10" s="27" t="str">
        <f t="shared" si="42"/>
        <v/>
      </c>
      <c r="BD10" s="26" t="str">
        <f t="shared" si="43"/>
        <v/>
      </c>
      <c r="BE10" s="27" t="str">
        <f t="shared" si="44"/>
        <v/>
      </c>
      <c r="BF10" s="27" t="str">
        <f t="shared" si="45"/>
        <v/>
      </c>
      <c r="BG10" s="26" t="str">
        <f t="shared" si="46"/>
        <v/>
      </c>
      <c r="BH10" s="26" t="str">
        <f t="shared" si="47"/>
        <v/>
      </c>
      <c r="BI10" s="26" t="str">
        <f t="shared" si="48"/>
        <v/>
      </c>
      <c r="BJ10" s="26" t="str">
        <f t="shared" si="49"/>
        <v/>
      </c>
      <c r="BK10" s="26" t="str">
        <f t="shared" si="50"/>
        <v/>
      </c>
      <c r="BL10" s="26" t="str">
        <f t="shared" si="51"/>
        <v/>
      </c>
      <c r="BM10" s="26" t="str">
        <f t="shared" si="52"/>
        <v/>
      </c>
      <c r="BN10" s="26" t="str">
        <f t="shared" si="53"/>
        <v/>
      </c>
      <c r="BO10" s="26" t="str">
        <f t="shared" si="54"/>
        <v/>
      </c>
      <c r="BP10" s="26" t="str">
        <f t="shared" si="55"/>
        <v/>
      </c>
      <c r="BQ10" s="26" t="str">
        <f t="shared" si="56"/>
        <v/>
      </c>
      <c r="BR10" s="32" t="str">
        <f t="shared" si="57"/>
        <v/>
      </c>
      <c r="BS10" s="27" t="str">
        <f t="shared" si="58"/>
        <v/>
      </c>
      <c r="BT10" s="32" t="str">
        <f t="shared" si="59"/>
        <v/>
      </c>
      <c r="BU10" s="27" t="str">
        <f t="shared" si="60"/>
        <v/>
      </c>
    </row>
    <row r="11" spans="1:73" x14ac:dyDescent="0.3">
      <c r="A11" s="22" t="str">
        <f>'📊 Исходные данные'!A10</f>
        <v>Средство AOS для посуды 900г Лимон</v>
      </c>
      <c r="B11" s="23" t="str">
        <f>'📊 Исходные данные'!B10</f>
        <v>4604049095476</v>
      </c>
      <c r="C11" s="24">
        <f>'📊 Исходные данные'!C10</f>
        <v>131.78</v>
      </c>
      <c r="D11" s="24">
        <f>'📊 Исходные данные'!D10</f>
        <v>199</v>
      </c>
      <c r="E11" s="25" t="str">
        <f t="shared" si="0"/>
        <v>🔴 Выше рынка</v>
      </c>
      <c r="F11" s="26">
        <f>IFERROR(AVERAGE('📊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>156.5</v>
      </c>
      <c r="G11" s="26">
        <f>IFERROR(MEDIAN('📊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>154.5</v>
      </c>
      <c r="H11" s="26">
        <f>IFERROR(MIN('📊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>138</v>
      </c>
      <c r="I11" s="26">
        <f>IFERROR(MAX('📊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>179</v>
      </c>
      <c r="J11" s="27">
        <f t="shared" si="1"/>
        <v>0.27156549520766771</v>
      </c>
      <c r="K11" s="27">
        <f t="shared" si="2"/>
        <v>0.28802588996763756</v>
      </c>
      <c r="L11" s="27">
        <f t="shared" si="3"/>
        <v>0.4420289855072464</v>
      </c>
      <c r="M11" s="28" t="str">
        <f>IFERROR(RANK(D11,('📊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данные'!K10)),"")</f>
        <v/>
      </c>
      <c r="N11" s="25" t="str">
        <f t="shared" si="4"/>
        <v>—</v>
      </c>
      <c r="O11" s="27">
        <f t="shared" si="5"/>
        <v>0.5100925785399909</v>
      </c>
      <c r="P11" s="27">
        <f t="shared" si="6"/>
        <v>0.33778894472361809</v>
      </c>
      <c r="Q11" s="26">
        <f t="shared" si="7"/>
        <v>67.22</v>
      </c>
      <c r="R11" s="25" t="str">
        <f t="shared" si="8"/>
        <v>🟢 Хорошая(&gt;20%)</v>
      </c>
      <c r="S11" s="25" t="str">
        <f t="shared" si="9"/>
        <v>🔴 КРИТИЧНО</v>
      </c>
      <c r="T11" s="29"/>
      <c r="U11" s="26" t="str">
        <f t="shared" si="10"/>
        <v/>
      </c>
      <c r="V11" s="26" t="str">
        <f t="shared" si="11"/>
        <v/>
      </c>
      <c r="W11" s="27" t="e">
        <f t="shared" si="12"/>
        <v>#VALUE!</v>
      </c>
      <c r="X11" s="26">
        <f t="shared" si="13"/>
        <v>156.5</v>
      </c>
      <c r="Y11" s="27">
        <f t="shared" si="14"/>
        <v>0.18758536955531946</v>
      </c>
      <c r="Z11" s="27">
        <f t="shared" si="15"/>
        <v>0.15795527156549519</v>
      </c>
      <c r="AA11" s="26">
        <f t="shared" si="16"/>
        <v>24.72</v>
      </c>
      <c r="AB11" s="27">
        <f t="shared" si="17"/>
        <v>-0.21356783919597991</v>
      </c>
      <c r="AC11" s="27">
        <f t="shared" si="18"/>
        <v>-0.53238472119111069</v>
      </c>
      <c r="AD11" s="26">
        <f t="shared" si="19"/>
        <v>-42.5</v>
      </c>
      <c r="AE11" s="26">
        <f t="shared" si="20"/>
        <v>154.5</v>
      </c>
      <c r="AF11" s="27">
        <f t="shared" si="21"/>
        <v>0.1724085597207467</v>
      </c>
      <c r="AG11" s="27">
        <f t="shared" si="22"/>
        <v>0.14705501618122976</v>
      </c>
      <c r="AH11" s="26">
        <f t="shared" si="23"/>
        <v>22.72</v>
      </c>
      <c r="AI11" s="27">
        <f t="shared" si="24"/>
        <v>-0.2236180904522613</v>
      </c>
      <c r="AJ11" s="27">
        <f t="shared" si="25"/>
        <v>-0.5646541472766331</v>
      </c>
      <c r="AK11" s="26">
        <f t="shared" si="26"/>
        <v>-44.5</v>
      </c>
      <c r="AL11" s="26">
        <f t="shared" si="27"/>
        <v>138</v>
      </c>
      <c r="AM11" s="27">
        <f t="shared" si="28"/>
        <v>4.7199878585521313E-2</v>
      </c>
      <c r="AN11" s="27">
        <f t="shared" si="29"/>
        <v>4.5072463768115932E-2</v>
      </c>
      <c r="AO11" s="26">
        <f t="shared" si="30"/>
        <v>6.2199999999999989</v>
      </c>
      <c r="AP11" s="27">
        <f t="shared" si="31"/>
        <v>-0.30653266331658291</v>
      </c>
      <c r="AQ11" s="27">
        <f t="shared" si="32"/>
        <v>-0.86656619622351883</v>
      </c>
      <c r="AR11" s="26">
        <f t="shared" si="33"/>
        <v>-61</v>
      </c>
      <c r="AS11" s="30"/>
      <c r="AT11" s="27" t="str">
        <f t="shared" si="34"/>
        <v/>
      </c>
      <c r="AU11" s="27" t="str">
        <f t="shared" si="35"/>
        <v/>
      </c>
      <c r="AV11" s="26" t="str">
        <f t="shared" si="36"/>
        <v/>
      </c>
      <c r="AW11" s="27" t="str">
        <f t="shared" si="37"/>
        <v/>
      </c>
      <c r="AX11" s="27" t="str">
        <f t="shared" si="38"/>
        <v/>
      </c>
      <c r="AY11" s="26" t="str">
        <f t="shared" si="39"/>
        <v/>
      </c>
      <c r="AZ11" s="31"/>
      <c r="BA11" s="26" t="str">
        <f t="shared" si="40"/>
        <v/>
      </c>
      <c r="BB11" s="27" t="str">
        <f t="shared" si="41"/>
        <v/>
      </c>
      <c r="BC11" s="27" t="str">
        <f t="shared" si="42"/>
        <v/>
      </c>
      <c r="BD11" s="26" t="str">
        <f t="shared" si="43"/>
        <v/>
      </c>
      <c r="BE11" s="27" t="str">
        <f t="shared" si="44"/>
        <v/>
      </c>
      <c r="BF11" s="27" t="str">
        <f t="shared" si="45"/>
        <v/>
      </c>
      <c r="BG11" s="26" t="str">
        <f t="shared" si="46"/>
        <v/>
      </c>
      <c r="BH11" s="26" t="str">
        <f t="shared" si="47"/>
        <v/>
      </c>
      <c r="BI11" s="26" t="str">
        <f t="shared" si="48"/>
        <v/>
      </c>
      <c r="BJ11" s="26" t="str">
        <f t="shared" si="49"/>
        <v/>
      </c>
      <c r="BK11" s="26" t="str">
        <f t="shared" si="50"/>
        <v/>
      </c>
      <c r="BL11" s="26" t="str">
        <f t="shared" si="51"/>
        <v/>
      </c>
      <c r="BM11" s="26" t="str">
        <f t="shared" si="52"/>
        <v/>
      </c>
      <c r="BN11" s="26" t="str">
        <f t="shared" si="53"/>
        <v/>
      </c>
      <c r="BO11" s="26" t="str">
        <f t="shared" si="54"/>
        <v/>
      </c>
      <c r="BP11" s="26" t="str">
        <f t="shared" si="55"/>
        <v/>
      </c>
      <c r="BQ11" s="26" t="str">
        <f t="shared" si="56"/>
        <v/>
      </c>
      <c r="BR11" s="32" t="str">
        <f t="shared" si="57"/>
        <v/>
      </c>
      <c r="BS11" s="27" t="str">
        <f t="shared" si="58"/>
        <v/>
      </c>
      <c r="BT11" s="32" t="str">
        <f t="shared" si="59"/>
        <v/>
      </c>
      <c r="BU11" s="27" t="str">
        <f t="shared" si="60"/>
        <v/>
      </c>
    </row>
    <row r="12" spans="1:73" x14ac:dyDescent="0.3">
      <c r="A12" s="22" t="str">
        <f>'📊 Исходные данные'!A11</f>
        <v>Средство Грасс Azelit Антижир для кухни спрей 600мл</v>
      </c>
      <c r="B12" s="23" t="str">
        <f>'📊 Исходные данные'!B11</f>
        <v>4607072197537</v>
      </c>
      <c r="C12" s="24">
        <f>'📊 Исходные данные'!C11</f>
        <v>116.07</v>
      </c>
      <c r="D12" s="24">
        <f>'📊 Исходные данные'!D11</f>
        <v>159</v>
      </c>
      <c r="E12" s="25" t="str">
        <f t="shared" si="0"/>
        <v>🔴 Выше рынка</v>
      </c>
      <c r="F12" s="26">
        <f>IFERROR(AVERAGE('📊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>146.33333333333334</v>
      </c>
      <c r="G12" s="26">
        <f>IFERROR(MEDIAN('📊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>157</v>
      </c>
      <c r="H12" s="26">
        <f>IFERROR(MIN('📊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>125</v>
      </c>
      <c r="I12" s="26">
        <f>IFERROR(MAX('📊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>157</v>
      </c>
      <c r="J12" s="27">
        <f t="shared" si="1"/>
        <v>8.656036446469241E-2</v>
      </c>
      <c r="K12" s="27">
        <f t="shared" si="2"/>
        <v>1.2738853503184714E-2</v>
      </c>
      <c r="L12" s="27">
        <f t="shared" si="3"/>
        <v>0.27200000000000002</v>
      </c>
      <c r="M12" s="28" t="str">
        <f>IFERROR(RANK(D12,('📊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данные'!K11)),"")</f>
        <v/>
      </c>
      <c r="N12" s="25" t="str">
        <f t="shared" si="4"/>
        <v>—</v>
      </c>
      <c r="O12" s="27">
        <f t="shared" si="5"/>
        <v>0.36986301369863023</v>
      </c>
      <c r="P12" s="27">
        <f t="shared" si="6"/>
        <v>0.27</v>
      </c>
      <c r="Q12" s="26">
        <f t="shared" si="7"/>
        <v>42.930000000000007</v>
      </c>
      <c r="R12" s="25" t="str">
        <f t="shared" si="8"/>
        <v>🟢 Хорошая(&gt;20%)</v>
      </c>
      <c r="S12" s="25" t="str">
        <f t="shared" si="9"/>
        <v>🟡 УМЕРЕННЫЙ</v>
      </c>
      <c r="T12" s="29"/>
      <c r="U12" s="26" t="str">
        <f t="shared" si="10"/>
        <v/>
      </c>
      <c r="V12" s="26" t="str">
        <f t="shared" si="11"/>
        <v/>
      </c>
      <c r="W12" s="27" t="e">
        <f t="shared" si="12"/>
        <v>#VALUE!</v>
      </c>
      <c r="X12" s="26">
        <f t="shared" si="13"/>
        <v>146.33333333333334</v>
      </c>
      <c r="Y12" s="27">
        <f t="shared" si="14"/>
        <v>0.26073346543752352</v>
      </c>
      <c r="Z12" s="27">
        <f t="shared" si="15"/>
        <v>0.20681093394077457</v>
      </c>
      <c r="AA12" s="26">
        <f t="shared" si="16"/>
        <v>30.26333333333335</v>
      </c>
      <c r="AB12" s="27">
        <f t="shared" si="17"/>
        <v>-7.9664570230607912E-2</v>
      </c>
      <c r="AC12" s="27">
        <f t="shared" si="18"/>
        <v>-0.23403357799713126</v>
      </c>
      <c r="AD12" s="26">
        <f t="shared" si="19"/>
        <v>-12.666666666666657</v>
      </c>
      <c r="AE12" s="26">
        <f t="shared" si="20"/>
        <v>157</v>
      </c>
      <c r="AF12" s="27">
        <f t="shared" si="21"/>
        <v>0.35263203239424495</v>
      </c>
      <c r="AG12" s="27">
        <f t="shared" si="22"/>
        <v>0.2607006369426752</v>
      </c>
      <c r="AH12" s="26">
        <f t="shared" si="23"/>
        <v>40.930000000000007</v>
      </c>
      <c r="AI12" s="27">
        <f t="shared" si="24"/>
        <v>-1.2578616352201259E-2</v>
      </c>
      <c r="AJ12" s="27">
        <f t="shared" si="25"/>
        <v>-3.4442085397499315E-2</v>
      </c>
      <c r="AK12" s="26">
        <f t="shared" si="26"/>
        <v>-2</v>
      </c>
      <c r="AL12" s="26">
        <f t="shared" si="27"/>
        <v>125</v>
      </c>
      <c r="AM12" s="27">
        <f t="shared" si="28"/>
        <v>7.6936331524080359E-2</v>
      </c>
      <c r="AN12" s="27">
        <f t="shared" si="29"/>
        <v>7.1440000000000059E-2</v>
      </c>
      <c r="AO12" s="26">
        <f t="shared" si="30"/>
        <v>8.9300000000000068</v>
      </c>
      <c r="AP12" s="27">
        <f t="shared" si="31"/>
        <v>-0.21383647798742139</v>
      </c>
      <c r="AQ12" s="27">
        <f t="shared" si="32"/>
        <v>-0.73540740740740718</v>
      </c>
      <c r="AR12" s="26">
        <f t="shared" si="33"/>
        <v>-34</v>
      </c>
      <c r="AS12" s="30"/>
      <c r="AT12" s="27" t="str">
        <f t="shared" si="34"/>
        <v/>
      </c>
      <c r="AU12" s="27" t="str">
        <f t="shared" si="35"/>
        <v/>
      </c>
      <c r="AV12" s="26" t="str">
        <f t="shared" si="36"/>
        <v/>
      </c>
      <c r="AW12" s="27" t="str">
        <f t="shared" si="37"/>
        <v/>
      </c>
      <c r="AX12" s="27" t="str">
        <f t="shared" si="38"/>
        <v/>
      </c>
      <c r="AY12" s="26" t="str">
        <f t="shared" si="39"/>
        <v/>
      </c>
      <c r="AZ12" s="31"/>
      <c r="BA12" s="26" t="str">
        <f t="shared" si="40"/>
        <v/>
      </c>
      <c r="BB12" s="27" t="str">
        <f t="shared" si="41"/>
        <v/>
      </c>
      <c r="BC12" s="27" t="str">
        <f t="shared" si="42"/>
        <v/>
      </c>
      <c r="BD12" s="26" t="str">
        <f t="shared" si="43"/>
        <v/>
      </c>
      <c r="BE12" s="27" t="str">
        <f t="shared" si="44"/>
        <v/>
      </c>
      <c r="BF12" s="27" t="str">
        <f t="shared" si="45"/>
        <v/>
      </c>
      <c r="BG12" s="26" t="str">
        <f t="shared" si="46"/>
        <v/>
      </c>
      <c r="BH12" s="26" t="str">
        <f t="shared" si="47"/>
        <v/>
      </c>
      <c r="BI12" s="26" t="str">
        <f t="shared" si="48"/>
        <v/>
      </c>
      <c r="BJ12" s="26" t="str">
        <f t="shared" si="49"/>
        <v/>
      </c>
      <c r="BK12" s="26" t="str">
        <f t="shared" si="50"/>
        <v/>
      </c>
      <c r="BL12" s="26" t="str">
        <f t="shared" si="51"/>
        <v/>
      </c>
      <c r="BM12" s="26" t="str">
        <f t="shared" si="52"/>
        <v/>
      </c>
      <c r="BN12" s="26" t="str">
        <f t="shared" si="53"/>
        <v/>
      </c>
      <c r="BO12" s="26" t="str">
        <f t="shared" si="54"/>
        <v/>
      </c>
      <c r="BP12" s="26" t="str">
        <f t="shared" si="55"/>
        <v/>
      </c>
      <c r="BQ12" s="26" t="str">
        <f t="shared" si="56"/>
        <v/>
      </c>
      <c r="BR12" s="32" t="str">
        <f t="shared" si="57"/>
        <v/>
      </c>
      <c r="BS12" s="27" t="str">
        <f t="shared" si="58"/>
        <v/>
      </c>
      <c r="BT12" s="32" t="str">
        <f t="shared" si="59"/>
        <v/>
      </c>
      <c r="BU12" s="27" t="str">
        <f t="shared" si="60"/>
        <v/>
      </c>
    </row>
    <row r="13" spans="1:73" x14ac:dyDescent="0.3">
      <c r="A13" s="22" t="str">
        <f>'📊 Исходные данные'!A12</f>
        <v>Средство Доместос 1,5л Ультра блеск</v>
      </c>
      <c r="B13" s="23" t="str">
        <f>'📊 Исходные данные'!B12</f>
        <v>8714100797525</v>
      </c>
      <c r="C13" s="24">
        <f>'📊 Исходные данные'!C12</f>
        <v>160.16</v>
      </c>
      <c r="D13" s="24">
        <f>'📊 Исходные данные'!D12</f>
        <v>249</v>
      </c>
      <c r="E13" s="25" t="str">
        <f t="shared" si="0"/>
        <v>—</v>
      </c>
      <c r="F13" s="26" t="str">
        <f>IFERROR(AVERAGE('📊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G13" s="26" t="str">
        <f>IFERROR(MEDIAN('📊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H13" s="26">
        <f>IFERROR(MIN('📊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>0</v>
      </c>
      <c r="I13" s="26">
        <f>IFERROR(MAX('📊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>0</v>
      </c>
      <c r="J13" s="27" t="str">
        <f t="shared" si="1"/>
        <v/>
      </c>
      <c r="K13" s="27" t="str">
        <f t="shared" si="2"/>
        <v/>
      </c>
      <c r="L13" s="27" t="e">
        <f t="shared" si="3"/>
        <v>#DIV/0!</v>
      </c>
      <c r="M13" s="28" t="str">
        <f>IFERROR(RANK(D13,('📊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данные'!K12)),"")</f>
        <v/>
      </c>
      <c r="N13" s="25" t="str">
        <f t="shared" si="4"/>
        <v>—</v>
      </c>
      <c r="O13" s="27">
        <f t="shared" si="5"/>
        <v>0.5546953046953047</v>
      </c>
      <c r="P13" s="27">
        <f t="shared" si="6"/>
        <v>0.35678714859437755</v>
      </c>
      <c r="Q13" s="26">
        <f t="shared" si="7"/>
        <v>88.84</v>
      </c>
      <c r="R13" s="25" t="str">
        <f t="shared" si="8"/>
        <v>🟢 Хорошая(&gt;20%)</v>
      </c>
      <c r="S13" s="25" t="e">
        <f t="shared" si="9"/>
        <v>#DIV/0!</v>
      </c>
      <c r="T13" s="29"/>
      <c r="U13" s="26" t="str">
        <f t="shared" si="10"/>
        <v/>
      </c>
      <c r="V13" s="26" t="str">
        <f t="shared" si="11"/>
        <v/>
      </c>
      <c r="W13" s="27" t="e">
        <f t="shared" si="12"/>
        <v>#VALUE!</v>
      </c>
      <c r="X13" s="26" t="str">
        <f t="shared" si="13"/>
        <v/>
      </c>
      <c r="Y13" s="27" t="str">
        <f t="shared" si="14"/>
        <v/>
      </c>
      <c r="Z13" s="27" t="str">
        <f t="shared" si="15"/>
        <v/>
      </c>
      <c r="AA13" s="26" t="str">
        <f t="shared" si="16"/>
        <v/>
      </c>
      <c r="AB13" s="27" t="str">
        <f t="shared" si="17"/>
        <v/>
      </c>
      <c r="AC13" s="27" t="str">
        <f t="shared" si="18"/>
        <v/>
      </c>
      <c r="AD13" s="26" t="str">
        <f t="shared" si="19"/>
        <v/>
      </c>
      <c r="AE13" s="26" t="str">
        <f t="shared" si="20"/>
        <v/>
      </c>
      <c r="AF13" s="27" t="str">
        <f t="shared" si="21"/>
        <v/>
      </c>
      <c r="AG13" s="27" t="str">
        <f t="shared" si="22"/>
        <v/>
      </c>
      <c r="AH13" s="26" t="str">
        <f t="shared" si="23"/>
        <v/>
      </c>
      <c r="AI13" s="27" t="str">
        <f t="shared" si="24"/>
        <v/>
      </c>
      <c r="AJ13" s="27" t="str">
        <f t="shared" si="25"/>
        <v/>
      </c>
      <c r="AK13" s="26" t="str">
        <f t="shared" si="26"/>
        <v/>
      </c>
      <c r="AL13" s="26">
        <f t="shared" si="27"/>
        <v>0</v>
      </c>
      <c r="AM13" s="27">
        <f t="shared" si="28"/>
        <v>-1</v>
      </c>
      <c r="AN13" s="27" t="str">
        <f t="shared" si="29"/>
        <v/>
      </c>
      <c r="AO13" s="26">
        <f t="shared" si="30"/>
        <v>-160.16</v>
      </c>
      <c r="AP13" s="27">
        <f t="shared" si="31"/>
        <v>-1</v>
      </c>
      <c r="AQ13" s="27" t="str">
        <f t="shared" si="32"/>
        <v/>
      </c>
      <c r="AR13" s="26">
        <f t="shared" si="33"/>
        <v>-249</v>
      </c>
      <c r="AS13" s="30"/>
      <c r="AT13" s="27" t="str">
        <f t="shared" si="34"/>
        <v/>
      </c>
      <c r="AU13" s="27" t="str">
        <f t="shared" si="35"/>
        <v/>
      </c>
      <c r="AV13" s="26" t="str">
        <f t="shared" si="36"/>
        <v/>
      </c>
      <c r="AW13" s="27" t="str">
        <f t="shared" si="37"/>
        <v/>
      </c>
      <c r="AX13" s="27" t="str">
        <f t="shared" si="38"/>
        <v/>
      </c>
      <c r="AY13" s="26" t="str">
        <f t="shared" si="39"/>
        <v/>
      </c>
      <c r="AZ13" s="31"/>
      <c r="BA13" s="26" t="str">
        <f t="shared" si="40"/>
        <v/>
      </c>
      <c r="BB13" s="27" t="str">
        <f t="shared" si="41"/>
        <v/>
      </c>
      <c r="BC13" s="27" t="str">
        <f t="shared" si="42"/>
        <v/>
      </c>
      <c r="BD13" s="26" t="str">
        <f t="shared" si="43"/>
        <v/>
      </c>
      <c r="BE13" s="27" t="str">
        <f t="shared" si="44"/>
        <v/>
      </c>
      <c r="BF13" s="27" t="str">
        <f t="shared" si="45"/>
        <v/>
      </c>
      <c r="BG13" s="26" t="str">
        <f t="shared" si="46"/>
        <v/>
      </c>
      <c r="BH13" s="26" t="str">
        <f t="shared" si="47"/>
        <v/>
      </c>
      <c r="BI13" s="26" t="str">
        <f t="shared" si="48"/>
        <v/>
      </c>
      <c r="BJ13" s="26" t="str">
        <f t="shared" si="49"/>
        <v/>
      </c>
      <c r="BK13" s="26" t="str">
        <f t="shared" si="50"/>
        <v/>
      </c>
      <c r="BL13" s="26" t="str">
        <f t="shared" si="51"/>
        <v/>
      </c>
      <c r="BM13" s="26" t="str">
        <f t="shared" si="52"/>
        <v/>
      </c>
      <c r="BN13" s="26" t="str">
        <f t="shared" si="53"/>
        <v/>
      </c>
      <c r="BO13" s="26" t="str">
        <f t="shared" si="54"/>
        <v/>
      </c>
      <c r="BP13" s="26" t="str">
        <f t="shared" si="55"/>
        <v/>
      </c>
      <c r="BQ13" s="26" t="str">
        <f t="shared" si="56"/>
        <v/>
      </c>
      <c r="BR13" s="32" t="str">
        <f t="shared" si="57"/>
        <v/>
      </c>
      <c r="BS13" s="27" t="str">
        <f t="shared" si="58"/>
        <v/>
      </c>
      <c r="BT13" s="32" t="str">
        <f t="shared" si="59"/>
        <v/>
      </c>
      <c r="BU13" s="27" t="str">
        <f t="shared" si="60"/>
        <v/>
      </c>
    </row>
    <row r="14" spans="1:73" x14ac:dyDescent="0.3">
      <c r="A14" s="22" t="str">
        <f>'📊 Исходные данные'!A13</f>
        <v>Средство Доместос 500мл Ультра блеск</v>
      </c>
      <c r="B14" s="23" t="str">
        <f>'📊 Исходные данные'!B13</f>
        <v>8714100707890</v>
      </c>
      <c r="C14" s="24">
        <f>'📊 Исходные данные'!C13</f>
        <v>77.02</v>
      </c>
      <c r="D14" s="24">
        <f>'📊 Исходные данные'!D13</f>
        <v>139</v>
      </c>
      <c r="E14" s="25" t="str">
        <f t="shared" si="0"/>
        <v>🔴 Выше рынка</v>
      </c>
      <c r="F14" s="26">
        <f>IFERROR(AVERAGE('📊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>114.5</v>
      </c>
      <c r="G14" s="26">
        <f>IFERROR(MEDIAN('📊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>114.5</v>
      </c>
      <c r="H14" s="26">
        <f>IFERROR(MIN('📊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>105</v>
      </c>
      <c r="I14" s="26">
        <f>IFERROR(MAX('📊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>124</v>
      </c>
      <c r="J14" s="27">
        <f t="shared" si="1"/>
        <v>0.21397379912663755</v>
      </c>
      <c r="K14" s="27">
        <f t="shared" si="2"/>
        <v>0.21397379912663755</v>
      </c>
      <c r="L14" s="27">
        <f t="shared" si="3"/>
        <v>0.32380952380952382</v>
      </c>
      <c r="M14" s="28" t="str">
        <f>IFERROR(RANK(D14,('📊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данные'!K13)),"")</f>
        <v/>
      </c>
      <c r="N14" s="25" t="str">
        <f t="shared" si="4"/>
        <v>—</v>
      </c>
      <c r="O14" s="27">
        <f t="shared" si="5"/>
        <v>0.80472604518306945</v>
      </c>
      <c r="P14" s="27">
        <f t="shared" si="6"/>
        <v>0.44589928057553957</v>
      </c>
      <c r="Q14" s="26">
        <f t="shared" si="7"/>
        <v>61.980000000000004</v>
      </c>
      <c r="R14" s="25" t="str">
        <f t="shared" si="8"/>
        <v>🟢 Хорошая(&gt;20%)</v>
      </c>
      <c r="S14" s="25" t="str">
        <f t="shared" si="9"/>
        <v>🟢 НИЗКИЙ</v>
      </c>
      <c r="T14" s="29"/>
      <c r="U14" s="26" t="str">
        <f t="shared" si="10"/>
        <v/>
      </c>
      <c r="V14" s="26" t="str">
        <f t="shared" si="11"/>
        <v/>
      </c>
      <c r="W14" s="27" t="e">
        <f t="shared" si="12"/>
        <v>#VALUE!</v>
      </c>
      <c r="X14" s="26">
        <f t="shared" si="13"/>
        <v>114.5</v>
      </c>
      <c r="Y14" s="27">
        <f t="shared" si="14"/>
        <v>0.48662685016878743</v>
      </c>
      <c r="Z14" s="27">
        <f t="shared" si="15"/>
        <v>0.32733624454148474</v>
      </c>
      <c r="AA14" s="26">
        <f t="shared" si="16"/>
        <v>37.480000000000004</v>
      </c>
      <c r="AB14" s="27">
        <f t="shared" si="17"/>
        <v>-0.17625899280575538</v>
      </c>
      <c r="AC14" s="27">
        <f t="shared" si="18"/>
        <v>-0.26589645060880318</v>
      </c>
      <c r="AD14" s="26">
        <f t="shared" si="19"/>
        <v>-24.5</v>
      </c>
      <c r="AE14" s="26">
        <f t="shared" si="20"/>
        <v>114.5</v>
      </c>
      <c r="AF14" s="27">
        <f t="shared" si="21"/>
        <v>0.48662685016878743</v>
      </c>
      <c r="AG14" s="27">
        <f t="shared" si="22"/>
        <v>0.32733624454148474</v>
      </c>
      <c r="AH14" s="26">
        <f t="shared" si="23"/>
        <v>37.480000000000004</v>
      </c>
      <c r="AI14" s="27">
        <f t="shared" si="24"/>
        <v>-0.17625899280575538</v>
      </c>
      <c r="AJ14" s="27">
        <f t="shared" si="25"/>
        <v>-0.26589645060880318</v>
      </c>
      <c r="AK14" s="26">
        <f t="shared" si="26"/>
        <v>-24.5</v>
      </c>
      <c r="AL14" s="26">
        <f t="shared" si="27"/>
        <v>105</v>
      </c>
      <c r="AM14" s="27">
        <f t="shared" si="28"/>
        <v>0.36328226434692296</v>
      </c>
      <c r="AN14" s="27">
        <f t="shared" si="29"/>
        <v>0.26647619047619053</v>
      </c>
      <c r="AO14" s="26">
        <f t="shared" si="30"/>
        <v>27.980000000000004</v>
      </c>
      <c r="AP14" s="27">
        <f t="shared" si="31"/>
        <v>-0.2446043165467626</v>
      </c>
      <c r="AQ14" s="27">
        <f t="shared" si="32"/>
        <v>-0.40238479386591669</v>
      </c>
      <c r="AR14" s="26">
        <f t="shared" si="33"/>
        <v>-34</v>
      </c>
      <c r="AS14" s="30"/>
      <c r="AT14" s="27" t="str">
        <f t="shared" si="34"/>
        <v/>
      </c>
      <c r="AU14" s="27" t="str">
        <f t="shared" si="35"/>
        <v/>
      </c>
      <c r="AV14" s="26" t="str">
        <f t="shared" si="36"/>
        <v/>
      </c>
      <c r="AW14" s="27" t="str">
        <f t="shared" si="37"/>
        <v/>
      </c>
      <c r="AX14" s="27" t="str">
        <f t="shared" si="38"/>
        <v/>
      </c>
      <c r="AY14" s="26" t="str">
        <f t="shared" si="39"/>
        <v/>
      </c>
      <c r="AZ14" s="31"/>
      <c r="BA14" s="26" t="str">
        <f t="shared" si="40"/>
        <v/>
      </c>
      <c r="BB14" s="27" t="str">
        <f t="shared" si="41"/>
        <v/>
      </c>
      <c r="BC14" s="27" t="str">
        <f t="shared" si="42"/>
        <v/>
      </c>
      <c r="BD14" s="26" t="str">
        <f t="shared" si="43"/>
        <v/>
      </c>
      <c r="BE14" s="27" t="str">
        <f t="shared" si="44"/>
        <v/>
      </c>
      <c r="BF14" s="27" t="str">
        <f t="shared" si="45"/>
        <v/>
      </c>
      <c r="BG14" s="26" t="str">
        <f t="shared" si="46"/>
        <v/>
      </c>
      <c r="BH14" s="26" t="str">
        <f t="shared" si="47"/>
        <v/>
      </c>
      <c r="BI14" s="26" t="str">
        <f t="shared" si="48"/>
        <v/>
      </c>
      <c r="BJ14" s="26" t="str">
        <f t="shared" si="49"/>
        <v/>
      </c>
      <c r="BK14" s="26" t="str">
        <f t="shared" si="50"/>
        <v/>
      </c>
      <c r="BL14" s="26" t="str">
        <f t="shared" si="51"/>
        <v/>
      </c>
      <c r="BM14" s="26" t="str">
        <f t="shared" si="52"/>
        <v/>
      </c>
      <c r="BN14" s="26" t="str">
        <f t="shared" si="53"/>
        <v/>
      </c>
      <c r="BO14" s="26" t="str">
        <f t="shared" si="54"/>
        <v/>
      </c>
      <c r="BP14" s="26" t="str">
        <f t="shared" si="55"/>
        <v/>
      </c>
      <c r="BQ14" s="26" t="str">
        <f t="shared" si="56"/>
        <v/>
      </c>
      <c r="BR14" s="32" t="str">
        <f t="shared" si="57"/>
        <v/>
      </c>
      <c r="BS14" s="27" t="str">
        <f t="shared" si="58"/>
        <v/>
      </c>
      <c r="BT14" s="32" t="str">
        <f t="shared" si="59"/>
        <v/>
      </c>
      <c r="BU14" s="27" t="str">
        <f t="shared" si="60"/>
        <v/>
      </c>
    </row>
    <row r="15" spans="1:73" x14ac:dyDescent="0.3">
      <c r="A15" s="22" t="str">
        <f>'📊 Исходные данные'!A14</f>
        <v>Кассеты для бритья Жиллетт Фьюжн 4шт</v>
      </c>
      <c r="B15" s="23" t="str">
        <f>'📊 Исходные данные'!B14</f>
        <v>7702018874460</v>
      </c>
      <c r="C15" s="24">
        <f>'📊 Исходные данные'!C14</f>
        <v>0</v>
      </c>
      <c r="D15" s="24">
        <f>'📊 Исходные данные'!D14</f>
        <v>0</v>
      </c>
      <c r="E15" s="25" t="str">
        <f t="shared" si="0"/>
        <v>—</v>
      </c>
      <c r="F15" s="26" t="str">
        <f>IFERROR(AVERAGE('📊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G15" s="26" t="str">
        <f>IFERROR(MEDIAN('📊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H15" s="26">
        <f>IFERROR(MIN('📊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>0</v>
      </c>
      <c r="I15" s="26">
        <f>IFERROR(MAX('📊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>0</v>
      </c>
      <c r="J15" s="27" t="str">
        <f t="shared" si="1"/>
        <v/>
      </c>
      <c r="K15" s="27" t="str">
        <f t="shared" si="2"/>
        <v/>
      </c>
      <c r="L15" s="27" t="e">
        <f t="shared" si="3"/>
        <v>#DIV/0!</v>
      </c>
      <c r="M15" s="28" t="str">
        <f>IFERROR(RANK(D15,('📊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данные'!K14)),"")</f>
        <v/>
      </c>
      <c r="N15" s="25" t="str">
        <f t="shared" si="4"/>
        <v>—</v>
      </c>
      <c r="O15" s="27" t="str">
        <f t="shared" si="5"/>
        <v/>
      </c>
      <c r="P15" s="27" t="str">
        <f t="shared" si="6"/>
        <v/>
      </c>
      <c r="Q15" s="26" t="str">
        <f t="shared" si="7"/>
        <v/>
      </c>
      <c r="R15" s="25" t="str">
        <f t="shared" si="8"/>
        <v>—</v>
      </c>
      <c r="S15" s="25" t="e">
        <f t="shared" si="9"/>
        <v>#DIV/0!</v>
      </c>
      <c r="T15" s="29"/>
      <c r="U15" s="26" t="str">
        <f t="shared" si="10"/>
        <v/>
      </c>
      <c r="V15" s="26" t="str">
        <f t="shared" si="11"/>
        <v/>
      </c>
      <c r="W15" s="27" t="e">
        <f t="shared" si="12"/>
        <v>#VALUE!</v>
      </c>
      <c r="X15" s="26" t="str">
        <f t="shared" si="13"/>
        <v/>
      </c>
      <c r="Y15" s="27" t="str">
        <f t="shared" si="14"/>
        <v/>
      </c>
      <c r="Z15" s="27" t="str">
        <f t="shared" si="15"/>
        <v/>
      </c>
      <c r="AA15" s="26" t="str">
        <f t="shared" si="16"/>
        <v/>
      </c>
      <c r="AB15" s="27" t="str">
        <f t="shared" si="17"/>
        <v/>
      </c>
      <c r="AC15" s="27" t="str">
        <f t="shared" si="18"/>
        <v/>
      </c>
      <c r="AD15" s="26" t="str">
        <f t="shared" si="19"/>
        <v/>
      </c>
      <c r="AE15" s="26" t="str">
        <f t="shared" si="20"/>
        <v/>
      </c>
      <c r="AF15" s="27" t="str">
        <f t="shared" si="21"/>
        <v/>
      </c>
      <c r="AG15" s="27" t="str">
        <f t="shared" si="22"/>
        <v/>
      </c>
      <c r="AH15" s="26" t="str">
        <f t="shared" si="23"/>
        <v/>
      </c>
      <c r="AI15" s="27" t="str">
        <f t="shared" si="24"/>
        <v/>
      </c>
      <c r="AJ15" s="27" t="str">
        <f t="shared" si="25"/>
        <v/>
      </c>
      <c r="AK15" s="26" t="str">
        <f t="shared" si="26"/>
        <v/>
      </c>
      <c r="AL15" s="26">
        <f t="shared" si="27"/>
        <v>0</v>
      </c>
      <c r="AM15" s="27" t="str">
        <f t="shared" si="28"/>
        <v/>
      </c>
      <c r="AN15" s="27" t="str">
        <f t="shared" si="29"/>
        <v/>
      </c>
      <c r="AO15" s="26" t="str">
        <f t="shared" si="30"/>
        <v/>
      </c>
      <c r="AP15" s="27" t="str">
        <f t="shared" si="31"/>
        <v/>
      </c>
      <c r="AQ15" s="27" t="str">
        <f t="shared" si="32"/>
        <v/>
      </c>
      <c r="AR15" s="26" t="str">
        <f t="shared" si="33"/>
        <v/>
      </c>
      <c r="AS15" s="30"/>
      <c r="AT15" s="27" t="str">
        <f t="shared" si="34"/>
        <v/>
      </c>
      <c r="AU15" s="27" t="str">
        <f t="shared" si="35"/>
        <v/>
      </c>
      <c r="AV15" s="26" t="str">
        <f t="shared" si="36"/>
        <v/>
      </c>
      <c r="AW15" s="27" t="str">
        <f t="shared" si="37"/>
        <v/>
      </c>
      <c r="AX15" s="27" t="str">
        <f t="shared" si="38"/>
        <v/>
      </c>
      <c r="AY15" s="26" t="str">
        <f t="shared" si="39"/>
        <v/>
      </c>
      <c r="AZ15" s="31"/>
      <c r="BA15" s="26" t="str">
        <f t="shared" si="40"/>
        <v/>
      </c>
      <c r="BB15" s="27" t="str">
        <f t="shared" si="41"/>
        <v/>
      </c>
      <c r="BC15" s="27" t="str">
        <f t="shared" si="42"/>
        <v/>
      </c>
      <c r="BD15" s="26" t="str">
        <f t="shared" si="43"/>
        <v/>
      </c>
      <c r="BE15" s="27" t="str">
        <f t="shared" si="44"/>
        <v/>
      </c>
      <c r="BF15" s="27" t="str">
        <f t="shared" si="45"/>
        <v/>
      </c>
      <c r="BG15" s="26" t="str">
        <f t="shared" si="46"/>
        <v/>
      </c>
      <c r="BH15" s="26" t="str">
        <f t="shared" si="47"/>
        <v/>
      </c>
      <c r="BI15" s="26" t="str">
        <f t="shared" si="48"/>
        <v/>
      </c>
      <c r="BJ15" s="26" t="str">
        <f t="shared" si="49"/>
        <v/>
      </c>
      <c r="BK15" s="26" t="str">
        <f t="shared" si="50"/>
        <v/>
      </c>
      <c r="BL15" s="26" t="str">
        <f t="shared" si="51"/>
        <v/>
      </c>
      <c r="BM15" s="26" t="str">
        <f t="shared" si="52"/>
        <v/>
      </c>
      <c r="BN15" s="26" t="str">
        <f t="shared" si="53"/>
        <v/>
      </c>
      <c r="BO15" s="26" t="str">
        <f t="shared" si="54"/>
        <v/>
      </c>
      <c r="BP15" s="26" t="str">
        <f t="shared" si="55"/>
        <v/>
      </c>
      <c r="BQ15" s="26" t="str">
        <f t="shared" si="56"/>
        <v/>
      </c>
      <c r="BR15" s="32" t="str">
        <f t="shared" si="57"/>
        <v/>
      </c>
      <c r="BS15" s="27" t="str">
        <f t="shared" si="58"/>
        <v/>
      </c>
      <c r="BT15" s="32" t="str">
        <f t="shared" si="59"/>
        <v/>
      </c>
      <c r="BU15" s="27" t="str">
        <f t="shared" si="60"/>
        <v/>
      </c>
    </row>
    <row r="16" spans="1:73" x14ac:dyDescent="0.3">
      <c r="A16" s="22" t="str">
        <f>'📊 Исходные данные'!A15</f>
        <v>Зубная паста Сплат Профессионал 100г Отбеливание</v>
      </c>
      <c r="B16" s="23" t="str">
        <f>'📊 Исходные данные'!B15</f>
        <v>4603014023704</v>
      </c>
      <c r="C16" s="24">
        <f>'📊 Исходные данные'!C15</f>
        <v>0</v>
      </c>
      <c r="D16" s="24">
        <f>'📊 Исходные данные'!D15</f>
        <v>0</v>
      </c>
      <c r="E16" s="25" t="str">
        <f t="shared" si="0"/>
        <v>—</v>
      </c>
      <c r="F16" s="26" t="str">
        <f>IFERROR(AVERAGE('📊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G16" s="26" t="str">
        <f>IFERROR(MEDIAN('📊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H16" s="26">
        <f>IFERROR(MIN('📊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>0</v>
      </c>
      <c r="I16" s="26">
        <f>IFERROR(MAX('📊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>0</v>
      </c>
      <c r="J16" s="27" t="str">
        <f t="shared" si="1"/>
        <v/>
      </c>
      <c r="K16" s="27" t="str">
        <f t="shared" si="2"/>
        <v/>
      </c>
      <c r="L16" s="27" t="e">
        <f t="shared" si="3"/>
        <v>#DIV/0!</v>
      </c>
      <c r="M16" s="28" t="str">
        <f>IFERROR(RANK(D16,('📊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данные'!K15)),"")</f>
        <v/>
      </c>
      <c r="N16" s="25" t="str">
        <f t="shared" si="4"/>
        <v>—</v>
      </c>
      <c r="O16" s="27" t="str">
        <f t="shared" si="5"/>
        <v/>
      </c>
      <c r="P16" s="27" t="str">
        <f t="shared" si="6"/>
        <v/>
      </c>
      <c r="Q16" s="26" t="str">
        <f t="shared" si="7"/>
        <v/>
      </c>
      <c r="R16" s="25" t="str">
        <f t="shared" si="8"/>
        <v>—</v>
      </c>
      <c r="S16" s="25" t="e">
        <f t="shared" si="9"/>
        <v>#DIV/0!</v>
      </c>
      <c r="T16" s="29"/>
      <c r="U16" s="26" t="str">
        <f t="shared" si="10"/>
        <v/>
      </c>
      <c r="V16" s="26" t="str">
        <f t="shared" si="11"/>
        <v/>
      </c>
      <c r="W16" s="27" t="e">
        <f t="shared" si="12"/>
        <v>#VALUE!</v>
      </c>
      <c r="X16" s="26" t="str">
        <f t="shared" si="13"/>
        <v/>
      </c>
      <c r="Y16" s="27" t="str">
        <f t="shared" si="14"/>
        <v/>
      </c>
      <c r="Z16" s="27" t="str">
        <f t="shared" si="15"/>
        <v/>
      </c>
      <c r="AA16" s="26" t="str">
        <f t="shared" si="16"/>
        <v/>
      </c>
      <c r="AB16" s="27" t="str">
        <f t="shared" si="17"/>
        <v/>
      </c>
      <c r="AC16" s="27" t="str">
        <f t="shared" si="18"/>
        <v/>
      </c>
      <c r="AD16" s="26" t="str">
        <f t="shared" si="19"/>
        <v/>
      </c>
      <c r="AE16" s="26" t="str">
        <f t="shared" si="20"/>
        <v/>
      </c>
      <c r="AF16" s="27" t="str">
        <f t="shared" si="21"/>
        <v/>
      </c>
      <c r="AG16" s="27" t="str">
        <f t="shared" si="22"/>
        <v/>
      </c>
      <c r="AH16" s="26" t="str">
        <f t="shared" si="23"/>
        <v/>
      </c>
      <c r="AI16" s="27" t="str">
        <f t="shared" si="24"/>
        <v/>
      </c>
      <c r="AJ16" s="27" t="str">
        <f t="shared" si="25"/>
        <v/>
      </c>
      <c r="AK16" s="26" t="str">
        <f t="shared" si="26"/>
        <v/>
      </c>
      <c r="AL16" s="26">
        <f t="shared" si="27"/>
        <v>0</v>
      </c>
      <c r="AM16" s="27" t="str">
        <f t="shared" si="28"/>
        <v/>
      </c>
      <c r="AN16" s="27" t="str">
        <f t="shared" si="29"/>
        <v/>
      </c>
      <c r="AO16" s="26" t="str">
        <f t="shared" si="30"/>
        <v/>
      </c>
      <c r="AP16" s="27" t="str">
        <f t="shared" si="31"/>
        <v/>
      </c>
      <c r="AQ16" s="27" t="str">
        <f t="shared" si="32"/>
        <v/>
      </c>
      <c r="AR16" s="26" t="str">
        <f t="shared" si="33"/>
        <v/>
      </c>
      <c r="AS16" s="30"/>
      <c r="AT16" s="27" t="str">
        <f t="shared" si="34"/>
        <v/>
      </c>
      <c r="AU16" s="27" t="str">
        <f t="shared" si="35"/>
        <v/>
      </c>
      <c r="AV16" s="26" t="str">
        <f t="shared" si="36"/>
        <v/>
      </c>
      <c r="AW16" s="27" t="str">
        <f t="shared" si="37"/>
        <v/>
      </c>
      <c r="AX16" s="27" t="str">
        <f t="shared" si="38"/>
        <v/>
      </c>
      <c r="AY16" s="26" t="str">
        <f t="shared" si="39"/>
        <v/>
      </c>
      <c r="AZ16" s="31"/>
      <c r="BA16" s="26" t="str">
        <f t="shared" si="40"/>
        <v/>
      </c>
      <c r="BB16" s="27" t="str">
        <f t="shared" si="41"/>
        <v/>
      </c>
      <c r="BC16" s="27" t="str">
        <f t="shared" si="42"/>
        <v/>
      </c>
      <c r="BD16" s="26" t="str">
        <f t="shared" si="43"/>
        <v/>
      </c>
      <c r="BE16" s="27" t="str">
        <f t="shared" si="44"/>
        <v/>
      </c>
      <c r="BF16" s="27" t="str">
        <f t="shared" si="45"/>
        <v/>
      </c>
      <c r="BG16" s="26" t="str">
        <f t="shared" si="46"/>
        <v/>
      </c>
      <c r="BH16" s="26" t="str">
        <f t="shared" si="47"/>
        <v/>
      </c>
      <c r="BI16" s="26" t="str">
        <f t="shared" si="48"/>
        <v/>
      </c>
      <c r="BJ16" s="26" t="str">
        <f t="shared" si="49"/>
        <v/>
      </c>
      <c r="BK16" s="26" t="str">
        <f t="shared" si="50"/>
        <v/>
      </c>
      <c r="BL16" s="26" t="str">
        <f t="shared" si="51"/>
        <v/>
      </c>
      <c r="BM16" s="26" t="str">
        <f t="shared" si="52"/>
        <v/>
      </c>
      <c r="BN16" s="26" t="str">
        <f t="shared" si="53"/>
        <v/>
      </c>
      <c r="BO16" s="26" t="str">
        <f t="shared" si="54"/>
        <v/>
      </c>
      <c r="BP16" s="26" t="str">
        <f t="shared" si="55"/>
        <v/>
      </c>
      <c r="BQ16" s="26" t="str">
        <f t="shared" si="56"/>
        <v/>
      </c>
      <c r="BR16" s="32" t="str">
        <f t="shared" si="57"/>
        <v/>
      </c>
      <c r="BS16" s="27" t="str">
        <f t="shared" si="58"/>
        <v/>
      </c>
      <c r="BT16" s="32" t="str">
        <f t="shared" si="59"/>
        <v/>
      </c>
      <c r="BU16" s="27" t="str">
        <f t="shared" si="60"/>
        <v/>
      </c>
    </row>
    <row r="17" spans="1:73" x14ac:dyDescent="0.3">
      <c r="A17" s="22" t="str">
        <f>'📊 Исходные данные'!A16</f>
        <v>Мыло жидкое Грасс Milana 1000мл Perfume</v>
      </c>
      <c r="B17" s="23" t="str">
        <f>'📊 Исходные данные'!B16</f>
        <v>4670113604165</v>
      </c>
      <c r="C17" s="24">
        <f>'📊 Исходные данные'!C16</f>
        <v>0</v>
      </c>
      <c r="D17" s="24">
        <f>'📊 Исходные данные'!D16</f>
        <v>0</v>
      </c>
      <c r="E17" s="25" t="str">
        <f t="shared" si="0"/>
        <v>—</v>
      </c>
      <c r="F17" s="26" t="str">
        <f>IFERROR(AVERAGE('📊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G17" s="26" t="str">
        <f>IFERROR(MEDIAN('📊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H17" s="26">
        <f>IFERROR(MIN('📊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>0</v>
      </c>
      <c r="I17" s="26">
        <f>IFERROR(MAX('📊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>0</v>
      </c>
      <c r="J17" s="27" t="str">
        <f t="shared" si="1"/>
        <v/>
      </c>
      <c r="K17" s="27" t="str">
        <f t="shared" si="2"/>
        <v/>
      </c>
      <c r="L17" s="27" t="e">
        <f t="shared" si="3"/>
        <v>#DIV/0!</v>
      </c>
      <c r="M17" s="28" t="str">
        <f>IFERROR(RANK(D17,('📊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данные'!K16)),"")</f>
        <v/>
      </c>
      <c r="N17" s="25" t="str">
        <f t="shared" si="4"/>
        <v>—</v>
      </c>
      <c r="O17" s="27" t="str">
        <f t="shared" si="5"/>
        <v/>
      </c>
      <c r="P17" s="27" t="str">
        <f t="shared" si="6"/>
        <v/>
      </c>
      <c r="Q17" s="26" t="str">
        <f t="shared" si="7"/>
        <v/>
      </c>
      <c r="R17" s="25" t="str">
        <f t="shared" si="8"/>
        <v>—</v>
      </c>
      <c r="S17" s="25" t="e">
        <f t="shared" si="9"/>
        <v>#DIV/0!</v>
      </c>
      <c r="T17" s="29"/>
      <c r="U17" s="26" t="str">
        <f t="shared" si="10"/>
        <v/>
      </c>
      <c r="V17" s="26" t="str">
        <f t="shared" si="11"/>
        <v/>
      </c>
      <c r="W17" s="27" t="e">
        <f t="shared" si="12"/>
        <v>#VALUE!</v>
      </c>
      <c r="X17" s="26" t="str">
        <f t="shared" si="13"/>
        <v/>
      </c>
      <c r="Y17" s="27" t="str">
        <f t="shared" si="14"/>
        <v/>
      </c>
      <c r="Z17" s="27" t="str">
        <f t="shared" si="15"/>
        <v/>
      </c>
      <c r="AA17" s="26" t="str">
        <f t="shared" si="16"/>
        <v/>
      </c>
      <c r="AB17" s="27" t="str">
        <f t="shared" si="17"/>
        <v/>
      </c>
      <c r="AC17" s="27" t="str">
        <f t="shared" si="18"/>
        <v/>
      </c>
      <c r="AD17" s="26" t="str">
        <f t="shared" si="19"/>
        <v/>
      </c>
      <c r="AE17" s="26" t="str">
        <f t="shared" si="20"/>
        <v/>
      </c>
      <c r="AF17" s="27" t="str">
        <f t="shared" si="21"/>
        <v/>
      </c>
      <c r="AG17" s="27" t="str">
        <f t="shared" si="22"/>
        <v/>
      </c>
      <c r="AH17" s="26" t="str">
        <f t="shared" si="23"/>
        <v/>
      </c>
      <c r="AI17" s="27" t="str">
        <f t="shared" si="24"/>
        <v/>
      </c>
      <c r="AJ17" s="27" t="str">
        <f t="shared" si="25"/>
        <v/>
      </c>
      <c r="AK17" s="26" t="str">
        <f t="shared" si="26"/>
        <v/>
      </c>
      <c r="AL17" s="26">
        <f t="shared" si="27"/>
        <v>0</v>
      </c>
      <c r="AM17" s="27" t="str">
        <f t="shared" si="28"/>
        <v/>
      </c>
      <c r="AN17" s="27" t="str">
        <f t="shared" si="29"/>
        <v/>
      </c>
      <c r="AO17" s="26" t="str">
        <f t="shared" si="30"/>
        <v/>
      </c>
      <c r="AP17" s="27" t="str">
        <f t="shared" si="31"/>
        <v/>
      </c>
      <c r="AQ17" s="27" t="str">
        <f t="shared" si="32"/>
        <v/>
      </c>
      <c r="AR17" s="26" t="str">
        <f t="shared" si="33"/>
        <v/>
      </c>
      <c r="AS17" s="30"/>
      <c r="AT17" s="27" t="str">
        <f t="shared" si="34"/>
        <v/>
      </c>
      <c r="AU17" s="27" t="str">
        <f t="shared" si="35"/>
        <v/>
      </c>
      <c r="AV17" s="26" t="str">
        <f t="shared" si="36"/>
        <v/>
      </c>
      <c r="AW17" s="27" t="str">
        <f t="shared" si="37"/>
        <v/>
      </c>
      <c r="AX17" s="27" t="str">
        <f t="shared" si="38"/>
        <v/>
      </c>
      <c r="AY17" s="26" t="str">
        <f t="shared" si="39"/>
        <v/>
      </c>
      <c r="AZ17" s="31"/>
      <c r="BA17" s="26" t="str">
        <f t="shared" si="40"/>
        <v/>
      </c>
      <c r="BB17" s="27" t="str">
        <f t="shared" si="41"/>
        <v/>
      </c>
      <c r="BC17" s="27" t="str">
        <f t="shared" si="42"/>
        <v/>
      </c>
      <c r="BD17" s="26" t="str">
        <f t="shared" si="43"/>
        <v/>
      </c>
      <c r="BE17" s="27" t="str">
        <f t="shared" si="44"/>
        <v/>
      </c>
      <c r="BF17" s="27" t="str">
        <f t="shared" si="45"/>
        <v/>
      </c>
      <c r="BG17" s="26" t="str">
        <f t="shared" si="46"/>
        <v/>
      </c>
      <c r="BH17" s="26" t="str">
        <f t="shared" si="47"/>
        <v/>
      </c>
      <c r="BI17" s="26" t="str">
        <f t="shared" si="48"/>
        <v/>
      </c>
      <c r="BJ17" s="26" t="str">
        <f t="shared" si="49"/>
        <v/>
      </c>
      <c r="BK17" s="26" t="str">
        <f t="shared" si="50"/>
        <v/>
      </c>
      <c r="BL17" s="26" t="str">
        <f t="shared" si="51"/>
        <v/>
      </c>
      <c r="BM17" s="26" t="str">
        <f t="shared" si="52"/>
        <v/>
      </c>
      <c r="BN17" s="26" t="str">
        <f t="shared" si="53"/>
        <v/>
      </c>
      <c r="BO17" s="26" t="str">
        <f t="shared" si="54"/>
        <v/>
      </c>
      <c r="BP17" s="26" t="str">
        <f t="shared" si="55"/>
        <v/>
      </c>
      <c r="BQ17" s="26" t="str">
        <f t="shared" si="56"/>
        <v/>
      </c>
      <c r="BR17" s="32" t="str">
        <f t="shared" si="57"/>
        <v/>
      </c>
      <c r="BS17" s="27" t="str">
        <f t="shared" si="58"/>
        <v/>
      </c>
      <c r="BT17" s="32" t="str">
        <f t="shared" si="59"/>
        <v/>
      </c>
      <c r="BU17" s="27" t="str">
        <f t="shared" si="60"/>
        <v/>
      </c>
    </row>
    <row r="18" spans="1:73" x14ac:dyDescent="0.3">
      <c r="A18" s="22" t="str">
        <f>'📊 Исходные данные'!A17</f>
        <v>Полотенца бумажные Папия Декор 3 слоя 2 рулона</v>
      </c>
      <c r="B18" s="23" t="str">
        <f>'📊 Исходные данные'!B17</f>
        <v>4604857001782</v>
      </c>
      <c r="C18" s="24">
        <f>'📊 Исходные данные'!C17</f>
        <v>99.19</v>
      </c>
      <c r="D18" s="24">
        <f>'📊 Исходные данные'!D17</f>
        <v>129</v>
      </c>
      <c r="E18" s="25" t="str">
        <f t="shared" si="0"/>
        <v>🟡 На уровне</v>
      </c>
      <c r="F18" s="26">
        <f>IFERROR(AVERAGE('📊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>125</v>
      </c>
      <c r="G18" s="26">
        <f>IFERROR(MEDIAN('📊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>130.5</v>
      </c>
      <c r="H18" s="26">
        <f>IFERROR(MIN('📊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>100</v>
      </c>
      <c r="I18" s="26">
        <f>IFERROR(MAX('📊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>139</v>
      </c>
      <c r="J18" s="27">
        <f t="shared" si="1"/>
        <v>3.2000000000000001E-2</v>
      </c>
      <c r="K18" s="27">
        <f t="shared" si="2"/>
        <v>-1.1494252873563218E-2</v>
      </c>
      <c r="L18" s="27">
        <f t="shared" si="3"/>
        <v>0.28999999999999998</v>
      </c>
      <c r="M18" s="28" t="str">
        <f>IFERROR(RANK(D18,('📊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данные'!K17)),"")</f>
        <v/>
      </c>
      <c r="N18" s="25" t="str">
        <f t="shared" si="4"/>
        <v>—</v>
      </c>
      <c r="O18" s="27">
        <f t="shared" si="5"/>
        <v>0.30053432805726388</v>
      </c>
      <c r="P18" s="27">
        <f t="shared" si="6"/>
        <v>0.23108527131782947</v>
      </c>
      <c r="Q18" s="26">
        <f t="shared" si="7"/>
        <v>29.810000000000002</v>
      </c>
      <c r="R18" s="25" t="str">
        <f t="shared" si="8"/>
        <v>🟢 Хорошая(&gt;20%)</v>
      </c>
      <c r="S18" s="25" t="str">
        <f t="shared" si="9"/>
        <v>🔴 КРИТИЧНО</v>
      </c>
      <c r="T18" s="29"/>
      <c r="U18" s="26" t="str">
        <f t="shared" si="10"/>
        <v/>
      </c>
      <c r="V18" s="26" t="str">
        <f t="shared" si="11"/>
        <v/>
      </c>
      <c r="W18" s="27" t="e">
        <f t="shared" si="12"/>
        <v>#VALUE!</v>
      </c>
      <c r="X18" s="26">
        <f t="shared" si="13"/>
        <v>125</v>
      </c>
      <c r="Y18" s="27">
        <f t="shared" si="14"/>
        <v>0.26020768222603086</v>
      </c>
      <c r="Z18" s="27">
        <f t="shared" si="15"/>
        <v>0.20648000000000002</v>
      </c>
      <c r="AA18" s="26">
        <f t="shared" si="16"/>
        <v>25.810000000000002</v>
      </c>
      <c r="AB18" s="27">
        <f t="shared" si="17"/>
        <v>-3.1007751937984496E-2</v>
      </c>
      <c r="AC18" s="27">
        <f t="shared" si="18"/>
        <v>-0.10647702113384763</v>
      </c>
      <c r="AD18" s="26">
        <f t="shared" si="19"/>
        <v>-4</v>
      </c>
      <c r="AE18" s="26">
        <f t="shared" si="20"/>
        <v>130.5</v>
      </c>
      <c r="AF18" s="27">
        <f t="shared" si="21"/>
        <v>0.31565682024397623</v>
      </c>
      <c r="AG18" s="27">
        <f t="shared" si="22"/>
        <v>0.2399233716475096</v>
      </c>
      <c r="AH18" s="26">
        <f t="shared" si="23"/>
        <v>31.310000000000002</v>
      </c>
      <c r="AI18" s="27">
        <f t="shared" si="24"/>
        <v>1.1627906976744186E-2</v>
      </c>
      <c r="AJ18" s="27">
        <f t="shared" si="25"/>
        <v>3.8246056441755688E-2</v>
      </c>
      <c r="AK18" s="26">
        <f t="shared" si="26"/>
        <v>1.5</v>
      </c>
      <c r="AL18" s="26">
        <f t="shared" si="27"/>
        <v>100</v>
      </c>
      <c r="AM18" s="27">
        <f t="shared" si="28"/>
        <v>8.1661457808247032E-3</v>
      </c>
      <c r="AN18" s="27">
        <f t="shared" si="29"/>
        <v>8.1000000000000221E-3</v>
      </c>
      <c r="AO18" s="26">
        <f t="shared" si="30"/>
        <v>0.81000000000000227</v>
      </c>
      <c r="AP18" s="27">
        <f t="shared" si="31"/>
        <v>-0.22480620155038761</v>
      </c>
      <c r="AQ18" s="27">
        <f t="shared" si="32"/>
        <v>-0.96494800402549474</v>
      </c>
      <c r="AR18" s="26">
        <f t="shared" si="33"/>
        <v>-29</v>
      </c>
      <c r="AS18" s="30"/>
      <c r="AT18" s="27" t="str">
        <f t="shared" si="34"/>
        <v/>
      </c>
      <c r="AU18" s="27" t="str">
        <f t="shared" si="35"/>
        <v/>
      </c>
      <c r="AV18" s="26" t="str">
        <f t="shared" si="36"/>
        <v/>
      </c>
      <c r="AW18" s="27" t="str">
        <f t="shared" si="37"/>
        <v/>
      </c>
      <c r="AX18" s="27" t="str">
        <f t="shared" si="38"/>
        <v/>
      </c>
      <c r="AY18" s="26" t="str">
        <f t="shared" si="39"/>
        <v/>
      </c>
      <c r="AZ18" s="31"/>
      <c r="BA18" s="26" t="str">
        <f t="shared" si="40"/>
        <v/>
      </c>
      <c r="BB18" s="27" t="str">
        <f t="shared" si="41"/>
        <v/>
      </c>
      <c r="BC18" s="27" t="str">
        <f t="shared" si="42"/>
        <v/>
      </c>
      <c r="BD18" s="26" t="str">
        <f t="shared" si="43"/>
        <v/>
      </c>
      <c r="BE18" s="27" t="str">
        <f t="shared" si="44"/>
        <v/>
      </c>
      <c r="BF18" s="27" t="str">
        <f t="shared" si="45"/>
        <v/>
      </c>
      <c r="BG18" s="26" t="str">
        <f t="shared" si="46"/>
        <v/>
      </c>
      <c r="BH18" s="26" t="str">
        <f t="shared" si="47"/>
        <v/>
      </c>
      <c r="BI18" s="26" t="str">
        <f t="shared" si="48"/>
        <v/>
      </c>
      <c r="BJ18" s="26" t="str">
        <f t="shared" si="49"/>
        <v/>
      </c>
      <c r="BK18" s="26" t="str">
        <f t="shared" si="50"/>
        <v/>
      </c>
      <c r="BL18" s="26" t="str">
        <f t="shared" si="51"/>
        <v/>
      </c>
      <c r="BM18" s="26" t="str">
        <f t="shared" si="52"/>
        <v/>
      </c>
      <c r="BN18" s="26" t="str">
        <f t="shared" si="53"/>
        <v/>
      </c>
      <c r="BO18" s="26" t="str">
        <f t="shared" si="54"/>
        <v/>
      </c>
      <c r="BP18" s="26" t="str">
        <f t="shared" si="55"/>
        <v/>
      </c>
      <c r="BQ18" s="26" t="str">
        <f t="shared" si="56"/>
        <v/>
      </c>
      <c r="BR18" s="32" t="str">
        <f t="shared" si="57"/>
        <v/>
      </c>
      <c r="BS18" s="27" t="str">
        <f t="shared" si="58"/>
        <v/>
      </c>
      <c r="BT18" s="32" t="str">
        <f t="shared" si="59"/>
        <v/>
      </c>
      <c r="BU18" s="27" t="str">
        <f t="shared" si="60"/>
        <v/>
      </c>
    </row>
    <row r="19" spans="1:73" x14ac:dyDescent="0.3">
      <c r="A19" s="22" t="str">
        <f>'📊 Исходные данные'!A18</f>
        <v>Туалетная бумага Папия 3сл 4рул белая</v>
      </c>
      <c r="B19" s="23" t="str">
        <f>'📊 Исходные данные'!B18</f>
        <v>8690536023936</v>
      </c>
      <c r="C19" s="24">
        <f>'📊 Исходные данные'!C18</f>
        <v>0</v>
      </c>
      <c r="D19" s="24">
        <f>'📊 Исходные данные'!D18</f>
        <v>0</v>
      </c>
      <c r="E19" s="25" t="str">
        <f t="shared" si="0"/>
        <v>—</v>
      </c>
      <c r="F19" s="26" t="str">
        <f>IFERROR(AVERAGE('📊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G19" s="26" t="str">
        <f>IFERROR(MEDIAN('📊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H19" s="26">
        <f>IFERROR(MIN('📊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>0</v>
      </c>
      <c r="I19" s="26">
        <f>IFERROR(MAX('📊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>0</v>
      </c>
      <c r="J19" s="27" t="str">
        <f t="shared" si="1"/>
        <v/>
      </c>
      <c r="K19" s="27" t="str">
        <f t="shared" si="2"/>
        <v/>
      </c>
      <c r="L19" s="27" t="e">
        <f t="shared" si="3"/>
        <v>#DIV/0!</v>
      </c>
      <c r="M19" s="28" t="str">
        <f>IFERROR(RANK(D19,('📊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данные'!K18)),"")</f>
        <v/>
      </c>
      <c r="N19" s="25" t="str">
        <f t="shared" si="4"/>
        <v>—</v>
      </c>
      <c r="O19" s="27" t="str">
        <f t="shared" si="5"/>
        <v/>
      </c>
      <c r="P19" s="27" t="str">
        <f t="shared" si="6"/>
        <v/>
      </c>
      <c r="Q19" s="26" t="str">
        <f t="shared" si="7"/>
        <v/>
      </c>
      <c r="R19" s="25" t="str">
        <f t="shared" si="8"/>
        <v>—</v>
      </c>
      <c r="S19" s="25" t="e">
        <f t="shared" si="9"/>
        <v>#DIV/0!</v>
      </c>
      <c r="T19" s="29"/>
      <c r="U19" s="26" t="str">
        <f t="shared" si="10"/>
        <v/>
      </c>
      <c r="V19" s="26" t="str">
        <f t="shared" si="11"/>
        <v/>
      </c>
      <c r="W19" s="27" t="e">
        <f t="shared" si="12"/>
        <v>#VALUE!</v>
      </c>
      <c r="X19" s="26" t="str">
        <f t="shared" si="13"/>
        <v/>
      </c>
      <c r="Y19" s="27" t="str">
        <f t="shared" si="14"/>
        <v/>
      </c>
      <c r="Z19" s="27" t="str">
        <f t="shared" si="15"/>
        <v/>
      </c>
      <c r="AA19" s="26" t="str">
        <f t="shared" si="16"/>
        <v/>
      </c>
      <c r="AB19" s="27" t="str">
        <f t="shared" si="17"/>
        <v/>
      </c>
      <c r="AC19" s="27" t="str">
        <f t="shared" si="18"/>
        <v/>
      </c>
      <c r="AD19" s="26" t="str">
        <f t="shared" si="19"/>
        <v/>
      </c>
      <c r="AE19" s="26" t="str">
        <f t="shared" si="20"/>
        <v/>
      </c>
      <c r="AF19" s="27" t="str">
        <f t="shared" si="21"/>
        <v/>
      </c>
      <c r="AG19" s="27" t="str">
        <f t="shared" si="22"/>
        <v/>
      </c>
      <c r="AH19" s="26" t="str">
        <f t="shared" si="23"/>
        <v/>
      </c>
      <c r="AI19" s="27" t="str">
        <f t="shared" si="24"/>
        <v/>
      </c>
      <c r="AJ19" s="27" t="str">
        <f t="shared" si="25"/>
        <v/>
      </c>
      <c r="AK19" s="26" t="str">
        <f t="shared" si="26"/>
        <v/>
      </c>
      <c r="AL19" s="26">
        <f t="shared" si="27"/>
        <v>0</v>
      </c>
      <c r="AM19" s="27" t="str">
        <f t="shared" si="28"/>
        <v/>
      </c>
      <c r="AN19" s="27" t="str">
        <f t="shared" si="29"/>
        <v/>
      </c>
      <c r="AO19" s="26" t="str">
        <f t="shared" si="30"/>
        <v/>
      </c>
      <c r="AP19" s="27" t="str">
        <f t="shared" si="31"/>
        <v/>
      </c>
      <c r="AQ19" s="27" t="str">
        <f t="shared" si="32"/>
        <v/>
      </c>
      <c r="AR19" s="26" t="str">
        <f t="shared" si="33"/>
        <v/>
      </c>
      <c r="AS19" s="30"/>
      <c r="AT19" s="27" t="str">
        <f t="shared" si="34"/>
        <v/>
      </c>
      <c r="AU19" s="27" t="str">
        <f t="shared" si="35"/>
        <v/>
      </c>
      <c r="AV19" s="26" t="str">
        <f t="shared" si="36"/>
        <v/>
      </c>
      <c r="AW19" s="27" t="str">
        <f t="shared" si="37"/>
        <v/>
      </c>
      <c r="AX19" s="27" t="str">
        <f t="shared" si="38"/>
        <v/>
      </c>
      <c r="AY19" s="26" t="str">
        <f t="shared" si="39"/>
        <v/>
      </c>
      <c r="AZ19" s="31"/>
      <c r="BA19" s="26" t="str">
        <f t="shared" si="40"/>
        <v/>
      </c>
      <c r="BB19" s="27" t="str">
        <f t="shared" si="41"/>
        <v/>
      </c>
      <c r="BC19" s="27" t="str">
        <f t="shared" si="42"/>
        <v/>
      </c>
      <c r="BD19" s="26" t="str">
        <f t="shared" si="43"/>
        <v/>
      </c>
      <c r="BE19" s="27" t="str">
        <f t="shared" si="44"/>
        <v/>
      </c>
      <c r="BF19" s="27" t="str">
        <f t="shared" si="45"/>
        <v/>
      </c>
      <c r="BG19" s="26" t="str">
        <f t="shared" si="46"/>
        <v/>
      </c>
      <c r="BH19" s="26" t="str">
        <f t="shared" si="47"/>
        <v/>
      </c>
      <c r="BI19" s="26" t="str">
        <f t="shared" si="48"/>
        <v/>
      </c>
      <c r="BJ19" s="26" t="str">
        <f t="shared" si="49"/>
        <v/>
      </c>
      <c r="BK19" s="26" t="str">
        <f t="shared" si="50"/>
        <v/>
      </c>
      <c r="BL19" s="26" t="str">
        <f t="shared" si="51"/>
        <v/>
      </c>
      <c r="BM19" s="26" t="str">
        <f t="shared" si="52"/>
        <v/>
      </c>
      <c r="BN19" s="26" t="str">
        <f t="shared" si="53"/>
        <v/>
      </c>
      <c r="BO19" s="26" t="str">
        <f t="shared" si="54"/>
        <v/>
      </c>
      <c r="BP19" s="26" t="str">
        <f t="shared" si="55"/>
        <v/>
      </c>
      <c r="BQ19" s="26" t="str">
        <f t="shared" si="56"/>
        <v/>
      </c>
      <c r="BR19" s="32" t="str">
        <f t="shared" si="57"/>
        <v/>
      </c>
      <c r="BS19" s="27" t="str">
        <f t="shared" si="58"/>
        <v/>
      </c>
      <c r="BT19" s="32" t="str">
        <f t="shared" si="59"/>
        <v/>
      </c>
      <c r="BU19" s="27" t="str">
        <f t="shared" si="60"/>
        <v/>
      </c>
    </row>
    <row r="20" spans="1:73" x14ac:dyDescent="0.3">
      <c r="A20" s="22" t="str">
        <f>'📊 Исходные данные'!A19</f>
        <v>Полотенца бумажные Zemma 2сл 2рул</v>
      </c>
      <c r="B20" s="23" t="str">
        <f>'📊 Исходные данные'!B19</f>
        <v>4670199857349</v>
      </c>
      <c r="C20" s="24">
        <f>'📊 Исходные данные'!C19</f>
        <v>77</v>
      </c>
      <c r="D20" s="24">
        <f>'📊 Исходные данные'!D19</f>
        <v>99</v>
      </c>
      <c r="E20" s="25" t="str">
        <f t="shared" si="0"/>
        <v>—</v>
      </c>
      <c r="F20" s="26" t="str">
        <f>IFERROR(AVERAGE('📊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G20" s="26" t="str">
        <f>IFERROR(MEDIAN('📊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H20" s="26">
        <f>IFERROR(MIN('📊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>0</v>
      </c>
      <c r="I20" s="26">
        <f>IFERROR(MAX('📊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>0</v>
      </c>
      <c r="J20" s="27" t="str">
        <f t="shared" si="1"/>
        <v/>
      </c>
      <c r="K20" s="27" t="str">
        <f t="shared" si="2"/>
        <v/>
      </c>
      <c r="L20" s="27" t="e">
        <f t="shared" si="3"/>
        <v>#DIV/0!</v>
      </c>
      <c r="M20" s="28" t="str">
        <f>IFERROR(RANK(D20,('📊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данные'!K19)),"")</f>
        <v/>
      </c>
      <c r="N20" s="25" t="str">
        <f t="shared" si="4"/>
        <v>—</v>
      </c>
      <c r="O20" s="27">
        <f t="shared" si="5"/>
        <v>0.2857142857142857</v>
      </c>
      <c r="P20" s="27">
        <f t="shared" si="6"/>
        <v>0.22222222222222221</v>
      </c>
      <c r="Q20" s="26">
        <f t="shared" si="7"/>
        <v>22</v>
      </c>
      <c r="R20" s="25" t="str">
        <f t="shared" si="8"/>
        <v>🟢 Хорошая(&gt;20%)</v>
      </c>
      <c r="S20" s="25" t="e">
        <f t="shared" si="9"/>
        <v>#DIV/0!</v>
      </c>
      <c r="T20" s="29"/>
      <c r="U20" s="26" t="str">
        <f t="shared" si="10"/>
        <v/>
      </c>
      <c r="V20" s="26" t="str">
        <f t="shared" si="11"/>
        <v/>
      </c>
      <c r="W20" s="27" t="e">
        <f t="shared" si="12"/>
        <v>#VALUE!</v>
      </c>
      <c r="X20" s="26" t="str">
        <f t="shared" si="13"/>
        <v/>
      </c>
      <c r="Y20" s="27" t="str">
        <f t="shared" si="14"/>
        <v/>
      </c>
      <c r="Z20" s="27" t="str">
        <f t="shared" si="15"/>
        <v/>
      </c>
      <c r="AA20" s="26" t="str">
        <f t="shared" si="16"/>
        <v/>
      </c>
      <c r="AB20" s="27" t="str">
        <f t="shared" si="17"/>
        <v/>
      </c>
      <c r="AC20" s="27" t="str">
        <f t="shared" si="18"/>
        <v/>
      </c>
      <c r="AD20" s="26" t="str">
        <f t="shared" si="19"/>
        <v/>
      </c>
      <c r="AE20" s="26" t="str">
        <f t="shared" si="20"/>
        <v/>
      </c>
      <c r="AF20" s="27" t="str">
        <f t="shared" si="21"/>
        <v/>
      </c>
      <c r="AG20" s="27" t="str">
        <f t="shared" si="22"/>
        <v/>
      </c>
      <c r="AH20" s="26" t="str">
        <f t="shared" si="23"/>
        <v/>
      </c>
      <c r="AI20" s="27" t="str">
        <f t="shared" si="24"/>
        <v/>
      </c>
      <c r="AJ20" s="27" t="str">
        <f t="shared" si="25"/>
        <v/>
      </c>
      <c r="AK20" s="26" t="str">
        <f t="shared" si="26"/>
        <v/>
      </c>
      <c r="AL20" s="26">
        <f t="shared" si="27"/>
        <v>0</v>
      </c>
      <c r="AM20" s="27">
        <f t="shared" si="28"/>
        <v>-1</v>
      </c>
      <c r="AN20" s="27" t="str">
        <f t="shared" si="29"/>
        <v/>
      </c>
      <c r="AO20" s="26">
        <f t="shared" si="30"/>
        <v>-77</v>
      </c>
      <c r="AP20" s="27">
        <f t="shared" si="31"/>
        <v>-1</v>
      </c>
      <c r="AQ20" s="27" t="str">
        <f t="shared" si="32"/>
        <v/>
      </c>
      <c r="AR20" s="26">
        <f t="shared" si="33"/>
        <v>-99</v>
      </c>
      <c r="AS20" s="30"/>
      <c r="AT20" s="27" t="str">
        <f t="shared" si="34"/>
        <v/>
      </c>
      <c r="AU20" s="27" t="str">
        <f t="shared" si="35"/>
        <v/>
      </c>
      <c r="AV20" s="26" t="str">
        <f t="shared" si="36"/>
        <v/>
      </c>
      <c r="AW20" s="27" t="str">
        <f t="shared" si="37"/>
        <v/>
      </c>
      <c r="AX20" s="27" t="str">
        <f t="shared" si="38"/>
        <v/>
      </c>
      <c r="AY20" s="26" t="str">
        <f t="shared" si="39"/>
        <v/>
      </c>
      <c r="AZ20" s="31"/>
      <c r="BA20" s="26" t="str">
        <f t="shared" si="40"/>
        <v/>
      </c>
      <c r="BB20" s="27" t="str">
        <f t="shared" si="41"/>
        <v/>
      </c>
      <c r="BC20" s="27" t="str">
        <f t="shared" si="42"/>
        <v/>
      </c>
      <c r="BD20" s="26" t="str">
        <f t="shared" si="43"/>
        <v/>
      </c>
      <c r="BE20" s="27" t="str">
        <f t="shared" si="44"/>
        <v/>
      </c>
      <c r="BF20" s="27" t="str">
        <f t="shared" si="45"/>
        <v/>
      </c>
      <c r="BG20" s="26" t="str">
        <f t="shared" si="46"/>
        <v/>
      </c>
      <c r="BH20" s="26" t="str">
        <f t="shared" si="47"/>
        <v/>
      </c>
      <c r="BI20" s="26" t="str">
        <f t="shared" si="48"/>
        <v/>
      </c>
      <c r="BJ20" s="26" t="str">
        <f t="shared" si="49"/>
        <v/>
      </c>
      <c r="BK20" s="26" t="str">
        <f t="shared" si="50"/>
        <v/>
      </c>
      <c r="BL20" s="26" t="str">
        <f t="shared" si="51"/>
        <v/>
      </c>
      <c r="BM20" s="26" t="str">
        <f t="shared" si="52"/>
        <v/>
      </c>
      <c r="BN20" s="26" t="str">
        <f t="shared" si="53"/>
        <v/>
      </c>
      <c r="BO20" s="26" t="str">
        <f t="shared" si="54"/>
        <v/>
      </c>
      <c r="BP20" s="26" t="str">
        <f t="shared" si="55"/>
        <v/>
      </c>
      <c r="BQ20" s="26" t="str">
        <f t="shared" si="56"/>
        <v/>
      </c>
      <c r="BR20" s="32" t="str">
        <f t="shared" si="57"/>
        <v/>
      </c>
      <c r="BS20" s="27" t="str">
        <f t="shared" si="58"/>
        <v/>
      </c>
      <c r="BT20" s="32" t="str">
        <f t="shared" si="59"/>
        <v/>
      </c>
      <c r="BU20" s="27" t="str">
        <f t="shared" si="60"/>
        <v/>
      </c>
    </row>
    <row r="21" spans="1:73" x14ac:dyDescent="0.3">
      <c r="A21" s="22" t="str">
        <f>'📊 Исходные данные'!A20</f>
        <v>Туалетная бумага Zemma Плюс 2сл 4шт Белая</v>
      </c>
      <c r="B21" s="23" t="str">
        <f>'📊 Исходные данные'!B20</f>
        <v>4605331003308</v>
      </c>
      <c r="C21" s="24">
        <f>'📊 Исходные данные'!C20</f>
        <v>77</v>
      </c>
      <c r="D21" s="24">
        <f>'📊 Исходные данные'!D20</f>
        <v>99</v>
      </c>
      <c r="E21" s="25" t="str">
        <f t="shared" si="0"/>
        <v>🔴 Выше рынка</v>
      </c>
      <c r="F21" s="26">
        <f>IFERROR(AVERAGE('📊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>92.5</v>
      </c>
      <c r="G21" s="26">
        <f>IFERROR(MEDIAN('📊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>92.5</v>
      </c>
      <c r="H21" s="26">
        <f>IFERROR(MIN('📊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>90</v>
      </c>
      <c r="I21" s="26">
        <f>IFERROR(MAX('📊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>95</v>
      </c>
      <c r="J21" s="27">
        <f t="shared" si="1"/>
        <v>7.0270270270270274E-2</v>
      </c>
      <c r="K21" s="27">
        <f t="shared" si="2"/>
        <v>7.0270270270270274E-2</v>
      </c>
      <c r="L21" s="27">
        <f t="shared" si="3"/>
        <v>0.1</v>
      </c>
      <c r="M21" s="28" t="str">
        <f>IFERROR(RANK(D21,('📊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данные'!K20)),"")</f>
        <v/>
      </c>
      <c r="N21" s="25" t="str">
        <f t="shared" si="4"/>
        <v>—</v>
      </c>
      <c r="O21" s="27">
        <f t="shared" si="5"/>
        <v>0.2857142857142857</v>
      </c>
      <c r="P21" s="27">
        <f t="shared" si="6"/>
        <v>0.22222222222222221</v>
      </c>
      <c r="Q21" s="26">
        <f t="shared" si="7"/>
        <v>22</v>
      </c>
      <c r="R21" s="25" t="str">
        <f t="shared" si="8"/>
        <v>🟢 Хорошая(&gt;20%)</v>
      </c>
      <c r="S21" s="25" t="str">
        <f t="shared" si="9"/>
        <v>🟡 УМЕРЕННЫЙ</v>
      </c>
      <c r="T21" s="29"/>
      <c r="U21" s="26" t="str">
        <f t="shared" si="10"/>
        <v/>
      </c>
      <c r="V21" s="26" t="str">
        <f t="shared" si="11"/>
        <v/>
      </c>
      <c r="W21" s="27" t="e">
        <f t="shared" si="12"/>
        <v>#VALUE!</v>
      </c>
      <c r="X21" s="26">
        <f t="shared" si="13"/>
        <v>92.5</v>
      </c>
      <c r="Y21" s="27">
        <f t="shared" si="14"/>
        <v>0.20129870129870131</v>
      </c>
      <c r="Z21" s="27">
        <f t="shared" si="15"/>
        <v>0.16756756756756758</v>
      </c>
      <c r="AA21" s="26">
        <f t="shared" si="16"/>
        <v>15.5</v>
      </c>
      <c r="AB21" s="27">
        <f t="shared" si="17"/>
        <v>-6.5656565656565663E-2</v>
      </c>
      <c r="AC21" s="27">
        <f t="shared" si="18"/>
        <v>-0.24594594594594585</v>
      </c>
      <c r="AD21" s="26">
        <f t="shared" si="19"/>
        <v>-6.5</v>
      </c>
      <c r="AE21" s="26">
        <f t="shared" si="20"/>
        <v>92.5</v>
      </c>
      <c r="AF21" s="27">
        <f t="shared" si="21"/>
        <v>0.20129870129870131</v>
      </c>
      <c r="AG21" s="27">
        <f t="shared" si="22"/>
        <v>0.16756756756756758</v>
      </c>
      <c r="AH21" s="26">
        <f t="shared" si="23"/>
        <v>15.5</v>
      </c>
      <c r="AI21" s="27">
        <f t="shared" si="24"/>
        <v>-6.5656565656565663E-2</v>
      </c>
      <c r="AJ21" s="27">
        <f t="shared" si="25"/>
        <v>-0.24594594594594585</v>
      </c>
      <c r="AK21" s="26">
        <f t="shared" si="26"/>
        <v>-6.5</v>
      </c>
      <c r="AL21" s="26">
        <f t="shared" si="27"/>
        <v>90</v>
      </c>
      <c r="AM21" s="27">
        <f t="shared" si="28"/>
        <v>0.16883116883116883</v>
      </c>
      <c r="AN21" s="27">
        <f t="shared" si="29"/>
        <v>0.14444444444444443</v>
      </c>
      <c r="AO21" s="26">
        <f t="shared" si="30"/>
        <v>13</v>
      </c>
      <c r="AP21" s="27">
        <f t="shared" si="31"/>
        <v>-9.0909090909090912E-2</v>
      </c>
      <c r="AQ21" s="27">
        <f t="shared" si="32"/>
        <v>-0.35000000000000003</v>
      </c>
      <c r="AR21" s="26">
        <f t="shared" si="33"/>
        <v>-9</v>
      </c>
      <c r="AS21" s="30"/>
      <c r="AT21" s="27" t="str">
        <f t="shared" si="34"/>
        <v/>
      </c>
      <c r="AU21" s="27" t="str">
        <f t="shared" si="35"/>
        <v/>
      </c>
      <c r="AV21" s="26" t="str">
        <f t="shared" si="36"/>
        <v/>
      </c>
      <c r="AW21" s="27" t="str">
        <f t="shared" si="37"/>
        <v/>
      </c>
      <c r="AX21" s="27" t="str">
        <f t="shared" si="38"/>
        <v/>
      </c>
      <c r="AY21" s="26" t="str">
        <f t="shared" si="39"/>
        <v/>
      </c>
      <c r="AZ21" s="31"/>
      <c r="BA21" s="26" t="str">
        <f t="shared" si="40"/>
        <v/>
      </c>
      <c r="BB21" s="27" t="str">
        <f t="shared" si="41"/>
        <v/>
      </c>
      <c r="BC21" s="27" t="str">
        <f t="shared" si="42"/>
        <v/>
      </c>
      <c r="BD21" s="26" t="str">
        <f t="shared" si="43"/>
        <v/>
      </c>
      <c r="BE21" s="27" t="str">
        <f t="shared" si="44"/>
        <v/>
      </c>
      <c r="BF21" s="27" t="str">
        <f t="shared" si="45"/>
        <v/>
      </c>
      <c r="BG21" s="26" t="str">
        <f t="shared" si="46"/>
        <v/>
      </c>
      <c r="BH21" s="26" t="str">
        <f t="shared" si="47"/>
        <v/>
      </c>
      <c r="BI21" s="26" t="str">
        <f t="shared" si="48"/>
        <v/>
      </c>
      <c r="BJ21" s="26" t="str">
        <f t="shared" si="49"/>
        <v/>
      </c>
      <c r="BK21" s="26" t="str">
        <f t="shared" si="50"/>
        <v/>
      </c>
      <c r="BL21" s="26" t="str">
        <f t="shared" si="51"/>
        <v/>
      </c>
      <c r="BM21" s="26" t="str">
        <f t="shared" si="52"/>
        <v/>
      </c>
      <c r="BN21" s="26" t="str">
        <f t="shared" si="53"/>
        <v/>
      </c>
      <c r="BO21" s="26" t="str">
        <f t="shared" si="54"/>
        <v/>
      </c>
      <c r="BP21" s="26" t="str">
        <f t="shared" si="55"/>
        <v/>
      </c>
      <c r="BQ21" s="26" t="str">
        <f t="shared" si="56"/>
        <v/>
      </c>
      <c r="BR21" s="32" t="str">
        <f t="shared" si="57"/>
        <v/>
      </c>
      <c r="BS21" s="27" t="str">
        <f t="shared" si="58"/>
        <v/>
      </c>
      <c r="BT21" s="32" t="str">
        <f t="shared" si="59"/>
        <v/>
      </c>
      <c r="BU21" s="27" t="str">
        <f t="shared" si="60"/>
        <v/>
      </c>
    </row>
    <row r="22" spans="1:73" x14ac:dyDescent="0.3">
      <c r="A22" s="22" t="str">
        <f>'📊 Исходные данные'!A21</f>
        <v>Крупа Гречневая (ядрица) Первый сорт 1кг</v>
      </c>
      <c r="B22" s="23" t="str">
        <f>'📊 Исходные данные'!B21</f>
        <v>2057030071836</v>
      </c>
      <c r="C22" s="24">
        <f>'📊 Исходные данные'!C21</f>
        <v>48</v>
      </c>
      <c r="D22" s="24">
        <f>'📊 Исходные данные'!D21</f>
        <v>59</v>
      </c>
      <c r="E22" s="25" t="str">
        <f t="shared" si="0"/>
        <v>🟢 Ниже рынка</v>
      </c>
      <c r="F22" s="26">
        <f>IFERROR(AVERAGE('📊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>65.333333333333329</v>
      </c>
      <c r="G22" s="26">
        <f>IFERROR(MEDIAN('📊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>61</v>
      </c>
      <c r="H22" s="26">
        <f>IFERROR(MIN('📊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>60</v>
      </c>
      <c r="I22" s="26">
        <f>IFERROR(MAX('📊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>75</v>
      </c>
      <c r="J22" s="27">
        <f t="shared" si="1"/>
        <v>-9.6938775510204023E-2</v>
      </c>
      <c r="K22" s="27">
        <f t="shared" si="2"/>
        <v>-3.2786885245901641E-2</v>
      </c>
      <c r="L22" s="27">
        <f t="shared" si="3"/>
        <v>-1.6666666666666666E-2</v>
      </c>
      <c r="M22" s="28" t="str">
        <f>IFERROR(RANK(D22,('📊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данные'!K21)),"")</f>
        <v/>
      </c>
      <c r="N22" s="25" t="str">
        <f t="shared" si="4"/>
        <v>—</v>
      </c>
      <c r="O22" s="27">
        <f t="shared" si="5"/>
        <v>0.22916666666666666</v>
      </c>
      <c r="P22" s="27">
        <f t="shared" si="6"/>
        <v>0.1864406779661017</v>
      </c>
      <c r="Q22" s="26">
        <f t="shared" si="7"/>
        <v>11</v>
      </c>
      <c r="R22" s="25" t="str">
        <f t="shared" si="8"/>
        <v>🟡 Средняя(10-20%)</v>
      </c>
      <c r="S22" s="25" t="str">
        <f t="shared" si="9"/>
        <v>🟢 НИЗКИЙ</v>
      </c>
      <c r="T22" s="29"/>
      <c r="U22" s="26" t="str">
        <f t="shared" si="10"/>
        <v/>
      </c>
      <c r="V22" s="26" t="str">
        <f t="shared" si="11"/>
        <v/>
      </c>
      <c r="W22" s="27" t="e">
        <f t="shared" si="12"/>
        <v>#VALUE!</v>
      </c>
      <c r="X22" s="26">
        <f t="shared" si="13"/>
        <v>65.333333333333329</v>
      </c>
      <c r="Y22" s="27">
        <f t="shared" si="14"/>
        <v>0.36111111111111099</v>
      </c>
      <c r="Z22" s="27">
        <f t="shared" si="15"/>
        <v>0.26530612244897955</v>
      </c>
      <c r="AA22" s="26">
        <f t="shared" si="16"/>
        <v>17.333333333333329</v>
      </c>
      <c r="AB22" s="27">
        <f t="shared" si="17"/>
        <v>0.10734463276836149</v>
      </c>
      <c r="AC22" s="27">
        <f t="shared" si="18"/>
        <v>0.42300556586270849</v>
      </c>
      <c r="AD22" s="26">
        <f t="shared" si="19"/>
        <v>6.3333333333333286</v>
      </c>
      <c r="AE22" s="26">
        <f t="shared" si="20"/>
        <v>61</v>
      </c>
      <c r="AF22" s="27">
        <f t="shared" si="21"/>
        <v>0.27083333333333331</v>
      </c>
      <c r="AG22" s="27">
        <f t="shared" si="22"/>
        <v>0.21311475409836064</v>
      </c>
      <c r="AH22" s="26">
        <f t="shared" si="23"/>
        <v>13</v>
      </c>
      <c r="AI22" s="27">
        <f t="shared" si="24"/>
        <v>3.3898305084745763E-2</v>
      </c>
      <c r="AJ22" s="27">
        <f t="shared" si="25"/>
        <v>0.14307004470938889</v>
      </c>
      <c r="AK22" s="26">
        <f t="shared" si="26"/>
        <v>2</v>
      </c>
      <c r="AL22" s="26">
        <f t="shared" si="27"/>
        <v>60</v>
      </c>
      <c r="AM22" s="27">
        <f t="shared" si="28"/>
        <v>0.25</v>
      </c>
      <c r="AN22" s="27">
        <f t="shared" si="29"/>
        <v>0.2</v>
      </c>
      <c r="AO22" s="26">
        <f t="shared" si="30"/>
        <v>12</v>
      </c>
      <c r="AP22" s="27">
        <f t="shared" si="31"/>
        <v>1.6949152542372881E-2</v>
      </c>
      <c r="AQ22" s="27">
        <f t="shared" si="32"/>
        <v>7.2727272727272765E-2</v>
      </c>
      <c r="AR22" s="26">
        <f t="shared" si="33"/>
        <v>1</v>
      </c>
      <c r="AS22" s="30"/>
      <c r="AT22" s="27" t="str">
        <f t="shared" si="34"/>
        <v/>
      </c>
      <c r="AU22" s="27" t="str">
        <f t="shared" si="35"/>
        <v/>
      </c>
      <c r="AV22" s="26" t="str">
        <f t="shared" si="36"/>
        <v/>
      </c>
      <c r="AW22" s="27" t="str">
        <f t="shared" si="37"/>
        <v/>
      </c>
      <c r="AX22" s="27" t="str">
        <f t="shared" si="38"/>
        <v/>
      </c>
      <c r="AY22" s="26" t="str">
        <f t="shared" si="39"/>
        <v/>
      </c>
      <c r="AZ22" s="31"/>
      <c r="BA22" s="26" t="str">
        <f t="shared" si="40"/>
        <v/>
      </c>
      <c r="BB22" s="27" t="str">
        <f t="shared" si="41"/>
        <v/>
      </c>
      <c r="BC22" s="27" t="str">
        <f t="shared" si="42"/>
        <v/>
      </c>
      <c r="BD22" s="26" t="str">
        <f t="shared" si="43"/>
        <v/>
      </c>
      <c r="BE22" s="27" t="str">
        <f t="shared" si="44"/>
        <v/>
      </c>
      <c r="BF22" s="27" t="str">
        <f t="shared" si="45"/>
        <v/>
      </c>
      <c r="BG22" s="26" t="str">
        <f t="shared" si="46"/>
        <v/>
      </c>
      <c r="BH22" s="26" t="str">
        <f t="shared" si="47"/>
        <v/>
      </c>
      <c r="BI22" s="26" t="str">
        <f t="shared" si="48"/>
        <v/>
      </c>
      <c r="BJ22" s="26" t="str">
        <f t="shared" si="49"/>
        <v/>
      </c>
      <c r="BK22" s="26" t="str">
        <f t="shared" si="50"/>
        <v/>
      </c>
      <c r="BL22" s="26" t="str">
        <f t="shared" si="51"/>
        <v/>
      </c>
      <c r="BM22" s="26" t="str">
        <f t="shared" si="52"/>
        <v/>
      </c>
      <c r="BN22" s="26" t="str">
        <f t="shared" si="53"/>
        <v/>
      </c>
      <c r="BO22" s="26" t="str">
        <f t="shared" si="54"/>
        <v/>
      </c>
      <c r="BP22" s="26" t="str">
        <f t="shared" si="55"/>
        <v/>
      </c>
      <c r="BQ22" s="26" t="str">
        <f t="shared" si="56"/>
        <v/>
      </c>
      <c r="BR22" s="32" t="str">
        <f t="shared" si="57"/>
        <v/>
      </c>
      <c r="BS22" s="27" t="str">
        <f t="shared" si="58"/>
        <v/>
      </c>
      <c r="BT22" s="32" t="str">
        <f t="shared" si="59"/>
        <v/>
      </c>
      <c r="BU22" s="27" t="str">
        <f t="shared" si="60"/>
        <v/>
      </c>
    </row>
    <row r="23" spans="1:73" x14ac:dyDescent="0.3">
      <c r="A23" s="22" t="str">
        <f>'📊 Исходные данные'!A22</f>
        <v>Крупа Рисовая (рис шлифованный) 1кг</v>
      </c>
      <c r="B23" s="23" t="str">
        <f>'📊 Исходные данные'!B22</f>
        <v>2058077055810</v>
      </c>
      <c r="C23" s="24">
        <f>'📊 Исходные данные'!C22</f>
        <v>60</v>
      </c>
      <c r="D23" s="24">
        <f>'📊 Исходные данные'!D22</f>
        <v>79</v>
      </c>
      <c r="E23" s="25" t="str">
        <f t="shared" si="0"/>
        <v>🟢 Ниже рынка</v>
      </c>
      <c r="F23" s="26">
        <f>IFERROR(AVERAGE('📊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>84.5</v>
      </c>
      <c r="G23" s="26">
        <f>IFERROR(MEDIAN('📊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>83.5</v>
      </c>
      <c r="H23" s="26">
        <f>IFERROR(MIN('📊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>80</v>
      </c>
      <c r="I23" s="26">
        <f>IFERROR(MAX('📊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>91</v>
      </c>
      <c r="J23" s="27">
        <f t="shared" si="1"/>
        <v>-6.5088757396449703E-2</v>
      </c>
      <c r="K23" s="27">
        <f t="shared" si="2"/>
        <v>-5.3892215568862277E-2</v>
      </c>
      <c r="L23" s="27">
        <f t="shared" si="3"/>
        <v>-1.2500000000000001E-2</v>
      </c>
      <c r="M23" s="28" t="str">
        <f>IFERROR(RANK(D23,('📊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данные'!K22)),"")</f>
        <v/>
      </c>
      <c r="N23" s="25" t="str">
        <f t="shared" si="4"/>
        <v>—</v>
      </c>
      <c r="O23" s="27">
        <f t="shared" si="5"/>
        <v>0.31666666666666665</v>
      </c>
      <c r="P23" s="27">
        <f t="shared" si="6"/>
        <v>0.24050632911392406</v>
      </c>
      <c r="Q23" s="26">
        <f t="shared" si="7"/>
        <v>19</v>
      </c>
      <c r="R23" s="25" t="str">
        <f t="shared" si="8"/>
        <v>🟢 Хорошая(&gt;20%)</v>
      </c>
      <c r="S23" s="25" t="str">
        <f t="shared" si="9"/>
        <v>🟢 НИЗКИЙ</v>
      </c>
      <c r="T23" s="29"/>
      <c r="U23" s="26" t="str">
        <f t="shared" si="10"/>
        <v/>
      </c>
      <c r="V23" s="26" t="str">
        <f t="shared" si="11"/>
        <v/>
      </c>
      <c r="W23" s="27" t="e">
        <f t="shared" si="12"/>
        <v>#VALUE!</v>
      </c>
      <c r="X23" s="26">
        <f t="shared" si="13"/>
        <v>84.5</v>
      </c>
      <c r="Y23" s="27">
        <f t="shared" si="14"/>
        <v>0.40833333333333333</v>
      </c>
      <c r="Z23" s="27">
        <f t="shared" si="15"/>
        <v>0.28994082840236685</v>
      </c>
      <c r="AA23" s="26">
        <f t="shared" si="16"/>
        <v>24.5</v>
      </c>
      <c r="AB23" s="27">
        <f t="shared" si="17"/>
        <v>6.9620253164556958E-2</v>
      </c>
      <c r="AC23" s="27">
        <f t="shared" si="18"/>
        <v>0.20554344440984107</v>
      </c>
      <c r="AD23" s="26">
        <f t="shared" si="19"/>
        <v>5.5</v>
      </c>
      <c r="AE23" s="26">
        <f t="shared" si="20"/>
        <v>83.5</v>
      </c>
      <c r="AF23" s="27">
        <f t="shared" si="21"/>
        <v>0.39166666666666666</v>
      </c>
      <c r="AG23" s="27">
        <f t="shared" si="22"/>
        <v>0.28143712574850299</v>
      </c>
      <c r="AH23" s="26">
        <f t="shared" si="23"/>
        <v>23.5</v>
      </c>
      <c r="AI23" s="27">
        <f t="shared" si="24"/>
        <v>5.6962025316455694E-2</v>
      </c>
      <c r="AJ23" s="27">
        <f t="shared" si="25"/>
        <v>0.1701859439016703</v>
      </c>
      <c r="AK23" s="26">
        <f t="shared" si="26"/>
        <v>4.5</v>
      </c>
      <c r="AL23" s="26">
        <f t="shared" si="27"/>
        <v>80</v>
      </c>
      <c r="AM23" s="27">
        <f t="shared" si="28"/>
        <v>0.33333333333333331</v>
      </c>
      <c r="AN23" s="27">
        <f t="shared" si="29"/>
        <v>0.25</v>
      </c>
      <c r="AO23" s="26">
        <f t="shared" si="30"/>
        <v>20</v>
      </c>
      <c r="AP23" s="27">
        <f t="shared" si="31"/>
        <v>1.2658227848101266E-2</v>
      </c>
      <c r="AQ23" s="27">
        <f t="shared" si="32"/>
        <v>3.9473684210526293E-2</v>
      </c>
      <c r="AR23" s="26">
        <f t="shared" si="33"/>
        <v>1</v>
      </c>
      <c r="AS23" s="30"/>
      <c r="AT23" s="27" t="str">
        <f t="shared" si="34"/>
        <v/>
      </c>
      <c r="AU23" s="27" t="str">
        <f t="shared" si="35"/>
        <v/>
      </c>
      <c r="AV23" s="26" t="str">
        <f t="shared" si="36"/>
        <v/>
      </c>
      <c r="AW23" s="27" t="str">
        <f t="shared" si="37"/>
        <v/>
      </c>
      <c r="AX23" s="27" t="str">
        <f t="shared" si="38"/>
        <v/>
      </c>
      <c r="AY23" s="26" t="str">
        <f t="shared" si="39"/>
        <v/>
      </c>
      <c r="AZ23" s="31"/>
      <c r="BA23" s="26" t="str">
        <f t="shared" si="40"/>
        <v/>
      </c>
      <c r="BB23" s="27" t="str">
        <f t="shared" si="41"/>
        <v/>
      </c>
      <c r="BC23" s="27" t="str">
        <f t="shared" si="42"/>
        <v/>
      </c>
      <c r="BD23" s="26" t="str">
        <f t="shared" si="43"/>
        <v/>
      </c>
      <c r="BE23" s="27" t="str">
        <f t="shared" si="44"/>
        <v/>
      </c>
      <c r="BF23" s="27" t="str">
        <f t="shared" si="45"/>
        <v/>
      </c>
      <c r="BG23" s="26" t="str">
        <f t="shared" si="46"/>
        <v/>
      </c>
      <c r="BH23" s="26" t="str">
        <f t="shared" si="47"/>
        <v/>
      </c>
      <c r="BI23" s="26" t="str">
        <f t="shared" si="48"/>
        <v/>
      </c>
      <c r="BJ23" s="26" t="str">
        <f t="shared" si="49"/>
        <v/>
      </c>
      <c r="BK23" s="26" t="str">
        <f t="shared" si="50"/>
        <v/>
      </c>
      <c r="BL23" s="26" t="str">
        <f t="shared" si="51"/>
        <v/>
      </c>
      <c r="BM23" s="26" t="str">
        <f t="shared" si="52"/>
        <v/>
      </c>
      <c r="BN23" s="26" t="str">
        <f t="shared" si="53"/>
        <v/>
      </c>
      <c r="BO23" s="26" t="str">
        <f t="shared" si="54"/>
        <v/>
      </c>
      <c r="BP23" s="26" t="str">
        <f t="shared" si="55"/>
        <v/>
      </c>
      <c r="BQ23" s="26" t="str">
        <f t="shared" si="56"/>
        <v/>
      </c>
      <c r="BR23" s="32" t="str">
        <f t="shared" si="57"/>
        <v/>
      </c>
      <c r="BS23" s="27" t="str">
        <f t="shared" si="58"/>
        <v/>
      </c>
      <c r="BT23" s="32" t="str">
        <f t="shared" si="59"/>
        <v/>
      </c>
      <c r="BU23" s="27" t="str">
        <f t="shared" si="60"/>
        <v/>
      </c>
    </row>
    <row r="24" spans="1:73" x14ac:dyDescent="0.3">
      <c r="A24" s="22" t="str">
        <f>'📊 Исходные данные'!A23</f>
        <v>Крупа Увелка Гречневая Экстра 800г</v>
      </c>
      <c r="B24" s="23" t="str">
        <f>'📊 Исходные данные'!B23</f>
        <v>4607016240893</v>
      </c>
      <c r="C24" s="24">
        <f>'📊 Исходные данные'!C23</f>
        <v>71.349999999999994</v>
      </c>
      <c r="D24" s="24">
        <f>'📊 Исходные данные'!D23</f>
        <v>89</v>
      </c>
      <c r="E24" s="25" t="str">
        <f t="shared" si="0"/>
        <v>🟢 Ниже рынка</v>
      </c>
      <c r="F24" s="26">
        <f>IFERROR(AVERAGE('📊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>94.6</v>
      </c>
      <c r="G24" s="26">
        <f>IFERROR(MEDIAN('📊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>94</v>
      </c>
      <c r="H24" s="26">
        <f>IFERROR(MIN('📊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>89</v>
      </c>
      <c r="I24" s="26">
        <f>IFERROR(MAX('📊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>100</v>
      </c>
      <c r="J24" s="27">
        <f t="shared" si="1"/>
        <v>-5.9196617336152162E-2</v>
      </c>
      <c r="K24" s="27">
        <f t="shared" si="2"/>
        <v>-5.3191489361702128E-2</v>
      </c>
      <c r="L24" s="27">
        <f t="shared" si="3"/>
        <v>0</v>
      </c>
      <c r="M24" s="28">
        <f>IFERROR(RANK(D24,('📊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данные'!K23)),"")</f>
        <v>5</v>
      </c>
      <c r="N24" s="25" t="str">
        <f t="shared" si="4"/>
        <v>🟢 Ниже конкурентов</v>
      </c>
      <c r="O24" s="27">
        <f t="shared" si="5"/>
        <v>0.24737210932025239</v>
      </c>
      <c r="P24" s="27">
        <f t="shared" si="6"/>
        <v>0.19831460674157309</v>
      </c>
      <c r="Q24" s="26">
        <f t="shared" si="7"/>
        <v>17.650000000000006</v>
      </c>
      <c r="R24" s="25" t="str">
        <f t="shared" si="8"/>
        <v>🟡 Средняя(10-20%)</v>
      </c>
      <c r="S24" s="25" t="str">
        <f t="shared" si="9"/>
        <v>🟢 НИЗКИЙ</v>
      </c>
      <c r="T24" s="29"/>
      <c r="U24" s="26" t="str">
        <f t="shared" si="10"/>
        <v/>
      </c>
      <c r="V24" s="26" t="str">
        <f t="shared" si="11"/>
        <v/>
      </c>
      <c r="W24" s="27" t="e">
        <f t="shared" si="12"/>
        <v>#VALUE!</v>
      </c>
      <c r="X24" s="26">
        <f t="shared" si="13"/>
        <v>94.6</v>
      </c>
      <c r="Y24" s="27">
        <f t="shared" si="14"/>
        <v>0.32585844428871763</v>
      </c>
      <c r="Z24" s="27">
        <f t="shared" si="15"/>
        <v>0.24577167019027485</v>
      </c>
      <c r="AA24" s="26">
        <f t="shared" si="16"/>
        <v>23.25</v>
      </c>
      <c r="AB24" s="27">
        <f t="shared" si="17"/>
        <v>6.2921348314606676E-2</v>
      </c>
      <c r="AC24" s="27">
        <f t="shared" si="18"/>
        <v>0.23930190634189552</v>
      </c>
      <c r="AD24" s="26">
        <f t="shared" si="19"/>
        <v>5.5999999999999943</v>
      </c>
      <c r="AE24" s="26">
        <f t="shared" si="20"/>
        <v>94</v>
      </c>
      <c r="AF24" s="27">
        <f t="shared" si="21"/>
        <v>0.31744919411352496</v>
      </c>
      <c r="AG24" s="27">
        <f t="shared" si="22"/>
        <v>0.24095744680851069</v>
      </c>
      <c r="AH24" s="26">
        <f t="shared" si="23"/>
        <v>22.650000000000006</v>
      </c>
      <c r="AI24" s="27">
        <f t="shared" si="24"/>
        <v>5.6179775280898875E-2</v>
      </c>
      <c r="AJ24" s="27">
        <f t="shared" si="25"/>
        <v>0.21502621903441621</v>
      </c>
      <c r="AK24" s="26">
        <f t="shared" si="26"/>
        <v>5</v>
      </c>
      <c r="AL24" s="26">
        <f t="shared" si="27"/>
        <v>89</v>
      </c>
      <c r="AM24" s="27">
        <f t="shared" si="28"/>
        <v>0.24737210932025239</v>
      </c>
      <c r="AN24" s="27">
        <f t="shared" si="29"/>
        <v>0.19831460674157309</v>
      </c>
      <c r="AO24" s="26">
        <f t="shared" si="30"/>
        <v>17.650000000000006</v>
      </c>
      <c r="AP24" s="27">
        <f t="shared" si="31"/>
        <v>0</v>
      </c>
      <c r="AQ24" s="27">
        <f t="shared" si="32"/>
        <v>0</v>
      </c>
      <c r="AR24" s="26">
        <f t="shared" si="33"/>
        <v>0</v>
      </c>
      <c r="AS24" s="30"/>
      <c r="AT24" s="27" t="str">
        <f t="shared" si="34"/>
        <v/>
      </c>
      <c r="AU24" s="27" t="str">
        <f t="shared" si="35"/>
        <v/>
      </c>
      <c r="AV24" s="26" t="str">
        <f t="shared" si="36"/>
        <v/>
      </c>
      <c r="AW24" s="27" t="str">
        <f t="shared" si="37"/>
        <v/>
      </c>
      <c r="AX24" s="27" t="str">
        <f t="shared" si="38"/>
        <v/>
      </c>
      <c r="AY24" s="26" t="str">
        <f t="shared" si="39"/>
        <v/>
      </c>
      <c r="AZ24" s="31"/>
      <c r="BA24" s="26" t="str">
        <f t="shared" si="40"/>
        <v/>
      </c>
      <c r="BB24" s="27" t="str">
        <f t="shared" si="41"/>
        <v/>
      </c>
      <c r="BC24" s="27" t="str">
        <f t="shared" si="42"/>
        <v/>
      </c>
      <c r="BD24" s="26" t="str">
        <f t="shared" si="43"/>
        <v/>
      </c>
      <c r="BE24" s="27" t="str">
        <f t="shared" si="44"/>
        <v/>
      </c>
      <c r="BF24" s="27" t="str">
        <f t="shared" si="45"/>
        <v/>
      </c>
      <c r="BG24" s="26" t="str">
        <f t="shared" si="46"/>
        <v/>
      </c>
      <c r="BH24" s="26" t="str">
        <f t="shared" si="47"/>
        <v/>
      </c>
      <c r="BI24" s="26" t="str">
        <f t="shared" si="48"/>
        <v/>
      </c>
      <c r="BJ24" s="26" t="str">
        <f t="shared" si="49"/>
        <v/>
      </c>
      <c r="BK24" s="26" t="str">
        <f t="shared" si="50"/>
        <v/>
      </c>
      <c r="BL24" s="26" t="str">
        <f t="shared" si="51"/>
        <v/>
      </c>
      <c r="BM24" s="26" t="str">
        <f t="shared" si="52"/>
        <v/>
      </c>
      <c r="BN24" s="26" t="str">
        <f t="shared" si="53"/>
        <v/>
      </c>
      <c r="BO24" s="26" t="str">
        <f t="shared" si="54"/>
        <v/>
      </c>
      <c r="BP24" s="26" t="str">
        <f t="shared" si="55"/>
        <v/>
      </c>
      <c r="BQ24" s="26" t="str">
        <f t="shared" si="56"/>
        <v/>
      </c>
      <c r="BR24" s="32" t="str">
        <f t="shared" si="57"/>
        <v/>
      </c>
      <c r="BS24" s="27" t="str">
        <f t="shared" si="58"/>
        <v/>
      </c>
      <c r="BT24" s="32" t="str">
        <f t="shared" si="59"/>
        <v/>
      </c>
      <c r="BU24" s="27" t="str">
        <f t="shared" si="60"/>
        <v/>
      </c>
    </row>
    <row r="25" spans="1:73" x14ac:dyDescent="0.3">
      <c r="A25" s="22" t="str">
        <f>'📊 Исходные данные'!A24</f>
        <v>Мак изд Барилла №5 Спагетти 450г</v>
      </c>
      <c r="B25" s="23" t="str">
        <f>'📊 Исходные данные'!B24</f>
        <v>8076809576093</v>
      </c>
      <c r="C25" s="24">
        <f>'📊 Исходные данные'!C24</f>
        <v>81.790000000000006</v>
      </c>
      <c r="D25" s="24">
        <f>'📊 Исходные данные'!D24</f>
        <v>119</v>
      </c>
      <c r="E25" s="25" t="str">
        <f t="shared" si="0"/>
        <v>🔴 Выше рынка</v>
      </c>
      <c r="F25" s="26">
        <f>IFERROR(AVERAGE('📊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>104</v>
      </c>
      <c r="G25" s="26">
        <f>IFERROR(MEDIAN('📊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>96</v>
      </c>
      <c r="H25" s="26">
        <f>IFERROR(MIN('📊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>94</v>
      </c>
      <c r="I25" s="26">
        <f>IFERROR(MAX('📊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>135</v>
      </c>
      <c r="J25" s="27">
        <f t="shared" si="1"/>
        <v>0.14423076923076922</v>
      </c>
      <c r="K25" s="27">
        <f t="shared" si="2"/>
        <v>0.23958333333333334</v>
      </c>
      <c r="L25" s="27">
        <f t="shared" si="3"/>
        <v>0.26595744680851063</v>
      </c>
      <c r="M25" s="28" t="str">
        <f>IFERROR(RANK(D25,('📊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данные'!K24)),"")</f>
        <v/>
      </c>
      <c r="N25" s="25" t="str">
        <f t="shared" si="4"/>
        <v>—</v>
      </c>
      <c r="O25" s="27">
        <f t="shared" si="5"/>
        <v>0.45494559237070537</v>
      </c>
      <c r="P25" s="27">
        <f t="shared" si="6"/>
        <v>0.31268907563025206</v>
      </c>
      <c r="Q25" s="26">
        <f t="shared" si="7"/>
        <v>37.209999999999994</v>
      </c>
      <c r="R25" s="25" t="str">
        <f t="shared" si="8"/>
        <v>🟢 Хорошая(&gt;20%)</v>
      </c>
      <c r="S25" s="25" t="str">
        <f t="shared" si="9"/>
        <v>🟡 УМЕРЕННЫЙ</v>
      </c>
      <c r="T25" s="29"/>
      <c r="U25" s="26" t="str">
        <f t="shared" si="10"/>
        <v/>
      </c>
      <c r="V25" s="26" t="str">
        <f t="shared" si="11"/>
        <v/>
      </c>
      <c r="W25" s="27" t="e">
        <f t="shared" si="12"/>
        <v>#VALUE!</v>
      </c>
      <c r="X25" s="26">
        <f t="shared" si="13"/>
        <v>104</v>
      </c>
      <c r="Y25" s="27">
        <f t="shared" si="14"/>
        <v>0.27154908913070047</v>
      </c>
      <c r="Z25" s="27">
        <f t="shared" si="15"/>
        <v>0.21355769230769225</v>
      </c>
      <c r="AA25" s="26">
        <f t="shared" si="16"/>
        <v>22.209999999999994</v>
      </c>
      <c r="AB25" s="27">
        <f t="shared" si="17"/>
        <v>-0.12605042016806722</v>
      </c>
      <c r="AC25" s="27">
        <f t="shared" si="18"/>
        <v>-0.3170286110020053</v>
      </c>
      <c r="AD25" s="26">
        <f t="shared" si="19"/>
        <v>-15</v>
      </c>
      <c r="AE25" s="26">
        <f t="shared" si="20"/>
        <v>96</v>
      </c>
      <c r="AF25" s="27">
        <f t="shared" si="21"/>
        <v>0.17373762073603122</v>
      </c>
      <c r="AG25" s="27">
        <f t="shared" si="22"/>
        <v>0.14802083333333327</v>
      </c>
      <c r="AH25" s="26">
        <f t="shared" si="23"/>
        <v>14.209999999999994</v>
      </c>
      <c r="AI25" s="27">
        <f t="shared" si="24"/>
        <v>-0.19327731092436976</v>
      </c>
      <c r="AJ25" s="27">
        <f t="shared" si="25"/>
        <v>-0.52661974827555336</v>
      </c>
      <c r="AK25" s="26">
        <f t="shared" si="26"/>
        <v>-23</v>
      </c>
      <c r="AL25" s="26">
        <f t="shared" si="27"/>
        <v>94</v>
      </c>
      <c r="AM25" s="27">
        <f t="shared" si="28"/>
        <v>0.1492847536373639</v>
      </c>
      <c r="AN25" s="27">
        <f t="shared" si="29"/>
        <v>0.12989361702127653</v>
      </c>
      <c r="AO25" s="26">
        <f t="shared" si="30"/>
        <v>12.209999999999994</v>
      </c>
      <c r="AP25" s="27">
        <f t="shared" si="31"/>
        <v>-0.21008403361344538</v>
      </c>
      <c r="AQ25" s="27">
        <f t="shared" si="32"/>
        <v>-0.58459176496823684</v>
      </c>
      <c r="AR25" s="26">
        <f t="shared" si="33"/>
        <v>-25</v>
      </c>
      <c r="AS25" s="30"/>
      <c r="AT25" s="27" t="str">
        <f t="shared" si="34"/>
        <v/>
      </c>
      <c r="AU25" s="27" t="str">
        <f t="shared" si="35"/>
        <v/>
      </c>
      <c r="AV25" s="26" t="str">
        <f t="shared" si="36"/>
        <v/>
      </c>
      <c r="AW25" s="27" t="str">
        <f t="shared" si="37"/>
        <v/>
      </c>
      <c r="AX25" s="27" t="str">
        <f t="shared" si="38"/>
        <v/>
      </c>
      <c r="AY25" s="26" t="str">
        <f t="shared" si="39"/>
        <v/>
      </c>
      <c r="AZ25" s="31"/>
      <c r="BA25" s="26" t="str">
        <f t="shared" si="40"/>
        <v/>
      </c>
      <c r="BB25" s="27" t="str">
        <f t="shared" si="41"/>
        <v/>
      </c>
      <c r="BC25" s="27" t="str">
        <f t="shared" si="42"/>
        <v/>
      </c>
      <c r="BD25" s="26" t="str">
        <f t="shared" si="43"/>
        <v/>
      </c>
      <c r="BE25" s="27" t="str">
        <f t="shared" si="44"/>
        <v/>
      </c>
      <c r="BF25" s="27" t="str">
        <f t="shared" si="45"/>
        <v/>
      </c>
      <c r="BG25" s="26" t="str">
        <f t="shared" si="46"/>
        <v/>
      </c>
      <c r="BH25" s="26" t="str">
        <f t="shared" si="47"/>
        <v/>
      </c>
      <c r="BI25" s="26" t="str">
        <f t="shared" si="48"/>
        <v/>
      </c>
      <c r="BJ25" s="26" t="str">
        <f t="shared" si="49"/>
        <v/>
      </c>
      <c r="BK25" s="26" t="str">
        <f t="shared" si="50"/>
        <v/>
      </c>
      <c r="BL25" s="26" t="str">
        <f t="shared" si="51"/>
        <v/>
      </c>
      <c r="BM25" s="26" t="str">
        <f t="shared" si="52"/>
        <v/>
      </c>
      <c r="BN25" s="26" t="str">
        <f t="shared" si="53"/>
        <v/>
      </c>
      <c r="BO25" s="26" t="str">
        <f t="shared" si="54"/>
        <v/>
      </c>
      <c r="BP25" s="26" t="str">
        <f t="shared" si="55"/>
        <v/>
      </c>
      <c r="BQ25" s="26" t="str">
        <f t="shared" si="56"/>
        <v/>
      </c>
      <c r="BR25" s="32" t="str">
        <f t="shared" si="57"/>
        <v/>
      </c>
      <c r="BS25" s="27" t="str">
        <f t="shared" si="58"/>
        <v/>
      </c>
      <c r="BT25" s="32" t="str">
        <f t="shared" si="59"/>
        <v/>
      </c>
      <c r="BU25" s="27" t="str">
        <f t="shared" si="60"/>
        <v/>
      </c>
    </row>
    <row r="26" spans="1:73" x14ac:dyDescent="0.3">
      <c r="A26" s="22" t="str">
        <f>'📊 Исходные данные'!A25</f>
        <v>Мак изд Барилла №98 Фузилли 450г</v>
      </c>
      <c r="B26" s="23" t="str">
        <f>'📊 Исходные данные'!B25</f>
        <v>8076809576000</v>
      </c>
      <c r="C26" s="24">
        <f>'📊 Исходные данные'!C25</f>
        <v>81.790000000000006</v>
      </c>
      <c r="D26" s="24">
        <f>'📊 Исходные данные'!D25</f>
        <v>119</v>
      </c>
      <c r="E26" s="25" t="str">
        <f t="shared" si="0"/>
        <v>🟢 Ниже рынка</v>
      </c>
      <c r="F26" s="26">
        <f>IFERROR(AVERAGE('📊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>130.6</v>
      </c>
      <c r="G26" s="26">
        <f>IFERROR(MEDIAN('📊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>115</v>
      </c>
      <c r="H26" s="26">
        <f>IFERROR(MIN('📊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>108</v>
      </c>
      <c r="I26" s="26">
        <f>IFERROR(MAX('📊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>199</v>
      </c>
      <c r="J26" s="27">
        <f t="shared" si="1"/>
        <v>-8.8820826952526757E-2</v>
      </c>
      <c r="K26" s="27">
        <f t="shared" si="2"/>
        <v>3.4782608695652174E-2</v>
      </c>
      <c r="L26" s="27">
        <f t="shared" si="3"/>
        <v>0.10185185185185185</v>
      </c>
      <c r="M26" s="28" t="str">
        <f>IFERROR(RANK(D26,('📊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данные'!K25)),"")</f>
        <v/>
      </c>
      <c r="N26" s="25" t="str">
        <f t="shared" si="4"/>
        <v>—</v>
      </c>
      <c r="O26" s="27">
        <f t="shared" si="5"/>
        <v>0.45494559237070537</v>
      </c>
      <c r="P26" s="27">
        <f t="shared" si="6"/>
        <v>0.31268907563025206</v>
      </c>
      <c r="Q26" s="26">
        <f t="shared" si="7"/>
        <v>37.209999999999994</v>
      </c>
      <c r="R26" s="25" t="str">
        <f t="shared" si="8"/>
        <v>🟢 Хорошая(&gt;20%)</v>
      </c>
      <c r="S26" s="25" t="str">
        <f t="shared" si="9"/>
        <v>🟢 НИЗКИЙ</v>
      </c>
      <c r="T26" s="29"/>
      <c r="U26" s="26" t="str">
        <f t="shared" si="10"/>
        <v/>
      </c>
      <c r="V26" s="26" t="str">
        <f t="shared" si="11"/>
        <v/>
      </c>
      <c r="W26" s="27" t="e">
        <f t="shared" si="12"/>
        <v>#VALUE!</v>
      </c>
      <c r="X26" s="26">
        <f t="shared" si="13"/>
        <v>130.6</v>
      </c>
      <c r="Y26" s="27">
        <f t="shared" si="14"/>
        <v>0.59677222154297571</v>
      </c>
      <c r="Z26" s="27">
        <f t="shared" si="15"/>
        <v>0.37373660030627864</v>
      </c>
      <c r="AA26" s="26">
        <f t="shared" si="16"/>
        <v>48.809999999999988</v>
      </c>
      <c r="AB26" s="27">
        <f t="shared" si="17"/>
        <v>9.7478991596638614E-2</v>
      </c>
      <c r="AC26" s="27">
        <f t="shared" si="18"/>
        <v>0.19523395421787598</v>
      </c>
      <c r="AD26" s="26">
        <f t="shared" si="19"/>
        <v>11.599999999999994</v>
      </c>
      <c r="AE26" s="26">
        <f t="shared" si="20"/>
        <v>115</v>
      </c>
      <c r="AF26" s="27">
        <f t="shared" si="21"/>
        <v>0.40603985817337074</v>
      </c>
      <c r="AG26" s="27">
        <f t="shared" si="22"/>
        <v>0.28878260869565214</v>
      </c>
      <c r="AH26" s="26">
        <f t="shared" si="23"/>
        <v>33.209999999999994</v>
      </c>
      <c r="AI26" s="27">
        <f t="shared" si="24"/>
        <v>-3.3613445378151259E-2</v>
      </c>
      <c r="AJ26" s="27">
        <f t="shared" si="25"/>
        <v>-7.6454436044541524E-2</v>
      </c>
      <c r="AK26" s="26">
        <f t="shared" si="26"/>
        <v>-4</v>
      </c>
      <c r="AL26" s="26">
        <f t="shared" si="27"/>
        <v>108</v>
      </c>
      <c r="AM26" s="27">
        <f t="shared" si="28"/>
        <v>0.3204548233280351</v>
      </c>
      <c r="AN26" s="27">
        <f t="shared" si="29"/>
        <v>0.24268518518518511</v>
      </c>
      <c r="AO26" s="26">
        <f t="shared" si="30"/>
        <v>26.209999999999994</v>
      </c>
      <c r="AP26" s="27">
        <f t="shared" si="31"/>
        <v>-9.2436974789915971E-2</v>
      </c>
      <c r="AQ26" s="27">
        <f t="shared" si="32"/>
        <v>-0.22387699443598408</v>
      </c>
      <c r="AR26" s="26">
        <f t="shared" si="33"/>
        <v>-11</v>
      </c>
      <c r="AS26" s="30"/>
      <c r="AT26" s="27" t="str">
        <f t="shared" si="34"/>
        <v/>
      </c>
      <c r="AU26" s="27" t="str">
        <f t="shared" si="35"/>
        <v/>
      </c>
      <c r="AV26" s="26" t="str">
        <f t="shared" si="36"/>
        <v/>
      </c>
      <c r="AW26" s="27" t="str">
        <f t="shared" si="37"/>
        <v/>
      </c>
      <c r="AX26" s="27" t="str">
        <f t="shared" si="38"/>
        <v/>
      </c>
      <c r="AY26" s="26" t="str">
        <f t="shared" si="39"/>
        <v/>
      </c>
      <c r="AZ26" s="31"/>
      <c r="BA26" s="26" t="str">
        <f t="shared" si="40"/>
        <v/>
      </c>
      <c r="BB26" s="27" t="str">
        <f t="shared" si="41"/>
        <v/>
      </c>
      <c r="BC26" s="27" t="str">
        <f t="shared" si="42"/>
        <v/>
      </c>
      <c r="BD26" s="26" t="str">
        <f t="shared" si="43"/>
        <v/>
      </c>
      <c r="BE26" s="27" t="str">
        <f t="shared" si="44"/>
        <v/>
      </c>
      <c r="BF26" s="27" t="str">
        <f t="shared" si="45"/>
        <v/>
      </c>
      <c r="BG26" s="26" t="str">
        <f t="shared" si="46"/>
        <v/>
      </c>
      <c r="BH26" s="26" t="str">
        <f t="shared" si="47"/>
        <v/>
      </c>
      <c r="BI26" s="26" t="str">
        <f t="shared" si="48"/>
        <v/>
      </c>
      <c r="BJ26" s="26" t="str">
        <f t="shared" si="49"/>
        <v/>
      </c>
      <c r="BK26" s="26" t="str">
        <f t="shared" si="50"/>
        <v/>
      </c>
      <c r="BL26" s="26" t="str">
        <f t="shared" si="51"/>
        <v/>
      </c>
      <c r="BM26" s="26" t="str">
        <f t="shared" si="52"/>
        <v/>
      </c>
      <c r="BN26" s="26" t="str">
        <f t="shared" si="53"/>
        <v/>
      </c>
      <c r="BO26" s="26" t="str">
        <f t="shared" si="54"/>
        <v/>
      </c>
      <c r="BP26" s="26" t="str">
        <f t="shared" si="55"/>
        <v/>
      </c>
      <c r="BQ26" s="26" t="str">
        <f t="shared" si="56"/>
        <v/>
      </c>
      <c r="BR26" s="32" t="str">
        <f t="shared" si="57"/>
        <v/>
      </c>
      <c r="BS26" s="27" t="str">
        <f t="shared" si="58"/>
        <v/>
      </c>
      <c r="BT26" s="32" t="str">
        <f t="shared" si="59"/>
        <v/>
      </c>
      <c r="BU26" s="27" t="str">
        <f t="shared" si="60"/>
        <v/>
      </c>
    </row>
    <row r="27" spans="1:73" x14ac:dyDescent="0.3">
      <c r="A27" s="22" t="str">
        <f>'📊 Исходные данные'!A26</f>
        <v>Мак изд Макфа Спагетти 400г</v>
      </c>
      <c r="B27" s="23" t="str">
        <f>'📊 Исходные данные'!B26</f>
        <v>4601780010508</v>
      </c>
      <c r="C27" s="24">
        <f>'📊 Исходные данные'!C26</f>
        <v>49.51</v>
      </c>
      <c r="D27" s="24">
        <f>'📊 Исходные данные'!D26</f>
        <v>65</v>
      </c>
      <c r="E27" s="25" t="str">
        <f t="shared" si="0"/>
        <v>🟢 Ниже рынка</v>
      </c>
      <c r="F27" s="26">
        <f>IFERROR(AVERAGE('📊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>70</v>
      </c>
      <c r="G27" s="26">
        <f>IFERROR(MEDIAN('📊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>68</v>
      </c>
      <c r="H27" s="26">
        <f>IFERROR(MIN('📊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>61</v>
      </c>
      <c r="I27" s="26">
        <f>IFERROR(MAX('📊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>80</v>
      </c>
      <c r="J27" s="27">
        <f t="shared" si="1"/>
        <v>-7.1428571428571425E-2</v>
      </c>
      <c r="K27" s="27">
        <f t="shared" si="2"/>
        <v>-4.4117647058823532E-2</v>
      </c>
      <c r="L27" s="27">
        <f t="shared" si="3"/>
        <v>6.5573770491803282E-2</v>
      </c>
      <c r="M27" s="28" t="str">
        <f>IFERROR(RANK(D27,('📊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данные'!K26)),"")</f>
        <v/>
      </c>
      <c r="N27" s="25" t="str">
        <f t="shared" si="4"/>
        <v>—</v>
      </c>
      <c r="O27" s="27">
        <f t="shared" si="5"/>
        <v>0.31286608765905882</v>
      </c>
      <c r="P27" s="27">
        <f t="shared" si="6"/>
        <v>0.23830769230769233</v>
      </c>
      <c r="Q27" s="26">
        <f t="shared" si="7"/>
        <v>15.490000000000002</v>
      </c>
      <c r="R27" s="25" t="str">
        <f t="shared" si="8"/>
        <v>🟢 Хорошая(&gt;20%)</v>
      </c>
      <c r="S27" s="25" t="str">
        <f t="shared" si="9"/>
        <v>🟢 НИЗКИЙ</v>
      </c>
      <c r="T27" s="29"/>
      <c r="U27" s="26" t="str">
        <f t="shared" si="10"/>
        <v/>
      </c>
      <c r="V27" s="26" t="str">
        <f t="shared" si="11"/>
        <v/>
      </c>
      <c r="W27" s="27" t="e">
        <f t="shared" si="12"/>
        <v>#VALUE!</v>
      </c>
      <c r="X27" s="26">
        <f t="shared" si="13"/>
        <v>70</v>
      </c>
      <c r="Y27" s="27">
        <f t="shared" si="14"/>
        <v>0.41385578670975565</v>
      </c>
      <c r="Z27" s="27">
        <f t="shared" si="15"/>
        <v>0.29271428571428576</v>
      </c>
      <c r="AA27" s="26">
        <f t="shared" si="16"/>
        <v>20.490000000000002</v>
      </c>
      <c r="AB27" s="27">
        <f t="shared" si="17"/>
        <v>7.6923076923076927E-2</v>
      </c>
      <c r="AC27" s="27">
        <f t="shared" si="18"/>
        <v>0.22830397491469157</v>
      </c>
      <c r="AD27" s="26">
        <f t="shared" si="19"/>
        <v>5</v>
      </c>
      <c r="AE27" s="26">
        <f t="shared" si="20"/>
        <v>68</v>
      </c>
      <c r="AF27" s="27">
        <f t="shared" si="21"/>
        <v>0.37345990708947691</v>
      </c>
      <c r="AG27" s="27">
        <f t="shared" si="22"/>
        <v>0.27191176470588241</v>
      </c>
      <c r="AH27" s="26">
        <f t="shared" si="23"/>
        <v>18.490000000000002</v>
      </c>
      <c r="AI27" s="27">
        <f t="shared" si="24"/>
        <v>4.6153846153846156E-2</v>
      </c>
      <c r="AJ27" s="27">
        <f t="shared" si="25"/>
        <v>0.14101127862378016</v>
      </c>
      <c r="AK27" s="26">
        <f t="shared" si="26"/>
        <v>3</v>
      </c>
      <c r="AL27" s="26">
        <f t="shared" si="27"/>
        <v>61</v>
      </c>
      <c r="AM27" s="27">
        <f t="shared" si="28"/>
        <v>0.23207432841850137</v>
      </c>
      <c r="AN27" s="27">
        <f t="shared" si="29"/>
        <v>0.18836065573770494</v>
      </c>
      <c r="AO27" s="26">
        <f t="shared" si="30"/>
        <v>11.490000000000002</v>
      </c>
      <c r="AP27" s="27">
        <f t="shared" si="31"/>
        <v>-6.1538461538461542E-2</v>
      </c>
      <c r="AQ27" s="27">
        <f t="shared" si="32"/>
        <v>-0.2095905343479135</v>
      </c>
      <c r="AR27" s="26">
        <f t="shared" si="33"/>
        <v>-4</v>
      </c>
      <c r="AS27" s="30"/>
      <c r="AT27" s="27" t="str">
        <f t="shared" si="34"/>
        <v/>
      </c>
      <c r="AU27" s="27" t="str">
        <f t="shared" si="35"/>
        <v/>
      </c>
      <c r="AV27" s="26" t="str">
        <f t="shared" si="36"/>
        <v/>
      </c>
      <c r="AW27" s="27" t="str">
        <f t="shared" si="37"/>
        <v/>
      </c>
      <c r="AX27" s="27" t="str">
        <f t="shared" si="38"/>
        <v/>
      </c>
      <c r="AY27" s="26" t="str">
        <f t="shared" si="39"/>
        <v/>
      </c>
      <c r="AZ27" s="31"/>
      <c r="BA27" s="26" t="str">
        <f t="shared" si="40"/>
        <v/>
      </c>
      <c r="BB27" s="27" t="str">
        <f t="shared" si="41"/>
        <v/>
      </c>
      <c r="BC27" s="27" t="str">
        <f t="shared" si="42"/>
        <v/>
      </c>
      <c r="BD27" s="26" t="str">
        <f t="shared" si="43"/>
        <v/>
      </c>
      <c r="BE27" s="27" t="str">
        <f t="shared" si="44"/>
        <v/>
      </c>
      <c r="BF27" s="27" t="str">
        <f t="shared" si="45"/>
        <v/>
      </c>
      <c r="BG27" s="26" t="str">
        <f t="shared" si="46"/>
        <v/>
      </c>
      <c r="BH27" s="26" t="str">
        <f t="shared" si="47"/>
        <v/>
      </c>
      <c r="BI27" s="26" t="str">
        <f t="shared" si="48"/>
        <v/>
      </c>
      <c r="BJ27" s="26" t="str">
        <f t="shared" si="49"/>
        <v/>
      </c>
      <c r="BK27" s="26" t="str">
        <f t="shared" si="50"/>
        <v/>
      </c>
      <c r="BL27" s="26" t="str">
        <f t="shared" si="51"/>
        <v/>
      </c>
      <c r="BM27" s="26" t="str">
        <f t="shared" si="52"/>
        <v/>
      </c>
      <c r="BN27" s="26" t="str">
        <f t="shared" si="53"/>
        <v/>
      </c>
      <c r="BO27" s="26" t="str">
        <f t="shared" si="54"/>
        <v/>
      </c>
      <c r="BP27" s="26" t="str">
        <f t="shared" si="55"/>
        <v/>
      </c>
      <c r="BQ27" s="26" t="str">
        <f t="shared" si="56"/>
        <v/>
      </c>
      <c r="BR27" s="32" t="str">
        <f t="shared" si="57"/>
        <v/>
      </c>
      <c r="BS27" s="27" t="str">
        <f t="shared" si="58"/>
        <v/>
      </c>
      <c r="BT27" s="32" t="str">
        <f t="shared" si="59"/>
        <v/>
      </c>
      <c r="BU27" s="27" t="str">
        <f t="shared" si="60"/>
        <v/>
      </c>
    </row>
    <row r="28" spans="1:73" x14ac:dyDescent="0.3">
      <c r="A28" s="22" t="str">
        <f>'📊 Исходные данные'!A27</f>
        <v>Мак изд Макфа Спирали 400г</v>
      </c>
      <c r="B28" s="23" t="str">
        <f>'📊 Исходные данные'!B27</f>
        <v>4601780006990</v>
      </c>
      <c r="C28" s="24">
        <f>'📊 Исходные данные'!C27</f>
        <v>49.51</v>
      </c>
      <c r="D28" s="24">
        <f>'📊 Исходные данные'!D27</f>
        <v>65</v>
      </c>
      <c r="E28" s="25" t="str">
        <f t="shared" si="0"/>
        <v>🟡 На уровне</v>
      </c>
      <c r="F28" s="26">
        <f>IFERROR(AVERAGE('📊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>65</v>
      </c>
      <c r="G28" s="26">
        <f>IFERROR(MEDIAN('📊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>64</v>
      </c>
      <c r="H28" s="26">
        <f>IFERROR(MIN('📊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>62</v>
      </c>
      <c r="I28" s="26">
        <f>IFERROR(MAX('📊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>68</v>
      </c>
      <c r="J28" s="27">
        <f t="shared" si="1"/>
        <v>0</v>
      </c>
      <c r="K28" s="27">
        <f t="shared" si="2"/>
        <v>1.5625E-2</v>
      </c>
      <c r="L28" s="27">
        <f t="shared" si="3"/>
        <v>4.8387096774193547E-2</v>
      </c>
      <c r="M28" s="28" t="str">
        <f>IFERROR(RANK(D28,('📊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данные'!K27)),"")</f>
        <v/>
      </c>
      <c r="N28" s="25" t="str">
        <f t="shared" si="4"/>
        <v>—</v>
      </c>
      <c r="O28" s="27">
        <f t="shared" si="5"/>
        <v>0.31286608765905882</v>
      </c>
      <c r="P28" s="27">
        <f t="shared" si="6"/>
        <v>0.23830769230769233</v>
      </c>
      <c r="Q28" s="26">
        <f t="shared" si="7"/>
        <v>15.490000000000002</v>
      </c>
      <c r="R28" s="25" t="str">
        <f t="shared" si="8"/>
        <v>🟢 Хорошая(&gt;20%)</v>
      </c>
      <c r="S28" s="25" t="str">
        <f t="shared" si="9"/>
        <v>🟢 НИЗКИЙ</v>
      </c>
      <c r="T28" s="29"/>
      <c r="U28" s="26" t="str">
        <f t="shared" si="10"/>
        <v/>
      </c>
      <c r="V28" s="26" t="str">
        <f t="shared" si="11"/>
        <v/>
      </c>
      <c r="W28" s="27" t="e">
        <f t="shared" si="12"/>
        <v>#VALUE!</v>
      </c>
      <c r="X28" s="26">
        <f t="shared" si="13"/>
        <v>65</v>
      </c>
      <c r="Y28" s="27">
        <f t="shared" si="14"/>
        <v>0.31286608765905882</v>
      </c>
      <c r="Z28" s="27">
        <f t="shared" si="15"/>
        <v>0.23830769230769233</v>
      </c>
      <c r="AA28" s="26">
        <f t="shared" si="16"/>
        <v>15.490000000000002</v>
      </c>
      <c r="AB28" s="27">
        <f t="shared" si="17"/>
        <v>0</v>
      </c>
      <c r="AC28" s="27">
        <f t="shared" si="18"/>
        <v>0</v>
      </c>
      <c r="AD28" s="26">
        <f t="shared" si="19"/>
        <v>0</v>
      </c>
      <c r="AE28" s="26">
        <f t="shared" si="20"/>
        <v>64</v>
      </c>
      <c r="AF28" s="27">
        <f t="shared" si="21"/>
        <v>0.29266814784891948</v>
      </c>
      <c r="AG28" s="27">
        <f t="shared" si="22"/>
        <v>0.22640625000000003</v>
      </c>
      <c r="AH28" s="26">
        <f t="shared" si="23"/>
        <v>14.490000000000002</v>
      </c>
      <c r="AI28" s="27">
        <f t="shared" si="24"/>
        <v>-1.5384615384615385E-2</v>
      </c>
      <c r="AJ28" s="27">
        <f t="shared" si="25"/>
        <v>-4.9941494512588731E-2</v>
      </c>
      <c r="AK28" s="26">
        <f t="shared" si="26"/>
        <v>-1</v>
      </c>
      <c r="AL28" s="26">
        <f t="shared" si="27"/>
        <v>62</v>
      </c>
      <c r="AM28" s="27">
        <f t="shared" si="28"/>
        <v>0.25227226822864074</v>
      </c>
      <c r="AN28" s="27">
        <f t="shared" si="29"/>
        <v>0.20145161290322583</v>
      </c>
      <c r="AO28" s="26">
        <f t="shared" si="30"/>
        <v>12.490000000000002</v>
      </c>
      <c r="AP28" s="27">
        <f t="shared" si="31"/>
        <v>-4.6153846153846156E-2</v>
      </c>
      <c r="AQ28" s="27">
        <f t="shared" si="32"/>
        <v>-0.15465753139382327</v>
      </c>
      <c r="AR28" s="26">
        <f t="shared" si="33"/>
        <v>-3</v>
      </c>
      <c r="AS28" s="30"/>
      <c r="AT28" s="27" t="str">
        <f t="shared" si="34"/>
        <v/>
      </c>
      <c r="AU28" s="27" t="str">
        <f t="shared" si="35"/>
        <v/>
      </c>
      <c r="AV28" s="26" t="str">
        <f t="shared" si="36"/>
        <v/>
      </c>
      <c r="AW28" s="27" t="str">
        <f t="shared" si="37"/>
        <v/>
      </c>
      <c r="AX28" s="27" t="str">
        <f t="shared" si="38"/>
        <v/>
      </c>
      <c r="AY28" s="26" t="str">
        <f t="shared" si="39"/>
        <v/>
      </c>
      <c r="AZ28" s="31"/>
      <c r="BA28" s="26" t="str">
        <f t="shared" si="40"/>
        <v/>
      </c>
      <c r="BB28" s="27" t="str">
        <f t="shared" si="41"/>
        <v/>
      </c>
      <c r="BC28" s="27" t="str">
        <f t="shared" si="42"/>
        <v/>
      </c>
      <c r="BD28" s="26" t="str">
        <f t="shared" si="43"/>
        <v/>
      </c>
      <c r="BE28" s="27" t="str">
        <f t="shared" si="44"/>
        <v/>
      </c>
      <c r="BF28" s="27" t="str">
        <f t="shared" si="45"/>
        <v/>
      </c>
      <c r="BG28" s="26" t="str">
        <f t="shared" si="46"/>
        <v/>
      </c>
      <c r="BH28" s="26" t="str">
        <f t="shared" si="47"/>
        <v/>
      </c>
      <c r="BI28" s="26" t="str">
        <f t="shared" si="48"/>
        <v/>
      </c>
      <c r="BJ28" s="26" t="str">
        <f t="shared" si="49"/>
        <v/>
      </c>
      <c r="BK28" s="26" t="str">
        <f t="shared" si="50"/>
        <v/>
      </c>
      <c r="BL28" s="26" t="str">
        <f t="shared" si="51"/>
        <v/>
      </c>
      <c r="BM28" s="26" t="str">
        <f t="shared" si="52"/>
        <v/>
      </c>
      <c r="BN28" s="26" t="str">
        <f t="shared" si="53"/>
        <v/>
      </c>
      <c r="BO28" s="26" t="str">
        <f t="shared" si="54"/>
        <v/>
      </c>
      <c r="BP28" s="26" t="str">
        <f t="shared" si="55"/>
        <v/>
      </c>
      <c r="BQ28" s="26" t="str">
        <f t="shared" si="56"/>
        <v/>
      </c>
      <c r="BR28" s="32" t="str">
        <f t="shared" si="57"/>
        <v/>
      </c>
      <c r="BS28" s="27" t="str">
        <f t="shared" si="58"/>
        <v/>
      </c>
      <c r="BT28" s="32" t="str">
        <f t="shared" si="59"/>
        <v/>
      </c>
      <c r="BU28" s="27" t="str">
        <f t="shared" si="60"/>
        <v/>
      </c>
    </row>
    <row r="29" spans="1:73" x14ac:dyDescent="0.3">
      <c r="A29" s="22" t="str">
        <f>'📊 Исходные данные'!A28</f>
        <v>Мука Макфа в/с 2кг</v>
      </c>
      <c r="B29" s="23" t="str">
        <f>'📊 Исходные данные'!B28</f>
        <v>4601780002565</v>
      </c>
      <c r="C29" s="24">
        <f>'📊 Исходные данные'!C28</f>
        <v>93</v>
      </c>
      <c r="D29" s="24">
        <f>'📊 Исходные данные'!D28</f>
        <v>119</v>
      </c>
      <c r="E29" s="25" t="str">
        <f t="shared" si="0"/>
        <v>🟢 Ниже рынка</v>
      </c>
      <c r="F29" s="26">
        <f>IFERROR(AVERAGE('📊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>130.19999999999999</v>
      </c>
      <c r="G29" s="26">
        <f>IFERROR(MEDIAN('📊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>139</v>
      </c>
      <c r="H29" s="26">
        <f>IFERROR(MIN('📊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>107</v>
      </c>
      <c r="I29" s="26">
        <f>IFERROR(MAX('📊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>157</v>
      </c>
      <c r="J29" s="27">
        <f t="shared" si="1"/>
        <v>-8.602150537634401E-2</v>
      </c>
      <c r="K29" s="27">
        <f t="shared" si="2"/>
        <v>-0.14388489208633093</v>
      </c>
      <c r="L29" s="27">
        <f t="shared" si="3"/>
        <v>0.11214953271028037</v>
      </c>
      <c r="M29" s="28" t="str">
        <f>IFERROR(RANK(D29,('📊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данные'!K28)),"")</f>
        <v/>
      </c>
      <c r="N29" s="25" t="str">
        <f t="shared" si="4"/>
        <v>—</v>
      </c>
      <c r="O29" s="27">
        <f t="shared" si="5"/>
        <v>0.27956989247311825</v>
      </c>
      <c r="P29" s="27">
        <f t="shared" si="6"/>
        <v>0.21848739495798319</v>
      </c>
      <c r="Q29" s="26">
        <f t="shared" si="7"/>
        <v>26</v>
      </c>
      <c r="R29" s="25" t="str">
        <f t="shared" si="8"/>
        <v>🟢 Хорошая(&gt;20%)</v>
      </c>
      <c r="S29" s="25" t="str">
        <f t="shared" si="9"/>
        <v>🟡 УМЕРЕННЫЙ</v>
      </c>
      <c r="T29" s="29"/>
      <c r="U29" s="26" t="str">
        <f t="shared" si="10"/>
        <v/>
      </c>
      <c r="V29" s="26" t="str">
        <f t="shared" si="11"/>
        <v/>
      </c>
      <c r="W29" s="27" t="e">
        <f t="shared" si="12"/>
        <v>#VALUE!</v>
      </c>
      <c r="X29" s="26">
        <f t="shared" si="13"/>
        <v>130.19999999999999</v>
      </c>
      <c r="Y29" s="27">
        <f t="shared" si="14"/>
        <v>0.39999999999999986</v>
      </c>
      <c r="Z29" s="27">
        <f t="shared" si="15"/>
        <v>0.28571428571428564</v>
      </c>
      <c r="AA29" s="26">
        <f t="shared" si="16"/>
        <v>37.199999999999989</v>
      </c>
      <c r="AB29" s="27">
        <f t="shared" si="17"/>
        <v>9.4117647058823431E-2</v>
      </c>
      <c r="AC29" s="27">
        <f t="shared" si="18"/>
        <v>0.30769230769230738</v>
      </c>
      <c r="AD29" s="26">
        <f t="shared" si="19"/>
        <v>11.199999999999989</v>
      </c>
      <c r="AE29" s="26">
        <f t="shared" si="20"/>
        <v>139</v>
      </c>
      <c r="AF29" s="27">
        <f t="shared" si="21"/>
        <v>0.4946236559139785</v>
      </c>
      <c r="AG29" s="27">
        <f t="shared" si="22"/>
        <v>0.33093525179856115</v>
      </c>
      <c r="AH29" s="26">
        <f t="shared" si="23"/>
        <v>46</v>
      </c>
      <c r="AI29" s="27">
        <f t="shared" si="24"/>
        <v>0.16806722689075632</v>
      </c>
      <c r="AJ29" s="27">
        <f t="shared" si="25"/>
        <v>0.51466519092418372</v>
      </c>
      <c r="AK29" s="26">
        <f t="shared" si="26"/>
        <v>20</v>
      </c>
      <c r="AL29" s="26">
        <f t="shared" si="27"/>
        <v>107</v>
      </c>
      <c r="AM29" s="27">
        <f t="shared" si="28"/>
        <v>0.15053763440860216</v>
      </c>
      <c r="AN29" s="27">
        <f t="shared" si="29"/>
        <v>0.13084112149532709</v>
      </c>
      <c r="AO29" s="26">
        <f t="shared" si="30"/>
        <v>14</v>
      </c>
      <c r="AP29" s="27">
        <f t="shared" si="31"/>
        <v>-0.10084033613445378</v>
      </c>
      <c r="AQ29" s="27">
        <f t="shared" si="32"/>
        <v>-0.40115025161754142</v>
      </c>
      <c r="AR29" s="26">
        <f t="shared" si="33"/>
        <v>-12</v>
      </c>
      <c r="AS29" s="30"/>
      <c r="AT29" s="27" t="str">
        <f t="shared" si="34"/>
        <v/>
      </c>
      <c r="AU29" s="27" t="str">
        <f t="shared" si="35"/>
        <v/>
      </c>
      <c r="AV29" s="26" t="str">
        <f t="shared" si="36"/>
        <v/>
      </c>
      <c r="AW29" s="27" t="str">
        <f t="shared" si="37"/>
        <v/>
      </c>
      <c r="AX29" s="27" t="str">
        <f t="shared" si="38"/>
        <v/>
      </c>
      <c r="AY29" s="26" t="str">
        <f t="shared" si="39"/>
        <v/>
      </c>
      <c r="AZ29" s="31"/>
      <c r="BA29" s="26" t="str">
        <f t="shared" si="40"/>
        <v/>
      </c>
      <c r="BB29" s="27" t="str">
        <f t="shared" si="41"/>
        <v/>
      </c>
      <c r="BC29" s="27" t="str">
        <f t="shared" si="42"/>
        <v/>
      </c>
      <c r="BD29" s="26" t="str">
        <f t="shared" si="43"/>
        <v/>
      </c>
      <c r="BE29" s="27" t="str">
        <f t="shared" si="44"/>
        <v/>
      </c>
      <c r="BF29" s="27" t="str">
        <f t="shared" si="45"/>
        <v/>
      </c>
      <c r="BG29" s="26" t="str">
        <f t="shared" si="46"/>
        <v/>
      </c>
      <c r="BH29" s="26" t="str">
        <f t="shared" si="47"/>
        <v/>
      </c>
      <c r="BI29" s="26" t="str">
        <f t="shared" si="48"/>
        <v/>
      </c>
      <c r="BJ29" s="26" t="str">
        <f t="shared" si="49"/>
        <v/>
      </c>
      <c r="BK29" s="26" t="str">
        <f t="shared" si="50"/>
        <v/>
      </c>
      <c r="BL29" s="26" t="str">
        <f t="shared" si="51"/>
        <v/>
      </c>
      <c r="BM29" s="26" t="str">
        <f t="shared" si="52"/>
        <v/>
      </c>
      <c r="BN29" s="26" t="str">
        <f t="shared" si="53"/>
        <v/>
      </c>
      <c r="BO29" s="26" t="str">
        <f t="shared" si="54"/>
        <v/>
      </c>
      <c r="BP29" s="26" t="str">
        <f t="shared" si="55"/>
        <v/>
      </c>
      <c r="BQ29" s="26" t="str">
        <f t="shared" si="56"/>
        <v/>
      </c>
      <c r="BR29" s="32" t="str">
        <f t="shared" si="57"/>
        <v/>
      </c>
      <c r="BS29" s="27" t="str">
        <f t="shared" si="58"/>
        <v/>
      </c>
      <c r="BT29" s="32" t="str">
        <f t="shared" si="59"/>
        <v/>
      </c>
      <c r="BU29" s="27" t="str">
        <f t="shared" si="60"/>
        <v/>
      </c>
    </row>
    <row r="30" spans="1:73" x14ac:dyDescent="0.3">
      <c r="A30" s="22" t="str">
        <f>'📊 Исходные данные'!A29</f>
        <v>Мука Снежана в/с 2кг</v>
      </c>
      <c r="B30" s="23" t="str">
        <f>'📊 Исходные данные'!B29</f>
        <v>1905000299036</v>
      </c>
      <c r="C30" s="24">
        <f>'📊 Исходные данные'!C29</f>
        <v>83.16</v>
      </c>
      <c r="D30" s="24">
        <f>'📊 Исходные данные'!D29</f>
        <v>99</v>
      </c>
      <c r="E30" s="25" t="str">
        <f t="shared" si="0"/>
        <v>🟢 Ниже рынка</v>
      </c>
      <c r="F30" s="26">
        <f>IFERROR(AVERAGE('📊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>106</v>
      </c>
      <c r="G30" s="26">
        <f>IFERROR(MEDIAN('📊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>109</v>
      </c>
      <c r="H30" s="26">
        <f>IFERROR(MIN('📊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>90</v>
      </c>
      <c r="I30" s="26">
        <f>IFERROR(MAX('📊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>116</v>
      </c>
      <c r="J30" s="27">
        <f t="shared" si="1"/>
        <v>-6.6037735849056603E-2</v>
      </c>
      <c r="K30" s="27">
        <f t="shared" si="2"/>
        <v>-9.1743119266055051E-2</v>
      </c>
      <c r="L30" s="27">
        <f t="shared" si="3"/>
        <v>0.1</v>
      </c>
      <c r="M30" s="28" t="str">
        <f>IFERROR(RANK(D30,('📊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данные'!K29)),"")</f>
        <v/>
      </c>
      <c r="N30" s="25" t="str">
        <f t="shared" si="4"/>
        <v>—</v>
      </c>
      <c r="O30" s="27">
        <f t="shared" si="5"/>
        <v>0.19047619047619052</v>
      </c>
      <c r="P30" s="27">
        <f t="shared" si="6"/>
        <v>0.16000000000000003</v>
      </c>
      <c r="Q30" s="26">
        <f t="shared" si="7"/>
        <v>15.840000000000003</v>
      </c>
      <c r="R30" s="25" t="str">
        <f t="shared" si="8"/>
        <v>🟡 Средняя(10-20%)</v>
      </c>
      <c r="S30" s="25" t="str">
        <f t="shared" si="9"/>
        <v>🟡 УМЕРЕННЫЙ</v>
      </c>
      <c r="T30" s="29"/>
      <c r="U30" s="26" t="str">
        <f t="shared" si="10"/>
        <v/>
      </c>
      <c r="V30" s="26" t="str">
        <f t="shared" si="11"/>
        <v/>
      </c>
      <c r="W30" s="27" t="e">
        <f t="shared" si="12"/>
        <v>#VALUE!</v>
      </c>
      <c r="X30" s="26">
        <f t="shared" si="13"/>
        <v>106</v>
      </c>
      <c r="Y30" s="27">
        <f t="shared" si="14"/>
        <v>0.2746512746512747</v>
      </c>
      <c r="Z30" s="27">
        <f t="shared" si="15"/>
        <v>0.21547169811320757</v>
      </c>
      <c r="AA30" s="26">
        <f t="shared" si="16"/>
        <v>22.840000000000003</v>
      </c>
      <c r="AB30" s="27">
        <f t="shared" si="17"/>
        <v>7.0707070707070704E-2</v>
      </c>
      <c r="AC30" s="27">
        <f t="shared" si="18"/>
        <v>0.34669811320754707</v>
      </c>
      <c r="AD30" s="26">
        <f t="shared" si="19"/>
        <v>7</v>
      </c>
      <c r="AE30" s="26">
        <f t="shared" si="20"/>
        <v>109</v>
      </c>
      <c r="AF30" s="27">
        <f t="shared" si="21"/>
        <v>0.31072631072631079</v>
      </c>
      <c r="AG30" s="27">
        <f t="shared" si="22"/>
        <v>0.23706422018348627</v>
      </c>
      <c r="AH30" s="26">
        <f t="shared" si="23"/>
        <v>25.840000000000003</v>
      </c>
      <c r="AI30" s="27">
        <f t="shared" si="24"/>
        <v>0.10101010101010101</v>
      </c>
      <c r="AJ30" s="27">
        <f t="shared" si="25"/>
        <v>0.48165137614678893</v>
      </c>
      <c r="AK30" s="26">
        <f t="shared" si="26"/>
        <v>10</v>
      </c>
      <c r="AL30" s="26">
        <f t="shared" si="27"/>
        <v>90</v>
      </c>
      <c r="AM30" s="27">
        <f t="shared" si="28"/>
        <v>8.2251082251082297E-2</v>
      </c>
      <c r="AN30" s="27">
        <f t="shared" si="29"/>
        <v>7.600000000000004E-2</v>
      </c>
      <c r="AO30" s="26">
        <f t="shared" si="30"/>
        <v>6.8400000000000034</v>
      </c>
      <c r="AP30" s="27">
        <f t="shared" si="31"/>
        <v>-9.0909090909090912E-2</v>
      </c>
      <c r="AQ30" s="27">
        <f t="shared" si="32"/>
        <v>-0.5249999999999998</v>
      </c>
      <c r="AR30" s="26">
        <f t="shared" si="33"/>
        <v>-9</v>
      </c>
      <c r="AS30" s="30"/>
      <c r="AT30" s="27" t="str">
        <f t="shared" si="34"/>
        <v/>
      </c>
      <c r="AU30" s="27" t="str">
        <f t="shared" si="35"/>
        <v/>
      </c>
      <c r="AV30" s="26" t="str">
        <f t="shared" si="36"/>
        <v/>
      </c>
      <c r="AW30" s="27" t="str">
        <f t="shared" si="37"/>
        <v/>
      </c>
      <c r="AX30" s="27" t="str">
        <f t="shared" si="38"/>
        <v/>
      </c>
      <c r="AY30" s="26" t="str">
        <f t="shared" si="39"/>
        <v/>
      </c>
      <c r="AZ30" s="31"/>
      <c r="BA30" s="26" t="str">
        <f t="shared" si="40"/>
        <v/>
      </c>
      <c r="BB30" s="27" t="str">
        <f t="shared" si="41"/>
        <v/>
      </c>
      <c r="BC30" s="27" t="str">
        <f t="shared" si="42"/>
        <v/>
      </c>
      <c r="BD30" s="26" t="str">
        <f t="shared" si="43"/>
        <v/>
      </c>
      <c r="BE30" s="27" t="str">
        <f t="shared" si="44"/>
        <v/>
      </c>
      <c r="BF30" s="27" t="str">
        <f t="shared" si="45"/>
        <v/>
      </c>
      <c r="BG30" s="26" t="str">
        <f t="shared" si="46"/>
        <v/>
      </c>
      <c r="BH30" s="26" t="str">
        <f t="shared" si="47"/>
        <v/>
      </c>
      <c r="BI30" s="26" t="str">
        <f t="shared" si="48"/>
        <v/>
      </c>
      <c r="BJ30" s="26" t="str">
        <f t="shared" si="49"/>
        <v/>
      </c>
      <c r="BK30" s="26" t="str">
        <f t="shared" si="50"/>
        <v/>
      </c>
      <c r="BL30" s="26" t="str">
        <f t="shared" si="51"/>
        <v/>
      </c>
      <c r="BM30" s="26" t="str">
        <f t="shared" si="52"/>
        <v/>
      </c>
      <c r="BN30" s="26" t="str">
        <f t="shared" si="53"/>
        <v/>
      </c>
      <c r="BO30" s="26" t="str">
        <f t="shared" si="54"/>
        <v/>
      </c>
      <c r="BP30" s="26" t="str">
        <f t="shared" si="55"/>
        <v/>
      </c>
      <c r="BQ30" s="26" t="str">
        <f t="shared" si="56"/>
        <v/>
      </c>
      <c r="BR30" s="32" t="str">
        <f t="shared" si="57"/>
        <v/>
      </c>
      <c r="BS30" s="27" t="str">
        <f t="shared" si="58"/>
        <v/>
      </c>
      <c r="BT30" s="32" t="str">
        <f t="shared" si="59"/>
        <v/>
      </c>
      <c r="BU30" s="27" t="str">
        <f t="shared" si="60"/>
        <v/>
      </c>
    </row>
    <row r="31" spans="1:73" x14ac:dyDescent="0.3">
      <c r="A31" s="22" t="str">
        <f>'📊 Исходные данные'!A30</f>
        <v>Рис Агроальянс для плова 900г</v>
      </c>
      <c r="B31" s="23" t="str">
        <f>'📊 Исходные данные'!B30</f>
        <v>4607072711535</v>
      </c>
      <c r="C31" s="24">
        <f>'📊 Исходные данные'!C30</f>
        <v>116.5</v>
      </c>
      <c r="D31" s="24">
        <f>'📊 Исходные данные'!D30</f>
        <v>135</v>
      </c>
      <c r="E31" s="25" t="str">
        <f t="shared" si="0"/>
        <v>🟢 Ниже рынка</v>
      </c>
      <c r="F31" s="26">
        <f>IFERROR(AVERAGE('📊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>181.33333333333334</v>
      </c>
      <c r="G31" s="26">
        <f>IFERROR(MEDIAN('📊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>197</v>
      </c>
      <c r="H31" s="26">
        <f>IFERROR(MIN('📊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>145</v>
      </c>
      <c r="I31" s="26">
        <f>IFERROR(MAX('📊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>202</v>
      </c>
      <c r="J31" s="27">
        <f t="shared" si="1"/>
        <v>-0.25551470588235298</v>
      </c>
      <c r="K31" s="27">
        <f t="shared" si="2"/>
        <v>-0.31472081218274112</v>
      </c>
      <c r="L31" s="27">
        <f t="shared" si="3"/>
        <v>-6.8965517241379309E-2</v>
      </c>
      <c r="M31" s="28" t="str">
        <f>IFERROR(RANK(D31,('📊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данные'!K30)),"")</f>
        <v/>
      </c>
      <c r="N31" s="25" t="str">
        <f t="shared" si="4"/>
        <v>—</v>
      </c>
      <c r="O31" s="27">
        <f t="shared" si="5"/>
        <v>0.15879828326180256</v>
      </c>
      <c r="P31" s="27">
        <f t="shared" si="6"/>
        <v>0.13703703703703704</v>
      </c>
      <c r="Q31" s="26">
        <f t="shared" si="7"/>
        <v>18.5</v>
      </c>
      <c r="R31" s="25" t="str">
        <f t="shared" si="8"/>
        <v>🟡 Средняя(10-20%)</v>
      </c>
      <c r="S31" s="25" t="str">
        <f t="shared" si="9"/>
        <v>🟢 НИЗКИЙ</v>
      </c>
      <c r="T31" s="29"/>
      <c r="U31" s="26" t="str">
        <f t="shared" si="10"/>
        <v/>
      </c>
      <c r="V31" s="26" t="str">
        <f t="shared" si="11"/>
        <v/>
      </c>
      <c r="W31" s="27" t="e">
        <f t="shared" si="12"/>
        <v>#VALUE!</v>
      </c>
      <c r="X31" s="26">
        <f t="shared" si="13"/>
        <v>181.33333333333334</v>
      </c>
      <c r="Y31" s="27">
        <f t="shared" si="14"/>
        <v>0.55650929899856949</v>
      </c>
      <c r="Z31" s="27">
        <f t="shared" si="15"/>
        <v>0.35753676470588236</v>
      </c>
      <c r="AA31" s="26">
        <f t="shared" si="16"/>
        <v>64.833333333333343</v>
      </c>
      <c r="AB31" s="27">
        <f t="shared" si="17"/>
        <v>0.34320987654320995</v>
      </c>
      <c r="AC31" s="27">
        <f t="shared" si="18"/>
        <v>1.6090520667726549</v>
      </c>
      <c r="AD31" s="26">
        <f t="shared" si="19"/>
        <v>46.333333333333343</v>
      </c>
      <c r="AE31" s="26">
        <f t="shared" si="20"/>
        <v>197</v>
      </c>
      <c r="AF31" s="27">
        <f t="shared" si="21"/>
        <v>0.69098712446351929</v>
      </c>
      <c r="AG31" s="27">
        <f t="shared" si="22"/>
        <v>0.40862944162436549</v>
      </c>
      <c r="AH31" s="26">
        <f t="shared" si="23"/>
        <v>80.5</v>
      </c>
      <c r="AI31" s="27">
        <f t="shared" si="24"/>
        <v>0.45925925925925926</v>
      </c>
      <c r="AJ31" s="27">
        <f t="shared" si="25"/>
        <v>1.9818905199615862</v>
      </c>
      <c r="AK31" s="26">
        <f t="shared" si="26"/>
        <v>62</v>
      </c>
      <c r="AL31" s="26">
        <f t="shared" si="27"/>
        <v>145</v>
      </c>
      <c r="AM31" s="27">
        <f t="shared" si="28"/>
        <v>0.24463519313304721</v>
      </c>
      <c r="AN31" s="27">
        <f t="shared" si="29"/>
        <v>0.19655172413793104</v>
      </c>
      <c r="AO31" s="26">
        <f t="shared" si="30"/>
        <v>28.5</v>
      </c>
      <c r="AP31" s="27">
        <f t="shared" si="31"/>
        <v>7.407407407407407E-2</v>
      </c>
      <c r="AQ31" s="27">
        <f t="shared" si="32"/>
        <v>0.43429636533084809</v>
      </c>
      <c r="AR31" s="26">
        <f t="shared" si="33"/>
        <v>10</v>
      </c>
      <c r="AS31" s="30"/>
      <c r="AT31" s="27" t="str">
        <f t="shared" si="34"/>
        <v/>
      </c>
      <c r="AU31" s="27" t="str">
        <f t="shared" si="35"/>
        <v/>
      </c>
      <c r="AV31" s="26" t="str">
        <f t="shared" si="36"/>
        <v/>
      </c>
      <c r="AW31" s="27" t="str">
        <f t="shared" si="37"/>
        <v/>
      </c>
      <c r="AX31" s="27" t="str">
        <f t="shared" si="38"/>
        <v/>
      </c>
      <c r="AY31" s="26" t="str">
        <f t="shared" si="39"/>
        <v/>
      </c>
      <c r="AZ31" s="31"/>
      <c r="BA31" s="26" t="str">
        <f t="shared" si="40"/>
        <v/>
      </c>
      <c r="BB31" s="27" t="str">
        <f t="shared" si="41"/>
        <v/>
      </c>
      <c r="BC31" s="27" t="str">
        <f t="shared" si="42"/>
        <v/>
      </c>
      <c r="BD31" s="26" t="str">
        <f t="shared" si="43"/>
        <v/>
      </c>
      <c r="BE31" s="27" t="str">
        <f t="shared" si="44"/>
        <v/>
      </c>
      <c r="BF31" s="27" t="str">
        <f t="shared" si="45"/>
        <v/>
      </c>
      <c r="BG31" s="26" t="str">
        <f t="shared" si="46"/>
        <v/>
      </c>
      <c r="BH31" s="26" t="str">
        <f t="shared" si="47"/>
        <v/>
      </c>
      <c r="BI31" s="26" t="str">
        <f t="shared" si="48"/>
        <v/>
      </c>
      <c r="BJ31" s="26" t="str">
        <f t="shared" si="49"/>
        <v/>
      </c>
      <c r="BK31" s="26" t="str">
        <f t="shared" si="50"/>
        <v/>
      </c>
      <c r="BL31" s="26" t="str">
        <f t="shared" si="51"/>
        <v/>
      </c>
      <c r="BM31" s="26" t="str">
        <f t="shared" si="52"/>
        <v/>
      </c>
      <c r="BN31" s="26" t="str">
        <f t="shared" si="53"/>
        <v/>
      </c>
      <c r="BO31" s="26" t="str">
        <f t="shared" si="54"/>
        <v/>
      </c>
      <c r="BP31" s="26" t="str">
        <f t="shared" si="55"/>
        <v/>
      </c>
      <c r="BQ31" s="26" t="str">
        <f t="shared" si="56"/>
        <v/>
      </c>
      <c r="BR31" s="32" t="str">
        <f t="shared" si="57"/>
        <v/>
      </c>
      <c r="BS31" s="27" t="str">
        <f t="shared" si="58"/>
        <v/>
      </c>
      <c r="BT31" s="32" t="str">
        <f t="shared" si="59"/>
        <v/>
      </c>
      <c r="BU31" s="27" t="str">
        <f t="shared" si="60"/>
        <v/>
      </c>
    </row>
    <row r="32" spans="1:73" x14ac:dyDescent="0.3">
      <c r="A32" s="22" t="str">
        <f>'📊 Исходные данные'!A31</f>
        <v>Рис Дарман шлифованный Премиум 2кг</v>
      </c>
      <c r="B32" s="23" t="str">
        <f>'📊 Исходные данные'!B31</f>
        <v>4607157483784</v>
      </c>
      <c r="C32" s="24">
        <f>'📊 Исходные данные'!C31</f>
        <v>240</v>
      </c>
      <c r="D32" s="24">
        <f>'📊 Исходные данные'!D31</f>
        <v>299</v>
      </c>
      <c r="E32" s="25" t="str">
        <f t="shared" si="0"/>
        <v>🟡 На уровне</v>
      </c>
      <c r="F32" s="26">
        <f>IFERROR(AVERAGE('📊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>289.33333333333331</v>
      </c>
      <c r="G32" s="26">
        <f>IFERROR(MEDIAN('📊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>293</v>
      </c>
      <c r="H32" s="26">
        <f>IFERROR(MIN('📊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>265</v>
      </c>
      <c r="I32" s="26">
        <f>IFERROR(MAX('📊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>310</v>
      </c>
      <c r="J32" s="27">
        <f t="shared" si="1"/>
        <v>3.3410138248847997E-2</v>
      </c>
      <c r="K32" s="27">
        <f t="shared" si="2"/>
        <v>2.0477815699658702E-2</v>
      </c>
      <c r="L32" s="27">
        <f t="shared" si="3"/>
        <v>0.12830188679245283</v>
      </c>
      <c r="M32" s="28" t="str">
        <f>IFERROR(RANK(D32,('📊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данные'!K31)),"")</f>
        <v/>
      </c>
      <c r="N32" s="25" t="str">
        <f t="shared" si="4"/>
        <v>—</v>
      </c>
      <c r="O32" s="27">
        <f t="shared" si="5"/>
        <v>0.24583333333333332</v>
      </c>
      <c r="P32" s="27">
        <f t="shared" si="6"/>
        <v>0.19732441471571907</v>
      </c>
      <c r="Q32" s="26">
        <f t="shared" si="7"/>
        <v>59</v>
      </c>
      <c r="R32" s="25" t="str">
        <f t="shared" si="8"/>
        <v>🟡 Средняя(10-20%)</v>
      </c>
      <c r="S32" s="25" t="str">
        <f t="shared" si="9"/>
        <v>🟡 УМЕРЕННЫЙ</v>
      </c>
      <c r="T32" s="29"/>
      <c r="U32" s="26" t="str">
        <f t="shared" si="10"/>
        <v/>
      </c>
      <c r="V32" s="26" t="str">
        <f t="shared" si="11"/>
        <v/>
      </c>
      <c r="W32" s="27" t="e">
        <f t="shared" si="12"/>
        <v>#VALUE!</v>
      </c>
      <c r="X32" s="26">
        <f t="shared" si="13"/>
        <v>289.33333333333331</v>
      </c>
      <c r="Y32" s="27">
        <f t="shared" si="14"/>
        <v>0.20555555555555546</v>
      </c>
      <c r="Z32" s="27">
        <f t="shared" si="15"/>
        <v>0.17050691244239627</v>
      </c>
      <c r="AA32" s="26">
        <f t="shared" si="16"/>
        <v>49.333333333333314</v>
      </c>
      <c r="AB32" s="27">
        <f t="shared" si="17"/>
        <v>-3.2329988851728046E-2</v>
      </c>
      <c r="AC32" s="27">
        <f t="shared" si="18"/>
        <v>-0.13590564711395792</v>
      </c>
      <c r="AD32" s="26">
        <f t="shared" si="19"/>
        <v>-9.6666666666666856</v>
      </c>
      <c r="AE32" s="26">
        <f t="shared" si="20"/>
        <v>293</v>
      </c>
      <c r="AF32" s="27">
        <f t="shared" si="21"/>
        <v>0.22083333333333333</v>
      </c>
      <c r="AG32" s="27">
        <f t="shared" si="22"/>
        <v>0.18088737201365188</v>
      </c>
      <c r="AH32" s="26">
        <f t="shared" si="23"/>
        <v>53</v>
      </c>
      <c r="AI32" s="27">
        <f t="shared" si="24"/>
        <v>-2.0066889632107024E-2</v>
      </c>
      <c r="AJ32" s="27">
        <f t="shared" si="25"/>
        <v>-8.3299589286747314E-2</v>
      </c>
      <c r="AK32" s="26">
        <f t="shared" si="26"/>
        <v>-6</v>
      </c>
      <c r="AL32" s="26">
        <f t="shared" si="27"/>
        <v>265</v>
      </c>
      <c r="AM32" s="27">
        <f t="shared" si="28"/>
        <v>0.10416666666666667</v>
      </c>
      <c r="AN32" s="27">
        <f t="shared" si="29"/>
        <v>9.4339622641509441E-2</v>
      </c>
      <c r="AO32" s="26">
        <f t="shared" si="30"/>
        <v>25</v>
      </c>
      <c r="AP32" s="27">
        <f t="shared" si="31"/>
        <v>-0.11371237458193979</v>
      </c>
      <c r="AQ32" s="27">
        <f t="shared" si="32"/>
        <v>-0.52190598017268941</v>
      </c>
      <c r="AR32" s="26">
        <f t="shared" si="33"/>
        <v>-34</v>
      </c>
      <c r="AS32" s="30"/>
      <c r="AT32" s="27" t="str">
        <f t="shared" si="34"/>
        <v/>
      </c>
      <c r="AU32" s="27" t="str">
        <f t="shared" si="35"/>
        <v/>
      </c>
      <c r="AV32" s="26" t="str">
        <f t="shared" si="36"/>
        <v/>
      </c>
      <c r="AW32" s="27" t="str">
        <f t="shared" si="37"/>
        <v/>
      </c>
      <c r="AX32" s="27" t="str">
        <f t="shared" si="38"/>
        <v/>
      </c>
      <c r="AY32" s="26" t="str">
        <f t="shared" si="39"/>
        <v/>
      </c>
      <c r="AZ32" s="31"/>
      <c r="BA32" s="26" t="str">
        <f t="shared" si="40"/>
        <v/>
      </c>
      <c r="BB32" s="27" t="str">
        <f t="shared" si="41"/>
        <v/>
      </c>
      <c r="BC32" s="27" t="str">
        <f t="shared" si="42"/>
        <v/>
      </c>
      <c r="BD32" s="26" t="str">
        <f t="shared" si="43"/>
        <v/>
      </c>
      <c r="BE32" s="27" t="str">
        <f t="shared" si="44"/>
        <v/>
      </c>
      <c r="BF32" s="27" t="str">
        <f t="shared" si="45"/>
        <v/>
      </c>
      <c r="BG32" s="26" t="str">
        <f t="shared" si="46"/>
        <v/>
      </c>
      <c r="BH32" s="26" t="str">
        <f t="shared" si="47"/>
        <v/>
      </c>
      <c r="BI32" s="26" t="str">
        <f t="shared" si="48"/>
        <v/>
      </c>
      <c r="BJ32" s="26" t="str">
        <f t="shared" si="49"/>
        <v/>
      </c>
      <c r="BK32" s="26" t="str">
        <f t="shared" si="50"/>
        <v/>
      </c>
      <c r="BL32" s="26" t="str">
        <f t="shared" si="51"/>
        <v/>
      </c>
      <c r="BM32" s="26" t="str">
        <f t="shared" si="52"/>
        <v/>
      </c>
      <c r="BN32" s="26" t="str">
        <f t="shared" si="53"/>
        <v/>
      </c>
      <c r="BO32" s="26" t="str">
        <f t="shared" si="54"/>
        <v/>
      </c>
      <c r="BP32" s="26" t="str">
        <f t="shared" si="55"/>
        <v/>
      </c>
      <c r="BQ32" s="26" t="str">
        <f t="shared" si="56"/>
        <v/>
      </c>
      <c r="BR32" s="32" t="str">
        <f t="shared" si="57"/>
        <v/>
      </c>
      <c r="BS32" s="27" t="str">
        <f t="shared" si="58"/>
        <v/>
      </c>
      <c r="BT32" s="32" t="str">
        <f t="shared" si="59"/>
        <v/>
      </c>
      <c r="BU32" s="27" t="str">
        <f t="shared" si="60"/>
        <v/>
      </c>
    </row>
    <row r="33" spans="1:73" x14ac:dyDescent="0.3">
      <c r="A33" s="22" t="str">
        <f>'📊 Исходные данные'!A32</f>
        <v>Рис Дарман шлифованный Экстра 800г</v>
      </c>
      <c r="B33" s="23" t="str">
        <f>'📊 Исходные данные'!B32</f>
        <v>4607157483029</v>
      </c>
      <c r="C33" s="24">
        <f>'📊 Исходные данные'!C32</f>
        <v>91.5</v>
      </c>
      <c r="D33" s="24">
        <f>'📊 Исходные данные'!D32</f>
        <v>115</v>
      </c>
      <c r="E33" s="25" t="str">
        <f t="shared" si="0"/>
        <v>🟡 На уровне</v>
      </c>
      <c r="F33" s="26">
        <f>IFERROR(AVERAGE('📊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>116.5</v>
      </c>
      <c r="G33" s="26">
        <f>IFERROR(MEDIAN('📊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>116.5</v>
      </c>
      <c r="H33" s="26">
        <f>IFERROR(MIN('📊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>110</v>
      </c>
      <c r="I33" s="26">
        <f>IFERROR(MAX('📊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>123</v>
      </c>
      <c r="J33" s="27">
        <f t="shared" si="1"/>
        <v>-1.2875536480686695E-2</v>
      </c>
      <c r="K33" s="27">
        <f t="shared" si="2"/>
        <v>-1.2875536480686695E-2</v>
      </c>
      <c r="L33" s="27">
        <f t="shared" si="3"/>
        <v>4.5454545454545456E-2</v>
      </c>
      <c r="M33" s="28" t="str">
        <f>IFERROR(RANK(D33,('📊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данные'!K32)),"")</f>
        <v/>
      </c>
      <c r="N33" s="25" t="str">
        <f t="shared" si="4"/>
        <v>—</v>
      </c>
      <c r="O33" s="27">
        <f t="shared" si="5"/>
        <v>0.25683060109289618</v>
      </c>
      <c r="P33" s="27">
        <f t="shared" si="6"/>
        <v>0.20434782608695654</v>
      </c>
      <c r="Q33" s="26">
        <f t="shared" si="7"/>
        <v>23.5</v>
      </c>
      <c r="R33" s="25" t="str">
        <f t="shared" si="8"/>
        <v>🟢 Хорошая(&gt;20%)</v>
      </c>
      <c r="S33" s="25" t="str">
        <f t="shared" si="9"/>
        <v>🟢 НИЗКИЙ</v>
      </c>
      <c r="T33" s="29"/>
      <c r="U33" s="26" t="str">
        <f t="shared" si="10"/>
        <v/>
      </c>
      <c r="V33" s="26" t="str">
        <f t="shared" si="11"/>
        <v/>
      </c>
      <c r="W33" s="27" t="e">
        <f t="shared" si="12"/>
        <v>#VALUE!</v>
      </c>
      <c r="X33" s="26">
        <f t="shared" si="13"/>
        <v>116.5</v>
      </c>
      <c r="Y33" s="27">
        <f t="shared" si="14"/>
        <v>0.27322404371584702</v>
      </c>
      <c r="Z33" s="27">
        <f t="shared" si="15"/>
        <v>0.21459227467811159</v>
      </c>
      <c r="AA33" s="26">
        <f t="shared" si="16"/>
        <v>25</v>
      </c>
      <c r="AB33" s="27">
        <f t="shared" si="17"/>
        <v>1.3043478260869565E-2</v>
      </c>
      <c r="AC33" s="27">
        <f t="shared" si="18"/>
        <v>5.0132407999269435E-2</v>
      </c>
      <c r="AD33" s="26">
        <f t="shared" si="19"/>
        <v>1.5</v>
      </c>
      <c r="AE33" s="26">
        <f t="shared" si="20"/>
        <v>116.5</v>
      </c>
      <c r="AF33" s="27">
        <f t="shared" si="21"/>
        <v>0.27322404371584702</v>
      </c>
      <c r="AG33" s="27">
        <f t="shared" si="22"/>
        <v>0.21459227467811159</v>
      </c>
      <c r="AH33" s="26">
        <f t="shared" si="23"/>
        <v>25</v>
      </c>
      <c r="AI33" s="27">
        <f t="shared" si="24"/>
        <v>1.3043478260869565E-2</v>
      </c>
      <c r="AJ33" s="27">
        <f t="shared" si="25"/>
        <v>5.0132407999269435E-2</v>
      </c>
      <c r="AK33" s="26">
        <f t="shared" si="26"/>
        <v>1.5</v>
      </c>
      <c r="AL33" s="26">
        <f t="shared" si="27"/>
        <v>110</v>
      </c>
      <c r="AM33" s="27">
        <f t="shared" si="28"/>
        <v>0.20218579234972678</v>
      </c>
      <c r="AN33" s="27">
        <f t="shared" si="29"/>
        <v>0.16818181818181818</v>
      </c>
      <c r="AO33" s="26">
        <f t="shared" si="30"/>
        <v>18.5</v>
      </c>
      <c r="AP33" s="27">
        <f t="shared" si="31"/>
        <v>-4.3478260869565216E-2</v>
      </c>
      <c r="AQ33" s="27">
        <f t="shared" si="32"/>
        <v>-0.17698259187620896</v>
      </c>
      <c r="AR33" s="26">
        <f t="shared" si="33"/>
        <v>-5</v>
      </c>
      <c r="AS33" s="30"/>
      <c r="AT33" s="27" t="str">
        <f t="shared" si="34"/>
        <v/>
      </c>
      <c r="AU33" s="27" t="str">
        <f t="shared" si="35"/>
        <v/>
      </c>
      <c r="AV33" s="26" t="str">
        <f t="shared" si="36"/>
        <v/>
      </c>
      <c r="AW33" s="27" t="str">
        <f t="shared" si="37"/>
        <v/>
      </c>
      <c r="AX33" s="27" t="str">
        <f t="shared" si="38"/>
        <v/>
      </c>
      <c r="AY33" s="26" t="str">
        <f t="shared" si="39"/>
        <v/>
      </c>
      <c r="AZ33" s="31"/>
      <c r="BA33" s="26" t="str">
        <f t="shared" si="40"/>
        <v/>
      </c>
      <c r="BB33" s="27" t="str">
        <f t="shared" si="41"/>
        <v/>
      </c>
      <c r="BC33" s="27" t="str">
        <f t="shared" si="42"/>
        <v/>
      </c>
      <c r="BD33" s="26" t="str">
        <f t="shared" si="43"/>
        <v/>
      </c>
      <c r="BE33" s="27" t="str">
        <f t="shared" si="44"/>
        <v/>
      </c>
      <c r="BF33" s="27" t="str">
        <f t="shared" si="45"/>
        <v/>
      </c>
      <c r="BG33" s="26" t="str">
        <f t="shared" si="46"/>
        <v/>
      </c>
      <c r="BH33" s="26" t="str">
        <f t="shared" si="47"/>
        <v/>
      </c>
      <c r="BI33" s="26" t="str">
        <f t="shared" si="48"/>
        <v/>
      </c>
      <c r="BJ33" s="26" t="str">
        <f t="shared" si="49"/>
        <v/>
      </c>
      <c r="BK33" s="26" t="str">
        <f t="shared" si="50"/>
        <v/>
      </c>
      <c r="BL33" s="26" t="str">
        <f t="shared" si="51"/>
        <v/>
      </c>
      <c r="BM33" s="26" t="str">
        <f t="shared" si="52"/>
        <v/>
      </c>
      <c r="BN33" s="26" t="str">
        <f t="shared" si="53"/>
        <v/>
      </c>
      <c r="BO33" s="26" t="str">
        <f t="shared" si="54"/>
        <v/>
      </c>
      <c r="BP33" s="26" t="str">
        <f t="shared" si="55"/>
        <v/>
      </c>
      <c r="BQ33" s="26" t="str">
        <f t="shared" si="56"/>
        <v/>
      </c>
      <c r="BR33" s="32" t="str">
        <f t="shared" si="57"/>
        <v/>
      </c>
      <c r="BS33" s="27" t="str">
        <f t="shared" si="58"/>
        <v/>
      </c>
      <c r="BT33" s="32" t="str">
        <f t="shared" si="59"/>
        <v/>
      </c>
      <c r="BU33" s="27" t="str">
        <f t="shared" si="60"/>
        <v/>
      </c>
    </row>
    <row r="34" spans="1:73" x14ac:dyDescent="0.3">
      <c r="A34" s="22" t="str">
        <f>'📊 Исходные данные'!A33</f>
        <v>Рис Тамаша MIAD Индия мешочек 1кг</v>
      </c>
      <c r="B34" s="23" t="str">
        <f>'📊 Исходные данные'!B33</f>
        <v>8906010700720</v>
      </c>
      <c r="C34" s="24">
        <f>'📊 Исходные данные'!C33</f>
        <v>165</v>
      </c>
      <c r="D34" s="24">
        <f>'📊 Исходные данные'!D33</f>
        <v>249</v>
      </c>
      <c r="E34" s="25" t="str">
        <f t="shared" si="0"/>
        <v>🟡 На уровне</v>
      </c>
      <c r="F34" s="26">
        <f>IFERROR(AVERAGE('📊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>241.4</v>
      </c>
      <c r="G34" s="26">
        <f>IFERROR(MEDIAN('📊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>244</v>
      </c>
      <c r="H34" s="26">
        <f>IFERROR(MIN('📊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>230</v>
      </c>
      <c r="I34" s="26">
        <f>IFERROR(MAX('📊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>250</v>
      </c>
      <c r="J34" s="27">
        <f t="shared" si="1"/>
        <v>3.1483015741507844E-2</v>
      </c>
      <c r="K34" s="27">
        <f t="shared" si="2"/>
        <v>2.0491803278688523E-2</v>
      </c>
      <c r="L34" s="27">
        <f t="shared" si="3"/>
        <v>8.2608695652173908E-2</v>
      </c>
      <c r="M34" s="28" t="str">
        <f>IFERROR(RANK(D34,('📊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данные'!K33)),"")</f>
        <v/>
      </c>
      <c r="N34" s="25" t="str">
        <f t="shared" si="4"/>
        <v>—</v>
      </c>
      <c r="O34" s="27">
        <f t="shared" si="5"/>
        <v>0.50909090909090904</v>
      </c>
      <c r="P34" s="27">
        <f t="shared" si="6"/>
        <v>0.33734939759036142</v>
      </c>
      <c r="Q34" s="26">
        <f t="shared" si="7"/>
        <v>84</v>
      </c>
      <c r="R34" s="25" t="str">
        <f t="shared" si="8"/>
        <v>🟢 Хорошая(&gt;20%)</v>
      </c>
      <c r="S34" s="25" t="str">
        <f t="shared" si="9"/>
        <v>🟢 НИЗКИЙ</v>
      </c>
      <c r="T34" s="29"/>
      <c r="U34" s="26" t="str">
        <f t="shared" si="10"/>
        <v/>
      </c>
      <c r="V34" s="26" t="str">
        <f t="shared" si="11"/>
        <v/>
      </c>
      <c r="W34" s="27" t="e">
        <f t="shared" si="12"/>
        <v>#VALUE!</v>
      </c>
      <c r="X34" s="26">
        <f t="shared" si="13"/>
        <v>241.4</v>
      </c>
      <c r="Y34" s="27">
        <f t="shared" si="14"/>
        <v>0.46303030303030307</v>
      </c>
      <c r="Z34" s="27">
        <f t="shared" si="15"/>
        <v>0.31648715824357915</v>
      </c>
      <c r="AA34" s="26">
        <f t="shared" si="16"/>
        <v>76.400000000000006</v>
      </c>
      <c r="AB34" s="27">
        <f t="shared" si="17"/>
        <v>-3.0522088353413631E-2</v>
      </c>
      <c r="AC34" s="27">
        <f t="shared" si="18"/>
        <v>-6.1841638063676034E-2</v>
      </c>
      <c r="AD34" s="26">
        <f t="shared" si="19"/>
        <v>-7.5999999999999943</v>
      </c>
      <c r="AE34" s="26">
        <f t="shared" si="20"/>
        <v>244</v>
      </c>
      <c r="AF34" s="27">
        <f t="shared" si="21"/>
        <v>0.47878787878787876</v>
      </c>
      <c r="AG34" s="27">
        <f t="shared" si="22"/>
        <v>0.32377049180327871</v>
      </c>
      <c r="AH34" s="26">
        <f t="shared" si="23"/>
        <v>79</v>
      </c>
      <c r="AI34" s="27">
        <f t="shared" si="24"/>
        <v>-2.0080321285140562E-2</v>
      </c>
      <c r="AJ34" s="27">
        <f t="shared" si="25"/>
        <v>-4.0251756440280881E-2</v>
      </c>
      <c r="AK34" s="26">
        <f t="shared" si="26"/>
        <v>-5</v>
      </c>
      <c r="AL34" s="26">
        <f t="shared" si="27"/>
        <v>230</v>
      </c>
      <c r="AM34" s="27">
        <f t="shared" si="28"/>
        <v>0.39393939393939392</v>
      </c>
      <c r="AN34" s="27">
        <f t="shared" si="29"/>
        <v>0.28260869565217389</v>
      </c>
      <c r="AO34" s="26">
        <f t="shared" si="30"/>
        <v>65</v>
      </c>
      <c r="AP34" s="27">
        <f t="shared" si="31"/>
        <v>-7.6305220883534142E-2</v>
      </c>
      <c r="AQ34" s="27">
        <f t="shared" si="32"/>
        <v>-0.16226708074534163</v>
      </c>
      <c r="AR34" s="26">
        <f t="shared" si="33"/>
        <v>-19</v>
      </c>
      <c r="AS34" s="30"/>
      <c r="AT34" s="27" t="str">
        <f t="shared" si="34"/>
        <v/>
      </c>
      <c r="AU34" s="27" t="str">
        <f t="shared" si="35"/>
        <v/>
      </c>
      <c r="AV34" s="26" t="str">
        <f t="shared" si="36"/>
        <v/>
      </c>
      <c r="AW34" s="27" t="str">
        <f t="shared" si="37"/>
        <v/>
      </c>
      <c r="AX34" s="27" t="str">
        <f t="shared" si="38"/>
        <v/>
      </c>
      <c r="AY34" s="26" t="str">
        <f t="shared" si="39"/>
        <v/>
      </c>
      <c r="AZ34" s="31"/>
      <c r="BA34" s="26" t="str">
        <f t="shared" si="40"/>
        <v/>
      </c>
      <c r="BB34" s="27" t="str">
        <f t="shared" si="41"/>
        <v/>
      </c>
      <c r="BC34" s="27" t="str">
        <f t="shared" si="42"/>
        <v/>
      </c>
      <c r="BD34" s="26" t="str">
        <f t="shared" si="43"/>
        <v/>
      </c>
      <c r="BE34" s="27" t="str">
        <f t="shared" si="44"/>
        <v/>
      </c>
      <c r="BF34" s="27" t="str">
        <f t="shared" si="45"/>
        <v/>
      </c>
      <c r="BG34" s="26" t="str">
        <f t="shared" si="46"/>
        <v/>
      </c>
      <c r="BH34" s="26" t="str">
        <f t="shared" si="47"/>
        <v/>
      </c>
      <c r="BI34" s="26" t="str">
        <f t="shared" si="48"/>
        <v/>
      </c>
      <c r="BJ34" s="26" t="str">
        <f t="shared" si="49"/>
        <v/>
      </c>
      <c r="BK34" s="26" t="str">
        <f t="shared" si="50"/>
        <v/>
      </c>
      <c r="BL34" s="26" t="str">
        <f t="shared" si="51"/>
        <v/>
      </c>
      <c r="BM34" s="26" t="str">
        <f t="shared" si="52"/>
        <v/>
      </c>
      <c r="BN34" s="26" t="str">
        <f t="shared" si="53"/>
        <v/>
      </c>
      <c r="BO34" s="26" t="str">
        <f t="shared" si="54"/>
        <v/>
      </c>
      <c r="BP34" s="26" t="str">
        <f t="shared" si="55"/>
        <v/>
      </c>
      <c r="BQ34" s="26" t="str">
        <f t="shared" si="56"/>
        <v/>
      </c>
      <c r="BR34" s="32" t="str">
        <f t="shared" si="57"/>
        <v/>
      </c>
      <c r="BS34" s="27" t="str">
        <f t="shared" si="58"/>
        <v/>
      </c>
      <c r="BT34" s="32" t="str">
        <f t="shared" si="59"/>
        <v/>
      </c>
      <c r="BU34" s="27" t="str">
        <f t="shared" si="60"/>
        <v/>
      </c>
    </row>
    <row r="35" spans="1:73" x14ac:dyDescent="0.3">
      <c r="A35" s="22" t="str">
        <f>'📊 Исходные данные'!A34</f>
        <v>Сахар песок 1кг</v>
      </c>
      <c r="B35" s="23" t="str">
        <f>'📊 Исходные данные'!B34</f>
        <v>2067468029354</v>
      </c>
      <c r="C35" s="24">
        <f>'📊 Исходные данные'!C34</f>
        <v>58.9</v>
      </c>
      <c r="D35" s="24">
        <f>'📊 Исходные данные'!D34</f>
        <v>65</v>
      </c>
      <c r="E35" s="25" t="str">
        <f t="shared" ref="E35:E66" si="61">IF(OR(D35="",F35=""),"—",IF(D35&gt;F35*1.05,"🔴 Выше рынка",IF(D35&lt;F35*0.95,"🟢 Ниже рынка","🟡 На уровне")))</f>
        <v>🟢 Ниже рынка</v>
      </c>
      <c r="F35" s="26">
        <f>IFERROR(AVERAGE('📊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>73.400000000000006</v>
      </c>
      <c r="G35" s="26">
        <f>IFERROR(MEDIAN('📊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>78</v>
      </c>
      <c r="H35" s="26">
        <f>IFERROR(MIN('📊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>60</v>
      </c>
      <c r="I35" s="26">
        <f>IFERROR(MAX('📊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>85</v>
      </c>
      <c r="J35" s="27">
        <f t="shared" ref="J35:J66" si="62">IF(AND(D35&lt;&gt;"",F35&lt;&gt;""),(D35-F35)/F35,"")</f>
        <v>-0.11444141689373304</v>
      </c>
      <c r="K35" s="27">
        <f t="shared" ref="K35:K66" si="63">IF(AND(D35&lt;&gt;"",G35&lt;&gt;""),(D35-G35)/G35,"")</f>
        <v>-0.16666666666666666</v>
      </c>
      <c r="L35" s="27">
        <f t="shared" ref="L35:L66" si="64">IF(AND(D35&lt;&gt;"",H35&lt;&gt;""),(D35-H35)/H35,"")</f>
        <v>8.3333333333333329E-2</v>
      </c>
      <c r="M35" s="28" t="str">
        <f>IFERROR(RANK(D35,('📊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данные'!K34)),"")</f>
        <v/>
      </c>
      <c r="N35" s="25" t="str">
        <f t="shared" ref="N35:N66" si="65">IF(M35="","—",IF(M35=1,"1️⃣ Дороже всех",IF(M35=2,"2️⃣ 2-й по цене",IF(M35&lt;=4,"🟡 Средний","🟢 Ниже конкурентов"))))</f>
        <v>—</v>
      </c>
      <c r="O35" s="27">
        <f t="shared" ref="O35:O66" si="66">IF(AND(C35&gt;0,D35&gt;0),(D35-C35)/C35,"")</f>
        <v>0.10356536502546691</v>
      </c>
      <c r="P35" s="27">
        <f t="shared" ref="P35:P66" si="67">IF(AND(C35&gt;0,D35&gt;0),(D35-C35)/D35,"")</f>
        <v>9.3846153846153871E-2</v>
      </c>
      <c r="Q35" s="26">
        <f t="shared" ref="Q35:Q66" si="68">IF(AND(C35&gt;0,D35&gt;0),D35-C35,"")</f>
        <v>6.1000000000000014</v>
      </c>
      <c r="R35" s="25" t="str">
        <f t="shared" ref="R35:R66" si="69">IF(P35="","—",IF(P35&lt;0.1,"🔴 Низкая(&lt;10%)",IF(P35&lt;0.2,"🟡 Средняя(10-20%)","🟢 Хорошая(&gt;20%)")))</f>
        <v>🔴 Низкая(&lt;10%)</v>
      </c>
      <c r="S35" s="25" t="str">
        <f t="shared" ref="S35:S66" si="70">IF(OR(H35="",C35=""),"—",IF((H35-C35)/H35&lt;0.05,"🔴 КРИТИЧНО",IF((H35-C35)/H35&lt;0.15,"🟡 УМЕРЕННЫЙ","🟢 НИЗКИЙ")))</f>
        <v>🔴 КРИТИЧНО</v>
      </c>
      <c r="T35" s="29"/>
      <c r="U35" s="26" t="str">
        <f t="shared" ref="U35:U66" si="71">IF(T35&gt;0,T35*D35,"")</f>
        <v/>
      </c>
      <c r="V35" s="26" t="str">
        <f t="shared" ref="V35:V66" si="72">IF(T35&gt;0,T35*Q35,"")</f>
        <v/>
      </c>
      <c r="W35" s="27" t="e">
        <f t="shared" ref="W35:W66" si="73">IF(U35&gt;0,V35/U35,"")</f>
        <v>#VALUE!</v>
      </c>
      <c r="X35" s="26">
        <f t="shared" ref="X35:X66" si="74">IF(F35&lt;&gt;"",F35,"")</f>
        <v>73.400000000000006</v>
      </c>
      <c r="Y35" s="27">
        <f t="shared" ref="Y35:Y66" si="75">IF(AND(X35&lt;&gt;"",C35&gt;0),(X35-C35)/C35,"")</f>
        <v>0.24617996604414275</v>
      </c>
      <c r="Z35" s="27">
        <f t="shared" ref="Z35:Z66" si="76">IF(AND(X35&lt;&gt;"",X35&gt;0),(X35-C35)/X35,"")</f>
        <v>0.19754768392370581</v>
      </c>
      <c r="AA35" s="26">
        <f t="shared" ref="AA35:AA66" si="77">IF(AND(X35&lt;&gt;"",C35&gt;0),X35-C35,"")</f>
        <v>14.500000000000007</v>
      </c>
      <c r="AB35" s="27">
        <f t="shared" ref="AB35:AB66" si="78">IF(AND(X35&lt;&gt;"",D35&gt;0),(X35-D35)/D35,"")</f>
        <v>0.12923076923076932</v>
      </c>
      <c r="AC35" s="27">
        <f t="shared" ref="AC35:AC66" si="79">IF(AND(Z35&lt;&gt;"",P35&lt;&gt;""),(Z35-P35)/ABS(IF(P35=0,1,P35)),"")</f>
        <v>1.1050163041050614</v>
      </c>
      <c r="AD35" s="26">
        <f t="shared" ref="AD35:AD66" si="80">IF(AND(AA35&lt;&gt;"",Q35&lt;&gt;""),AA35-Q35,"")</f>
        <v>8.4000000000000057</v>
      </c>
      <c r="AE35" s="26">
        <f t="shared" ref="AE35:AE66" si="81">IF(G35&lt;&gt;"",G35,"")</f>
        <v>78</v>
      </c>
      <c r="AF35" s="27">
        <f t="shared" ref="AF35:AF66" si="82">IF(AND(AE35&lt;&gt;"",C35&gt;0),(AE35-C35)/C35,"")</f>
        <v>0.32427843803056028</v>
      </c>
      <c r="AG35" s="27">
        <f t="shared" ref="AG35:AG66" si="83">IF(AND(AE35&lt;&gt;"",AE35&gt;0),(AE35-C35)/AE35,"")</f>
        <v>0.24487179487179489</v>
      </c>
      <c r="AH35" s="26">
        <f t="shared" ref="AH35:AH66" si="84">IF(AND(AE35&lt;&gt;"",C35&gt;0),AE35-C35,"")</f>
        <v>19.100000000000001</v>
      </c>
      <c r="AI35" s="27">
        <f t="shared" ref="AI35:AI66" si="85">IF(AND(AE35&lt;&gt;"",D35&gt;0),(AE35-D35)/D35,"")</f>
        <v>0.2</v>
      </c>
      <c r="AJ35" s="27">
        <f t="shared" ref="AJ35:AJ66" si="86">IF(AND(AG35&lt;&gt;"",P35&lt;&gt;""),(AG35-P35)/ABS(IF(P35=0,1,P35)),"")</f>
        <v>1.6092896174863385</v>
      </c>
      <c r="AK35" s="26">
        <f t="shared" ref="AK35:AK66" si="87">IF(AND(AH35&lt;&gt;"",Q35&lt;&gt;""),AH35-Q35,"")</f>
        <v>13</v>
      </c>
      <c r="AL35" s="26">
        <f t="shared" ref="AL35:AL66" si="88">IF(H35&lt;&gt;"",H35,"")</f>
        <v>60</v>
      </c>
      <c r="AM35" s="27">
        <f t="shared" ref="AM35:AM66" si="89">IF(AND(AL35&lt;&gt;"",C35&gt;0),(AL35-C35)/C35,"")</f>
        <v>1.8675721561969463E-2</v>
      </c>
      <c r="AN35" s="27">
        <f t="shared" ref="AN35:AN66" si="90">IF(AND(AL35&lt;&gt;"",AL35&gt;0),(AL35-C35)/AL35,"")</f>
        <v>1.8333333333333358E-2</v>
      </c>
      <c r="AO35" s="26">
        <f t="shared" ref="AO35:AO66" si="91">IF(AND(AL35&lt;&gt;"",C35&gt;0),AL35-C35,"")</f>
        <v>1.1000000000000014</v>
      </c>
      <c r="AP35" s="27">
        <f t="shared" ref="AP35:AP66" si="92">IF(AND(AL35&lt;&gt;"",D35&gt;0),(AL35-D35)/D35,"")</f>
        <v>-7.6923076923076927E-2</v>
      </c>
      <c r="AQ35" s="27">
        <f t="shared" ref="AQ35:AQ66" si="93">IF(AND(AN35&lt;&gt;"",P35&lt;&gt;""),(AN35-P35)/ABS(IF(P35=0,1,P35)),"")</f>
        <v>-0.80464480874316924</v>
      </c>
      <c r="AR35" s="26">
        <f t="shared" ref="AR35:AR66" si="94">IF(AND(AO35&lt;&gt;"",Q35&lt;&gt;""),AO35-Q35,"")</f>
        <v>-5</v>
      </c>
      <c r="AS35" s="30"/>
      <c r="AT35" s="27" t="str">
        <f t="shared" ref="AT35:AT66" si="95">IF(AND(AS35&gt;0,C35&gt;0),(AS35-C35)/C35,"")</f>
        <v/>
      </c>
      <c r="AU35" s="27" t="str">
        <f t="shared" ref="AU35:AU66" si="96">IF(AND(AS35&gt;0,AS35&gt;0),(AS35-C35)/AS35,"")</f>
        <v/>
      </c>
      <c r="AV35" s="26" t="str">
        <f t="shared" ref="AV35:AV66" si="97">IF(AND(AS35&gt;0,C35&gt;0),AS35-C35,"")</f>
        <v/>
      </c>
      <c r="AW35" s="27" t="str">
        <f t="shared" ref="AW35:AW66" si="98">IF(AND(AS35&gt;0,D35&gt;0),(AS35-D35)/D35,"")</f>
        <v/>
      </c>
      <c r="AX35" s="27" t="str">
        <f t="shared" ref="AX35:AX66" si="99">IF(AND(AU35&lt;&gt;"",P35&lt;&gt;""),(AU35-P35)/ABS(IF(P35=0,1,P35)),"")</f>
        <v/>
      </c>
      <c r="AY35" s="26" t="str">
        <f t="shared" ref="AY35:AY66" si="100">IF(AND(AV35&lt;&gt;"",Q35&lt;&gt;""),AV35-Q35,"")</f>
        <v/>
      </c>
      <c r="AZ35" s="31"/>
      <c r="BA35" s="26" t="str">
        <f t="shared" ref="BA35:BA66" si="101">IF(AND(AZ35&gt;0,C35&gt;0),C35/(1-AZ35),"")</f>
        <v/>
      </c>
      <c r="BB35" s="27" t="str">
        <f t="shared" ref="BB35:BB66" si="102">IF(AND(BA35&lt;&gt;"",C35&gt;0),(BA35-C35)/C35,"")</f>
        <v/>
      </c>
      <c r="BC35" s="27" t="str">
        <f t="shared" ref="BC35:BC66" si="103">IF(BA35&lt;&gt;"",AZ35,"")</f>
        <v/>
      </c>
      <c r="BD35" s="26" t="str">
        <f t="shared" ref="BD35:BD66" si="104">IF(AND(BA35&lt;&gt;"",C35&gt;0),BA35-C35,"")</f>
        <v/>
      </c>
      <c r="BE35" s="27" t="str">
        <f t="shared" ref="BE35:BE66" si="105">IF(AND(BA35&lt;&gt;"",D35&gt;0),(BA35-D35)/D35,"")</f>
        <v/>
      </c>
      <c r="BF35" s="27" t="str">
        <f t="shared" ref="BF35:BF66" si="106">IF(AND(BC35&lt;&gt;"",P35&lt;&gt;""),(BC35-P35)/ABS(IF(P35=0,1,P35)),"")</f>
        <v/>
      </c>
      <c r="BG35" s="26" t="str">
        <f t="shared" ref="BG35:BG66" si="107">IF(AND(BD35&lt;&gt;"",Q35&lt;&gt;""),BD35-Q35,"")</f>
        <v/>
      </c>
      <c r="BH35" s="26" t="str">
        <f t="shared" ref="BH35:BH66" si="108">IF(AND(T35&gt;0,X35&lt;&gt;""),T35*X35,"")</f>
        <v/>
      </c>
      <c r="BI35" s="26" t="str">
        <f t="shared" ref="BI35:BI66" si="109">IF(AND(T35&gt;0,AA35&lt;&gt;""),T35*AA35,"")</f>
        <v/>
      </c>
      <c r="BJ35" s="26" t="str">
        <f t="shared" ref="BJ35:BJ66" si="110">IF(AND(T35&gt;0,AE35&lt;&gt;""),T35*AE35,"")</f>
        <v/>
      </c>
      <c r="BK35" s="26" t="str">
        <f t="shared" ref="BK35:BK66" si="111">IF(AND(T35&gt;0,AH35&lt;&gt;""),T35*AH35,"")</f>
        <v/>
      </c>
      <c r="BL35" s="26" t="str">
        <f t="shared" ref="BL35:BL66" si="112">IF(AND(T35&gt;0,AL35&lt;&gt;""),T35*AL35,"")</f>
        <v/>
      </c>
      <c r="BM35" s="26" t="str">
        <f t="shared" ref="BM35:BM66" si="113">IF(AND(T35&gt;0,AO35&lt;&gt;""),T35*AO35,"")</f>
        <v/>
      </c>
      <c r="BN35" s="26" t="str">
        <f t="shared" ref="BN35:BN66" si="114">IF(AND(T35&gt;0,AS35&gt;0),T35*AS35,"")</f>
        <v/>
      </c>
      <c r="BO35" s="26" t="str">
        <f t="shared" ref="BO35:BO66" si="115">IF(AND(T35&gt;0,AV35&lt;&gt;""),T35*AV35,"")</f>
        <v/>
      </c>
      <c r="BP35" s="26" t="str">
        <f t="shared" ref="BP35:BP66" si="116">IF(AND(T35&gt;0,BA35&lt;&gt;""),T35*BA35,"")</f>
        <v/>
      </c>
      <c r="BQ35" s="26" t="str">
        <f t="shared" ref="BQ35:BQ66" si="117">IF(AND(T35&gt;0,BD35&lt;&gt;""),T35*BD35,"")</f>
        <v/>
      </c>
      <c r="BR35" s="32" t="str">
        <f t="shared" ref="BR35:BR66" si="118">IF(AND(T35&gt;0,V35&gt;0,AA35&lt;&gt;0),V35/AA35-T35,"")</f>
        <v/>
      </c>
      <c r="BS35" s="27" t="str">
        <f t="shared" ref="BS35:BS66" si="119">IF(AND(BR35&lt;&gt;"",T35&gt;0),BR35/T35,"")</f>
        <v/>
      </c>
      <c r="BT35" s="32" t="str">
        <f t="shared" ref="BT35:BT66" si="120">IF(AND(T35&gt;0,V35&gt;0,AO35&lt;&gt;0),V35/AO35-T35,"")</f>
        <v/>
      </c>
      <c r="BU35" s="27" t="str">
        <f t="shared" ref="BU35:BU66" si="121">IF(AND(BT35&lt;&gt;"",T35&gt;0),BT35/T35,"")</f>
        <v/>
      </c>
    </row>
    <row r="36" spans="1:73" x14ac:dyDescent="0.3">
      <c r="A36" s="22" t="str">
        <f>'📊 Исходные данные'!A35</f>
        <v>Сода пищевая 500г</v>
      </c>
      <c r="B36" s="23" t="str">
        <f>'📊 Исходные данные'!B35</f>
        <v>4640001890031</v>
      </c>
      <c r="C36" s="24">
        <f>'📊 Исходные данные'!C35</f>
        <v>38.159999999999997</v>
      </c>
      <c r="D36" s="24">
        <f>'📊 Исходные данные'!D35</f>
        <v>55</v>
      </c>
      <c r="E36" s="25" t="str">
        <f t="shared" si="61"/>
        <v>🟡 На уровне</v>
      </c>
      <c r="F36" s="26">
        <f>IFERROR(AVERAGE('📊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>54.2</v>
      </c>
      <c r="G36" s="26">
        <f>IFERROR(MEDIAN('📊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>55</v>
      </c>
      <c r="H36" s="26">
        <f>IFERROR(MIN('📊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>52</v>
      </c>
      <c r="I36" s="26">
        <f>IFERROR(MAX('📊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>56</v>
      </c>
      <c r="J36" s="27">
        <f t="shared" si="62"/>
        <v>1.4760147601475962E-2</v>
      </c>
      <c r="K36" s="27">
        <f t="shared" si="63"/>
        <v>0</v>
      </c>
      <c r="L36" s="27">
        <f t="shared" si="64"/>
        <v>5.7692307692307696E-2</v>
      </c>
      <c r="M36" s="28">
        <f>IFERROR(RANK(D36,('📊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данные'!K35)),"")</f>
        <v>2</v>
      </c>
      <c r="N36" s="25" t="str">
        <f t="shared" si="65"/>
        <v>2️⃣ 2-й по цене</v>
      </c>
      <c r="O36" s="27">
        <f t="shared" si="66"/>
        <v>0.44129979035639427</v>
      </c>
      <c r="P36" s="27">
        <f t="shared" si="67"/>
        <v>0.30618181818181822</v>
      </c>
      <c r="Q36" s="26">
        <f t="shared" si="68"/>
        <v>16.840000000000003</v>
      </c>
      <c r="R36" s="25" t="str">
        <f t="shared" si="69"/>
        <v>🟢 Хорошая(&gt;20%)</v>
      </c>
      <c r="S36" s="25" t="str">
        <f t="shared" si="70"/>
        <v>🟢 НИЗКИЙ</v>
      </c>
      <c r="T36" s="29"/>
      <c r="U36" s="26" t="str">
        <f t="shared" si="71"/>
        <v/>
      </c>
      <c r="V36" s="26" t="str">
        <f t="shared" si="72"/>
        <v/>
      </c>
      <c r="W36" s="27" t="e">
        <f t="shared" si="73"/>
        <v>#VALUE!</v>
      </c>
      <c r="X36" s="26">
        <f t="shared" si="74"/>
        <v>54.2</v>
      </c>
      <c r="Y36" s="27">
        <f t="shared" si="75"/>
        <v>0.42033542976939225</v>
      </c>
      <c r="Z36" s="27">
        <f t="shared" si="76"/>
        <v>0.2959409594095942</v>
      </c>
      <c r="AA36" s="26">
        <f t="shared" si="77"/>
        <v>16.040000000000006</v>
      </c>
      <c r="AB36" s="27">
        <f t="shared" si="78"/>
        <v>-1.4545454545454493E-2</v>
      </c>
      <c r="AC36" s="27">
        <f t="shared" si="79"/>
        <v>-3.3446985301206732E-2</v>
      </c>
      <c r="AD36" s="26">
        <f t="shared" si="80"/>
        <v>-0.79999999999999716</v>
      </c>
      <c r="AE36" s="26">
        <f t="shared" si="81"/>
        <v>55</v>
      </c>
      <c r="AF36" s="27">
        <f t="shared" si="82"/>
        <v>0.44129979035639427</v>
      </c>
      <c r="AG36" s="27">
        <f t="shared" si="83"/>
        <v>0.30618181818181822</v>
      </c>
      <c r="AH36" s="26">
        <f t="shared" si="84"/>
        <v>16.840000000000003</v>
      </c>
      <c r="AI36" s="27">
        <f t="shared" si="85"/>
        <v>0</v>
      </c>
      <c r="AJ36" s="27">
        <f t="shared" si="86"/>
        <v>0</v>
      </c>
      <c r="AK36" s="26">
        <f t="shared" si="87"/>
        <v>0</v>
      </c>
      <c r="AL36" s="26">
        <f t="shared" si="88"/>
        <v>52</v>
      </c>
      <c r="AM36" s="27">
        <f t="shared" si="89"/>
        <v>0.36268343815513637</v>
      </c>
      <c r="AN36" s="27">
        <f t="shared" si="90"/>
        <v>0.26615384615384624</v>
      </c>
      <c r="AO36" s="26">
        <f t="shared" si="91"/>
        <v>13.840000000000003</v>
      </c>
      <c r="AP36" s="27">
        <f t="shared" si="92"/>
        <v>-5.4545454545454543E-2</v>
      </c>
      <c r="AQ36" s="27">
        <f t="shared" si="93"/>
        <v>-0.13073268773981345</v>
      </c>
      <c r="AR36" s="26">
        <f t="shared" si="94"/>
        <v>-3</v>
      </c>
      <c r="AS36" s="30"/>
      <c r="AT36" s="27" t="str">
        <f t="shared" si="95"/>
        <v/>
      </c>
      <c r="AU36" s="27" t="str">
        <f t="shared" si="96"/>
        <v/>
      </c>
      <c r="AV36" s="26" t="str">
        <f t="shared" si="97"/>
        <v/>
      </c>
      <c r="AW36" s="27" t="str">
        <f t="shared" si="98"/>
        <v/>
      </c>
      <c r="AX36" s="27" t="str">
        <f t="shared" si="99"/>
        <v/>
      </c>
      <c r="AY36" s="26" t="str">
        <f t="shared" si="100"/>
        <v/>
      </c>
      <c r="AZ36" s="31"/>
      <c r="BA36" s="26" t="str">
        <f t="shared" si="101"/>
        <v/>
      </c>
      <c r="BB36" s="27" t="str">
        <f t="shared" si="102"/>
        <v/>
      </c>
      <c r="BC36" s="27" t="str">
        <f t="shared" si="103"/>
        <v/>
      </c>
      <c r="BD36" s="26" t="str">
        <f t="shared" si="104"/>
        <v/>
      </c>
      <c r="BE36" s="27" t="str">
        <f t="shared" si="105"/>
        <v/>
      </c>
      <c r="BF36" s="27" t="str">
        <f t="shared" si="106"/>
        <v/>
      </c>
      <c r="BG36" s="26" t="str">
        <f t="shared" si="107"/>
        <v/>
      </c>
      <c r="BH36" s="26" t="str">
        <f t="shared" si="108"/>
        <v/>
      </c>
      <c r="BI36" s="26" t="str">
        <f t="shared" si="109"/>
        <v/>
      </c>
      <c r="BJ36" s="26" t="str">
        <f t="shared" si="110"/>
        <v/>
      </c>
      <c r="BK36" s="26" t="str">
        <f t="shared" si="111"/>
        <v/>
      </c>
      <c r="BL36" s="26" t="str">
        <f t="shared" si="112"/>
        <v/>
      </c>
      <c r="BM36" s="26" t="str">
        <f t="shared" si="113"/>
        <v/>
      </c>
      <c r="BN36" s="26" t="str">
        <f t="shared" si="114"/>
        <v/>
      </c>
      <c r="BO36" s="26" t="str">
        <f t="shared" si="115"/>
        <v/>
      </c>
      <c r="BP36" s="26" t="str">
        <f t="shared" si="116"/>
        <v/>
      </c>
      <c r="BQ36" s="26" t="str">
        <f t="shared" si="117"/>
        <v/>
      </c>
      <c r="BR36" s="32" t="str">
        <f t="shared" si="118"/>
        <v/>
      </c>
      <c r="BS36" s="27" t="str">
        <f t="shared" si="119"/>
        <v/>
      </c>
      <c r="BT36" s="32" t="str">
        <f t="shared" si="120"/>
        <v/>
      </c>
      <c r="BU36" s="27" t="str">
        <f t="shared" si="121"/>
        <v/>
      </c>
    </row>
    <row r="37" spans="1:73" x14ac:dyDescent="0.3">
      <c r="A37" s="22" t="str">
        <f>'📊 Исходные данные'!A36</f>
        <v>Соль поваренная пищевая Помол №1 1кг Руссоль</v>
      </c>
      <c r="B37" s="23" t="str">
        <f>'📊 Исходные данные'!B36</f>
        <v>4610007350228</v>
      </c>
      <c r="C37" s="24">
        <f>'📊 Исходные данные'!C36</f>
        <v>9.32</v>
      </c>
      <c r="D37" s="24">
        <f>'📊 Исходные данные'!D36</f>
        <v>17</v>
      </c>
      <c r="E37" s="25" t="str">
        <f t="shared" si="61"/>
        <v>🟢 Ниже рынка</v>
      </c>
      <c r="F37" s="26">
        <f>IFERROR(AVERAGE('📊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>22</v>
      </c>
      <c r="G37" s="26">
        <f>IFERROR(MEDIAN('📊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>21</v>
      </c>
      <c r="H37" s="26">
        <f>IFERROR(MIN('📊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>19</v>
      </c>
      <c r="I37" s="26">
        <f>IFERROR(MAX('📊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>28</v>
      </c>
      <c r="J37" s="27">
        <f t="shared" si="62"/>
        <v>-0.22727272727272727</v>
      </c>
      <c r="K37" s="27">
        <f t="shared" si="63"/>
        <v>-0.19047619047619047</v>
      </c>
      <c r="L37" s="27">
        <f t="shared" si="64"/>
        <v>-0.10526315789473684</v>
      </c>
      <c r="M37" s="28" t="str">
        <f>IFERROR(RANK(D37,('📊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данные'!K36)),"")</f>
        <v/>
      </c>
      <c r="N37" s="25" t="str">
        <f t="shared" si="65"/>
        <v>—</v>
      </c>
      <c r="O37" s="27">
        <f t="shared" si="66"/>
        <v>0.82403433476394849</v>
      </c>
      <c r="P37" s="27">
        <f t="shared" si="67"/>
        <v>0.4517647058823529</v>
      </c>
      <c r="Q37" s="26">
        <f t="shared" si="68"/>
        <v>7.68</v>
      </c>
      <c r="R37" s="25" t="str">
        <f t="shared" si="69"/>
        <v>🟢 Хорошая(&gt;20%)</v>
      </c>
      <c r="S37" s="25" t="str">
        <f t="shared" si="70"/>
        <v>🟢 НИЗКИЙ</v>
      </c>
      <c r="T37" s="29"/>
      <c r="U37" s="26" t="str">
        <f t="shared" si="71"/>
        <v/>
      </c>
      <c r="V37" s="26" t="str">
        <f t="shared" si="72"/>
        <v/>
      </c>
      <c r="W37" s="27" t="e">
        <f t="shared" si="73"/>
        <v>#VALUE!</v>
      </c>
      <c r="X37" s="26">
        <f t="shared" si="74"/>
        <v>22</v>
      </c>
      <c r="Y37" s="27">
        <f t="shared" si="75"/>
        <v>1.3605150214592274</v>
      </c>
      <c r="Z37" s="27">
        <f t="shared" si="76"/>
        <v>0.5763636363636363</v>
      </c>
      <c r="AA37" s="26">
        <f t="shared" si="77"/>
        <v>12.68</v>
      </c>
      <c r="AB37" s="27">
        <f t="shared" si="78"/>
        <v>0.29411764705882354</v>
      </c>
      <c r="AC37" s="27">
        <f t="shared" si="79"/>
        <v>0.2758049242424242</v>
      </c>
      <c r="AD37" s="26">
        <f t="shared" si="80"/>
        <v>5</v>
      </c>
      <c r="AE37" s="26">
        <f t="shared" si="81"/>
        <v>21</v>
      </c>
      <c r="AF37" s="27">
        <f t="shared" si="82"/>
        <v>1.2532188841201717</v>
      </c>
      <c r="AG37" s="27">
        <f t="shared" si="83"/>
        <v>0.55619047619047612</v>
      </c>
      <c r="AH37" s="26">
        <f t="shared" si="84"/>
        <v>11.68</v>
      </c>
      <c r="AI37" s="27">
        <f t="shared" si="85"/>
        <v>0.23529411764705882</v>
      </c>
      <c r="AJ37" s="27">
        <f t="shared" si="86"/>
        <v>0.23115079365079361</v>
      </c>
      <c r="AK37" s="26">
        <f t="shared" si="87"/>
        <v>4</v>
      </c>
      <c r="AL37" s="26">
        <f t="shared" si="88"/>
        <v>19</v>
      </c>
      <c r="AM37" s="27">
        <f t="shared" si="89"/>
        <v>1.03862660944206</v>
      </c>
      <c r="AN37" s="27">
        <f t="shared" si="90"/>
        <v>0.5094736842105263</v>
      </c>
      <c r="AO37" s="26">
        <f t="shared" si="91"/>
        <v>9.68</v>
      </c>
      <c r="AP37" s="27">
        <f t="shared" si="92"/>
        <v>0.11764705882352941</v>
      </c>
      <c r="AQ37" s="27">
        <f t="shared" si="93"/>
        <v>0.12774122807017552</v>
      </c>
      <c r="AR37" s="26">
        <f t="shared" si="94"/>
        <v>2</v>
      </c>
      <c r="AS37" s="30"/>
      <c r="AT37" s="27" t="str">
        <f t="shared" si="95"/>
        <v/>
      </c>
      <c r="AU37" s="27" t="str">
        <f t="shared" si="96"/>
        <v/>
      </c>
      <c r="AV37" s="26" t="str">
        <f t="shared" si="97"/>
        <v/>
      </c>
      <c r="AW37" s="27" t="str">
        <f t="shared" si="98"/>
        <v/>
      </c>
      <c r="AX37" s="27" t="str">
        <f t="shared" si="99"/>
        <v/>
      </c>
      <c r="AY37" s="26" t="str">
        <f t="shared" si="100"/>
        <v/>
      </c>
      <c r="AZ37" s="31"/>
      <c r="BA37" s="26" t="str">
        <f t="shared" si="101"/>
        <v/>
      </c>
      <c r="BB37" s="27" t="str">
        <f t="shared" si="102"/>
        <v/>
      </c>
      <c r="BC37" s="27" t="str">
        <f t="shared" si="103"/>
        <v/>
      </c>
      <c r="BD37" s="26" t="str">
        <f t="shared" si="104"/>
        <v/>
      </c>
      <c r="BE37" s="27" t="str">
        <f t="shared" si="105"/>
        <v/>
      </c>
      <c r="BF37" s="27" t="str">
        <f t="shared" si="106"/>
        <v/>
      </c>
      <c r="BG37" s="26" t="str">
        <f t="shared" si="107"/>
        <v/>
      </c>
      <c r="BH37" s="26" t="str">
        <f t="shared" si="108"/>
        <v/>
      </c>
      <c r="BI37" s="26" t="str">
        <f t="shared" si="109"/>
        <v/>
      </c>
      <c r="BJ37" s="26" t="str">
        <f t="shared" si="110"/>
        <v/>
      </c>
      <c r="BK37" s="26" t="str">
        <f t="shared" si="111"/>
        <v/>
      </c>
      <c r="BL37" s="26" t="str">
        <f t="shared" si="112"/>
        <v/>
      </c>
      <c r="BM37" s="26" t="str">
        <f t="shared" si="113"/>
        <v/>
      </c>
      <c r="BN37" s="26" t="str">
        <f t="shared" si="114"/>
        <v/>
      </c>
      <c r="BO37" s="26" t="str">
        <f t="shared" si="115"/>
        <v/>
      </c>
      <c r="BP37" s="26" t="str">
        <f t="shared" si="116"/>
        <v/>
      </c>
      <c r="BQ37" s="26" t="str">
        <f t="shared" si="117"/>
        <v/>
      </c>
      <c r="BR37" s="32" t="str">
        <f t="shared" si="118"/>
        <v/>
      </c>
      <c r="BS37" s="27" t="str">
        <f t="shared" si="119"/>
        <v/>
      </c>
      <c r="BT37" s="32" t="str">
        <f t="shared" si="120"/>
        <v/>
      </c>
      <c r="BU37" s="27" t="str">
        <f t="shared" si="121"/>
        <v/>
      </c>
    </row>
    <row r="38" spans="1:73" x14ac:dyDescent="0.3">
      <c r="A38" s="22" t="str">
        <f>'📊 Исходные данные'!A37</f>
        <v>Соль Экстра йодированная 500г</v>
      </c>
      <c r="B38" s="23" t="str">
        <f>'📊 Исходные данные'!B37</f>
        <v>4607005090126</v>
      </c>
      <c r="C38" s="24">
        <f>'📊 Исходные данные'!C37</f>
        <v>65.38</v>
      </c>
      <c r="D38" s="24">
        <f>'📊 Исходные данные'!D37</f>
        <v>85</v>
      </c>
      <c r="E38" s="25" t="str">
        <f t="shared" si="61"/>
        <v>🔴 Выше рынка</v>
      </c>
      <c r="F38" s="26">
        <f>IFERROR(AVERAGE('📊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>73.333333333333329</v>
      </c>
      <c r="G38" s="26">
        <f>IFERROR(MEDIAN('📊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>81</v>
      </c>
      <c r="H38" s="26">
        <f>IFERROR(MIN('📊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>55</v>
      </c>
      <c r="I38" s="26">
        <f>IFERROR(MAX('📊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>84</v>
      </c>
      <c r="J38" s="27">
        <f t="shared" si="62"/>
        <v>0.15909090909090917</v>
      </c>
      <c r="K38" s="27">
        <f t="shared" si="63"/>
        <v>4.9382716049382713E-2</v>
      </c>
      <c r="L38" s="27">
        <f t="shared" si="64"/>
        <v>0.54545454545454541</v>
      </c>
      <c r="M38" s="28" t="str">
        <f>IFERROR(RANK(D38,('📊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данные'!K37)),"")</f>
        <v/>
      </c>
      <c r="N38" s="25" t="str">
        <f t="shared" si="65"/>
        <v>—</v>
      </c>
      <c r="O38" s="27">
        <f t="shared" si="66"/>
        <v>0.30009177118384839</v>
      </c>
      <c r="P38" s="27">
        <f t="shared" si="67"/>
        <v>0.23082352941176476</v>
      </c>
      <c r="Q38" s="26">
        <f t="shared" si="68"/>
        <v>19.620000000000005</v>
      </c>
      <c r="R38" s="25" t="str">
        <f t="shared" si="69"/>
        <v>🟢 Хорошая(&gt;20%)</v>
      </c>
      <c r="S38" s="25" t="str">
        <f t="shared" si="70"/>
        <v>🔴 КРИТИЧНО</v>
      </c>
      <c r="T38" s="29"/>
      <c r="U38" s="26" t="str">
        <f t="shared" si="71"/>
        <v/>
      </c>
      <c r="V38" s="26" t="str">
        <f t="shared" si="72"/>
        <v/>
      </c>
      <c r="W38" s="27" t="e">
        <f t="shared" si="73"/>
        <v>#VALUE!</v>
      </c>
      <c r="X38" s="26">
        <f t="shared" si="74"/>
        <v>73.333333333333329</v>
      </c>
      <c r="Y38" s="27">
        <f t="shared" si="75"/>
        <v>0.12164780258998675</v>
      </c>
      <c r="Z38" s="27">
        <f t="shared" si="76"/>
        <v>0.10845454545454546</v>
      </c>
      <c r="AA38" s="26">
        <f t="shared" si="77"/>
        <v>7.9533333333333331</v>
      </c>
      <c r="AB38" s="27">
        <f t="shared" si="78"/>
        <v>-0.13725490196078438</v>
      </c>
      <c r="AC38" s="27">
        <f t="shared" si="79"/>
        <v>-0.53014085812250955</v>
      </c>
      <c r="AD38" s="26">
        <f t="shared" si="80"/>
        <v>-11.666666666666671</v>
      </c>
      <c r="AE38" s="26">
        <f t="shared" si="81"/>
        <v>81</v>
      </c>
      <c r="AF38" s="27">
        <f t="shared" si="82"/>
        <v>0.23891098195166727</v>
      </c>
      <c r="AG38" s="27">
        <f t="shared" si="83"/>
        <v>0.19283950617283957</v>
      </c>
      <c r="AH38" s="26">
        <f t="shared" si="84"/>
        <v>15.620000000000005</v>
      </c>
      <c r="AI38" s="27">
        <f t="shared" si="85"/>
        <v>-4.7058823529411764E-2</v>
      </c>
      <c r="AJ38" s="27">
        <f t="shared" si="86"/>
        <v>-0.16455871433785119</v>
      </c>
      <c r="AK38" s="26">
        <f t="shared" si="87"/>
        <v>-4</v>
      </c>
      <c r="AL38" s="26">
        <f t="shared" si="88"/>
        <v>55</v>
      </c>
      <c r="AM38" s="27">
        <f t="shared" si="89"/>
        <v>-0.15876414805750988</v>
      </c>
      <c r="AN38" s="27">
        <f t="shared" si="90"/>
        <v>-0.18872727272727263</v>
      </c>
      <c r="AO38" s="26">
        <f t="shared" si="91"/>
        <v>-10.379999999999995</v>
      </c>
      <c r="AP38" s="27">
        <f t="shared" si="92"/>
        <v>-0.35294117647058826</v>
      </c>
      <c r="AQ38" s="27">
        <f t="shared" si="93"/>
        <v>-1.8176257992771747</v>
      </c>
      <c r="AR38" s="26">
        <f t="shared" si="94"/>
        <v>-30</v>
      </c>
      <c r="AS38" s="30"/>
      <c r="AT38" s="27" t="str">
        <f t="shared" si="95"/>
        <v/>
      </c>
      <c r="AU38" s="27" t="str">
        <f t="shared" si="96"/>
        <v/>
      </c>
      <c r="AV38" s="26" t="str">
        <f t="shared" si="97"/>
        <v/>
      </c>
      <c r="AW38" s="27" t="str">
        <f t="shared" si="98"/>
        <v/>
      </c>
      <c r="AX38" s="27" t="str">
        <f t="shared" si="99"/>
        <v/>
      </c>
      <c r="AY38" s="26" t="str">
        <f t="shared" si="100"/>
        <v/>
      </c>
      <c r="AZ38" s="31"/>
      <c r="BA38" s="26" t="str">
        <f t="shared" si="101"/>
        <v/>
      </c>
      <c r="BB38" s="27" t="str">
        <f t="shared" si="102"/>
        <v/>
      </c>
      <c r="BC38" s="27" t="str">
        <f t="shared" si="103"/>
        <v/>
      </c>
      <c r="BD38" s="26" t="str">
        <f t="shared" si="104"/>
        <v/>
      </c>
      <c r="BE38" s="27" t="str">
        <f t="shared" si="105"/>
        <v/>
      </c>
      <c r="BF38" s="27" t="str">
        <f t="shared" si="106"/>
        <v/>
      </c>
      <c r="BG38" s="26" t="str">
        <f t="shared" si="107"/>
        <v/>
      </c>
      <c r="BH38" s="26" t="str">
        <f t="shared" si="108"/>
        <v/>
      </c>
      <c r="BI38" s="26" t="str">
        <f t="shared" si="109"/>
        <v/>
      </c>
      <c r="BJ38" s="26" t="str">
        <f t="shared" si="110"/>
        <v/>
      </c>
      <c r="BK38" s="26" t="str">
        <f t="shared" si="111"/>
        <v/>
      </c>
      <c r="BL38" s="26" t="str">
        <f t="shared" si="112"/>
        <v/>
      </c>
      <c r="BM38" s="26" t="str">
        <f t="shared" si="113"/>
        <v/>
      </c>
      <c r="BN38" s="26" t="str">
        <f t="shared" si="114"/>
        <v/>
      </c>
      <c r="BO38" s="26" t="str">
        <f t="shared" si="115"/>
        <v/>
      </c>
      <c r="BP38" s="26" t="str">
        <f t="shared" si="116"/>
        <v/>
      </c>
      <c r="BQ38" s="26" t="str">
        <f t="shared" si="117"/>
        <v/>
      </c>
      <c r="BR38" s="32" t="str">
        <f t="shared" si="118"/>
        <v/>
      </c>
      <c r="BS38" s="27" t="str">
        <f t="shared" si="119"/>
        <v/>
      </c>
      <c r="BT38" s="32" t="str">
        <f t="shared" si="120"/>
        <v/>
      </c>
      <c r="BU38" s="27" t="str">
        <f t="shared" si="121"/>
        <v/>
      </c>
    </row>
    <row r="39" spans="1:73" x14ac:dyDescent="0.3">
      <c r="A39" s="22" t="str">
        <f>'📊 Исходные данные'!A38</f>
        <v>Пюре Агуша фруктовое пауч 160г</v>
      </c>
      <c r="B39" s="23" t="str">
        <f>'📊 Исходные данные'!B38</f>
        <v>4690228110771</v>
      </c>
      <c r="C39" s="24">
        <f>'📊 Исходные данные'!C38</f>
        <v>63.16</v>
      </c>
      <c r="D39" s="24">
        <f>'📊 Исходные данные'!D38</f>
        <v>79</v>
      </c>
      <c r="E39" s="25" t="str">
        <f t="shared" si="61"/>
        <v>🟡 На уровне</v>
      </c>
      <c r="F39" s="26">
        <f>IFERROR(AVERAGE('📊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>77</v>
      </c>
      <c r="G39" s="26">
        <f>IFERROR(MEDIAN('📊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>76</v>
      </c>
      <c r="H39" s="26">
        <f>IFERROR(MIN('📊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>75</v>
      </c>
      <c r="I39" s="26">
        <f>IFERROR(MAX('📊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>80</v>
      </c>
      <c r="J39" s="27">
        <f t="shared" si="62"/>
        <v>2.5974025974025976E-2</v>
      </c>
      <c r="K39" s="27">
        <f t="shared" si="63"/>
        <v>3.9473684210526314E-2</v>
      </c>
      <c r="L39" s="27">
        <f t="shared" si="64"/>
        <v>5.3333333333333337E-2</v>
      </c>
      <c r="M39" s="28" t="str">
        <f>IFERROR(RANK(D39,('📊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данные'!K38)),"")</f>
        <v/>
      </c>
      <c r="N39" s="25" t="str">
        <f t="shared" si="65"/>
        <v>—</v>
      </c>
      <c r="O39" s="27">
        <f t="shared" si="66"/>
        <v>0.25079164027865747</v>
      </c>
      <c r="P39" s="27">
        <f t="shared" si="67"/>
        <v>0.2005063291139241</v>
      </c>
      <c r="Q39" s="26">
        <f t="shared" si="68"/>
        <v>15.840000000000003</v>
      </c>
      <c r="R39" s="25" t="str">
        <f t="shared" si="69"/>
        <v>🟢 Хорошая(&gt;20%)</v>
      </c>
      <c r="S39" s="25" t="str">
        <f t="shared" si="70"/>
        <v>🟢 НИЗКИЙ</v>
      </c>
      <c r="T39" s="29"/>
      <c r="U39" s="26" t="str">
        <f t="shared" si="71"/>
        <v/>
      </c>
      <c r="V39" s="26" t="str">
        <f t="shared" si="72"/>
        <v/>
      </c>
      <c r="W39" s="27" t="e">
        <f t="shared" si="73"/>
        <v>#VALUE!</v>
      </c>
      <c r="X39" s="26">
        <f t="shared" si="74"/>
        <v>77</v>
      </c>
      <c r="Y39" s="27">
        <f t="shared" si="75"/>
        <v>0.21912602913236232</v>
      </c>
      <c r="Z39" s="27">
        <f t="shared" si="76"/>
        <v>0.17974025974025978</v>
      </c>
      <c r="AA39" s="26">
        <f t="shared" si="77"/>
        <v>13.840000000000003</v>
      </c>
      <c r="AB39" s="27">
        <f t="shared" si="78"/>
        <v>-2.5316455696202531E-2</v>
      </c>
      <c r="AC39" s="27">
        <f t="shared" si="79"/>
        <v>-0.1035681490226945</v>
      </c>
      <c r="AD39" s="26">
        <f t="shared" si="80"/>
        <v>-2</v>
      </c>
      <c r="AE39" s="26">
        <f t="shared" si="81"/>
        <v>76</v>
      </c>
      <c r="AF39" s="27">
        <f t="shared" si="82"/>
        <v>0.20329322355921475</v>
      </c>
      <c r="AG39" s="27">
        <f t="shared" si="83"/>
        <v>0.16894736842105268</v>
      </c>
      <c r="AH39" s="26">
        <f t="shared" si="84"/>
        <v>12.840000000000003</v>
      </c>
      <c r="AI39" s="27">
        <f t="shared" si="85"/>
        <v>-3.7974683544303799E-2</v>
      </c>
      <c r="AJ39" s="27">
        <f t="shared" si="86"/>
        <v>-0.15739633173843698</v>
      </c>
      <c r="AK39" s="26">
        <f t="shared" si="87"/>
        <v>-3</v>
      </c>
      <c r="AL39" s="26">
        <f t="shared" si="88"/>
        <v>75</v>
      </c>
      <c r="AM39" s="27">
        <f t="shared" si="89"/>
        <v>0.18746041798606719</v>
      </c>
      <c r="AN39" s="27">
        <f t="shared" si="90"/>
        <v>0.15786666666666671</v>
      </c>
      <c r="AO39" s="26">
        <f t="shared" si="91"/>
        <v>11.840000000000003</v>
      </c>
      <c r="AP39" s="27">
        <f t="shared" si="92"/>
        <v>-5.0632911392405063E-2</v>
      </c>
      <c r="AQ39" s="27">
        <f t="shared" si="93"/>
        <v>-0.21265993265993266</v>
      </c>
      <c r="AR39" s="26">
        <f t="shared" si="94"/>
        <v>-4</v>
      </c>
      <c r="AS39" s="30"/>
      <c r="AT39" s="27" t="str">
        <f t="shared" si="95"/>
        <v/>
      </c>
      <c r="AU39" s="27" t="str">
        <f t="shared" si="96"/>
        <v/>
      </c>
      <c r="AV39" s="26" t="str">
        <f t="shared" si="97"/>
        <v/>
      </c>
      <c r="AW39" s="27" t="str">
        <f t="shared" si="98"/>
        <v/>
      </c>
      <c r="AX39" s="27" t="str">
        <f t="shared" si="99"/>
        <v/>
      </c>
      <c r="AY39" s="26" t="str">
        <f t="shared" si="100"/>
        <v/>
      </c>
      <c r="AZ39" s="31"/>
      <c r="BA39" s="26" t="str">
        <f t="shared" si="101"/>
        <v/>
      </c>
      <c r="BB39" s="27" t="str">
        <f t="shared" si="102"/>
        <v/>
      </c>
      <c r="BC39" s="27" t="str">
        <f t="shared" si="103"/>
        <v/>
      </c>
      <c r="BD39" s="26" t="str">
        <f t="shared" si="104"/>
        <v/>
      </c>
      <c r="BE39" s="27" t="str">
        <f t="shared" si="105"/>
        <v/>
      </c>
      <c r="BF39" s="27" t="str">
        <f t="shared" si="106"/>
        <v/>
      </c>
      <c r="BG39" s="26" t="str">
        <f t="shared" si="107"/>
        <v/>
      </c>
      <c r="BH39" s="26" t="str">
        <f t="shared" si="108"/>
        <v/>
      </c>
      <c r="BI39" s="26" t="str">
        <f t="shared" si="109"/>
        <v/>
      </c>
      <c r="BJ39" s="26" t="str">
        <f t="shared" si="110"/>
        <v/>
      </c>
      <c r="BK39" s="26" t="str">
        <f t="shared" si="111"/>
        <v/>
      </c>
      <c r="BL39" s="26" t="str">
        <f t="shared" si="112"/>
        <v/>
      </c>
      <c r="BM39" s="26" t="str">
        <f t="shared" si="113"/>
        <v/>
      </c>
      <c r="BN39" s="26" t="str">
        <f t="shared" si="114"/>
        <v/>
      </c>
      <c r="BO39" s="26" t="str">
        <f t="shared" si="115"/>
        <v/>
      </c>
      <c r="BP39" s="26" t="str">
        <f t="shared" si="116"/>
        <v/>
      </c>
      <c r="BQ39" s="26" t="str">
        <f t="shared" si="117"/>
        <v/>
      </c>
      <c r="BR39" s="32" t="str">
        <f t="shared" si="118"/>
        <v/>
      </c>
      <c r="BS39" s="27" t="str">
        <f t="shared" si="119"/>
        <v/>
      </c>
      <c r="BT39" s="32" t="str">
        <f t="shared" si="120"/>
        <v/>
      </c>
      <c r="BU39" s="27" t="str">
        <f t="shared" si="121"/>
        <v/>
      </c>
    </row>
    <row r="40" spans="1:73" x14ac:dyDescent="0.3">
      <c r="A40" s="22" t="str">
        <f>'📊 Исходные данные'!A39</f>
        <v>Пюре ФрутоНяня 90г Яблоко натур. 4 мес</v>
      </c>
      <c r="B40" s="23" t="str">
        <f>'📊 Исходные данные'!B39</f>
        <v>4600338006130</v>
      </c>
      <c r="C40" s="24">
        <f>'📊 Исходные данные'!C39</f>
        <v>47.48</v>
      </c>
      <c r="D40" s="24">
        <f>'📊 Исходные данные'!D39</f>
        <v>59</v>
      </c>
      <c r="E40" s="25" t="str">
        <f t="shared" si="61"/>
        <v>🔴 Выше рынка</v>
      </c>
      <c r="F40" s="26">
        <f>IFERROR(AVERAGE('📊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>45</v>
      </c>
      <c r="G40" s="26">
        <f>IFERROR(MEDIAN('📊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>45</v>
      </c>
      <c r="H40" s="26">
        <f>IFERROR(MIN('📊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>45</v>
      </c>
      <c r="I40" s="26">
        <f>IFERROR(MAX('📊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>45</v>
      </c>
      <c r="J40" s="27">
        <f t="shared" si="62"/>
        <v>0.31111111111111112</v>
      </c>
      <c r="K40" s="27">
        <f t="shared" si="63"/>
        <v>0.31111111111111112</v>
      </c>
      <c r="L40" s="27">
        <f t="shared" si="64"/>
        <v>0.31111111111111112</v>
      </c>
      <c r="M40" s="28" t="str">
        <f>IFERROR(RANK(D40,('📊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данные'!K39)),"")</f>
        <v/>
      </c>
      <c r="N40" s="25" t="str">
        <f t="shared" si="65"/>
        <v>—</v>
      </c>
      <c r="O40" s="27">
        <f t="shared" si="66"/>
        <v>0.24262847514743058</v>
      </c>
      <c r="P40" s="27">
        <f t="shared" si="67"/>
        <v>0.19525423728813565</v>
      </c>
      <c r="Q40" s="26">
        <f t="shared" si="68"/>
        <v>11.520000000000003</v>
      </c>
      <c r="R40" s="25" t="str">
        <f t="shared" si="69"/>
        <v>🟡 Средняя(10-20%)</v>
      </c>
      <c r="S40" s="25" t="str">
        <f t="shared" si="70"/>
        <v>🔴 КРИТИЧНО</v>
      </c>
      <c r="T40" s="29"/>
      <c r="U40" s="26" t="str">
        <f t="shared" si="71"/>
        <v/>
      </c>
      <c r="V40" s="26" t="str">
        <f t="shared" si="72"/>
        <v/>
      </c>
      <c r="W40" s="27" t="e">
        <f t="shared" si="73"/>
        <v>#VALUE!</v>
      </c>
      <c r="X40" s="26">
        <f t="shared" si="74"/>
        <v>45</v>
      </c>
      <c r="Y40" s="27">
        <f t="shared" si="75"/>
        <v>-5.2232518955349555E-2</v>
      </c>
      <c r="Z40" s="27">
        <f t="shared" si="76"/>
        <v>-5.5111111111111041E-2</v>
      </c>
      <c r="AA40" s="26">
        <f t="shared" si="77"/>
        <v>-2.4799999999999969</v>
      </c>
      <c r="AB40" s="27">
        <f t="shared" si="78"/>
        <v>-0.23728813559322035</v>
      </c>
      <c r="AC40" s="27">
        <f t="shared" si="79"/>
        <v>-1.2822530864197526</v>
      </c>
      <c r="AD40" s="26">
        <f t="shared" si="80"/>
        <v>-14</v>
      </c>
      <c r="AE40" s="26">
        <f t="shared" si="81"/>
        <v>45</v>
      </c>
      <c r="AF40" s="27">
        <f t="shared" si="82"/>
        <v>-5.2232518955349555E-2</v>
      </c>
      <c r="AG40" s="27">
        <f t="shared" si="83"/>
        <v>-5.5111111111111041E-2</v>
      </c>
      <c r="AH40" s="26">
        <f t="shared" si="84"/>
        <v>-2.4799999999999969</v>
      </c>
      <c r="AI40" s="27">
        <f t="shared" si="85"/>
        <v>-0.23728813559322035</v>
      </c>
      <c r="AJ40" s="27">
        <f t="shared" si="86"/>
        <v>-1.2822530864197526</v>
      </c>
      <c r="AK40" s="26">
        <f t="shared" si="87"/>
        <v>-14</v>
      </c>
      <c r="AL40" s="26">
        <f t="shared" si="88"/>
        <v>45</v>
      </c>
      <c r="AM40" s="27">
        <f t="shared" si="89"/>
        <v>-5.2232518955349555E-2</v>
      </c>
      <c r="AN40" s="27">
        <f t="shared" si="90"/>
        <v>-5.5111111111111041E-2</v>
      </c>
      <c r="AO40" s="26">
        <f t="shared" si="91"/>
        <v>-2.4799999999999969</v>
      </c>
      <c r="AP40" s="27">
        <f t="shared" si="92"/>
        <v>-0.23728813559322035</v>
      </c>
      <c r="AQ40" s="27">
        <f t="shared" si="93"/>
        <v>-1.2822530864197526</v>
      </c>
      <c r="AR40" s="26">
        <f t="shared" si="94"/>
        <v>-14</v>
      </c>
      <c r="AS40" s="30"/>
      <c r="AT40" s="27" t="str">
        <f t="shared" si="95"/>
        <v/>
      </c>
      <c r="AU40" s="27" t="str">
        <f t="shared" si="96"/>
        <v/>
      </c>
      <c r="AV40" s="26" t="str">
        <f t="shared" si="97"/>
        <v/>
      </c>
      <c r="AW40" s="27" t="str">
        <f t="shared" si="98"/>
        <v/>
      </c>
      <c r="AX40" s="27" t="str">
        <f t="shared" si="99"/>
        <v/>
      </c>
      <c r="AY40" s="26" t="str">
        <f t="shared" si="100"/>
        <v/>
      </c>
      <c r="AZ40" s="31"/>
      <c r="BA40" s="26" t="str">
        <f t="shared" si="101"/>
        <v/>
      </c>
      <c r="BB40" s="27" t="str">
        <f t="shared" si="102"/>
        <v/>
      </c>
      <c r="BC40" s="27" t="str">
        <f t="shared" si="103"/>
        <v/>
      </c>
      <c r="BD40" s="26" t="str">
        <f t="shared" si="104"/>
        <v/>
      </c>
      <c r="BE40" s="27" t="str">
        <f t="shared" si="105"/>
        <v/>
      </c>
      <c r="BF40" s="27" t="str">
        <f t="shared" si="106"/>
        <v/>
      </c>
      <c r="BG40" s="26" t="str">
        <f t="shared" si="107"/>
        <v/>
      </c>
      <c r="BH40" s="26" t="str">
        <f t="shared" si="108"/>
        <v/>
      </c>
      <c r="BI40" s="26" t="str">
        <f t="shared" si="109"/>
        <v/>
      </c>
      <c r="BJ40" s="26" t="str">
        <f t="shared" si="110"/>
        <v/>
      </c>
      <c r="BK40" s="26" t="str">
        <f t="shared" si="111"/>
        <v/>
      </c>
      <c r="BL40" s="26" t="str">
        <f t="shared" si="112"/>
        <v/>
      </c>
      <c r="BM40" s="26" t="str">
        <f t="shared" si="113"/>
        <v/>
      </c>
      <c r="BN40" s="26" t="str">
        <f t="shared" si="114"/>
        <v/>
      </c>
      <c r="BO40" s="26" t="str">
        <f t="shared" si="115"/>
        <v/>
      </c>
      <c r="BP40" s="26" t="str">
        <f t="shared" si="116"/>
        <v/>
      </c>
      <c r="BQ40" s="26" t="str">
        <f t="shared" si="117"/>
        <v/>
      </c>
      <c r="BR40" s="32" t="str">
        <f t="shared" si="118"/>
        <v/>
      </c>
      <c r="BS40" s="27" t="str">
        <f t="shared" si="119"/>
        <v/>
      </c>
      <c r="BT40" s="32" t="str">
        <f t="shared" si="120"/>
        <v/>
      </c>
      <c r="BU40" s="27" t="str">
        <f t="shared" si="121"/>
        <v/>
      </c>
    </row>
    <row r="41" spans="1:73" x14ac:dyDescent="0.3">
      <c r="A41" s="22" t="str">
        <f>'📊 Исходные данные'!A40</f>
        <v>Смесь Малютка 2 600г</v>
      </c>
      <c r="B41" s="23" t="str">
        <f>'📊 Исходные данные'!B40</f>
        <v>4600209011133</v>
      </c>
      <c r="C41" s="24">
        <f>'📊 Исходные данные'!C40</f>
        <v>577.03</v>
      </c>
      <c r="D41" s="24">
        <f>'📊 Исходные данные'!D40</f>
        <v>689</v>
      </c>
      <c r="E41" s="25" t="str">
        <f t="shared" si="61"/>
        <v>🟡 На уровне</v>
      </c>
      <c r="F41" s="26">
        <f>IFERROR(AVERAGE('📊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>697</v>
      </c>
      <c r="G41" s="26">
        <f>IFERROR(MEDIAN('📊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>699</v>
      </c>
      <c r="H41" s="26">
        <f>IFERROR(MIN('📊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>660</v>
      </c>
      <c r="I41" s="26">
        <f>IFERROR(MAX('📊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>732</v>
      </c>
      <c r="J41" s="27">
        <f t="shared" si="62"/>
        <v>-1.1477761836441894E-2</v>
      </c>
      <c r="K41" s="27">
        <f t="shared" si="63"/>
        <v>-1.4306151645207439E-2</v>
      </c>
      <c r="L41" s="27">
        <f t="shared" si="64"/>
        <v>4.3939393939393938E-2</v>
      </c>
      <c r="M41" s="28" t="str">
        <f>IFERROR(RANK(D41,('📊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данные'!K40)),"")</f>
        <v/>
      </c>
      <c r="N41" s="25" t="str">
        <f t="shared" si="65"/>
        <v>—</v>
      </c>
      <c r="O41" s="27">
        <f t="shared" si="66"/>
        <v>0.19404537025804555</v>
      </c>
      <c r="P41" s="27">
        <f t="shared" si="67"/>
        <v>0.16251088534107405</v>
      </c>
      <c r="Q41" s="26">
        <f t="shared" si="68"/>
        <v>111.97000000000003</v>
      </c>
      <c r="R41" s="25" t="str">
        <f t="shared" si="69"/>
        <v>🟡 Средняя(10-20%)</v>
      </c>
      <c r="S41" s="25" t="str">
        <f t="shared" si="70"/>
        <v>🟡 УМЕРЕННЫЙ</v>
      </c>
      <c r="T41" s="29"/>
      <c r="U41" s="26" t="str">
        <f t="shared" si="71"/>
        <v/>
      </c>
      <c r="V41" s="26" t="str">
        <f t="shared" si="72"/>
        <v/>
      </c>
      <c r="W41" s="27" t="e">
        <f t="shared" si="73"/>
        <v>#VALUE!</v>
      </c>
      <c r="X41" s="26">
        <f t="shared" si="74"/>
        <v>697</v>
      </c>
      <c r="Y41" s="27">
        <f t="shared" si="75"/>
        <v>0.20790946744536684</v>
      </c>
      <c r="Z41" s="27">
        <f t="shared" si="76"/>
        <v>0.1721233859397418</v>
      </c>
      <c r="AA41" s="26">
        <f t="shared" si="77"/>
        <v>119.97000000000003</v>
      </c>
      <c r="AB41" s="27">
        <f t="shared" si="78"/>
        <v>1.1611030478955007E-2</v>
      </c>
      <c r="AC41" s="27">
        <f t="shared" si="79"/>
        <v>5.9149887581334985E-2</v>
      </c>
      <c r="AD41" s="26">
        <f t="shared" si="80"/>
        <v>8</v>
      </c>
      <c r="AE41" s="26">
        <f t="shared" si="81"/>
        <v>699</v>
      </c>
      <c r="AF41" s="27">
        <f t="shared" si="82"/>
        <v>0.21137549174219716</v>
      </c>
      <c r="AG41" s="27">
        <f t="shared" si="83"/>
        <v>0.17449213161659519</v>
      </c>
      <c r="AH41" s="26">
        <f t="shared" si="84"/>
        <v>121.97000000000003</v>
      </c>
      <c r="AI41" s="27">
        <f t="shared" si="85"/>
        <v>1.4513788098693759E-2</v>
      </c>
      <c r="AJ41" s="27">
        <f t="shared" si="86"/>
        <v>7.3725807661284809E-2</v>
      </c>
      <c r="AK41" s="26">
        <f t="shared" si="87"/>
        <v>10</v>
      </c>
      <c r="AL41" s="26">
        <f t="shared" si="88"/>
        <v>660</v>
      </c>
      <c r="AM41" s="27">
        <f t="shared" si="89"/>
        <v>0.14378801795400592</v>
      </c>
      <c r="AN41" s="27">
        <f t="shared" si="90"/>
        <v>0.12571212121212125</v>
      </c>
      <c r="AO41" s="26">
        <f t="shared" si="91"/>
        <v>82.970000000000027</v>
      </c>
      <c r="AP41" s="27">
        <f t="shared" si="92"/>
        <v>-4.2089985486211901E-2</v>
      </c>
      <c r="AQ41" s="27">
        <f t="shared" si="93"/>
        <v>-0.22643876471240937</v>
      </c>
      <c r="AR41" s="26">
        <f t="shared" si="94"/>
        <v>-29</v>
      </c>
      <c r="AS41" s="30"/>
      <c r="AT41" s="27" t="str">
        <f t="shared" si="95"/>
        <v/>
      </c>
      <c r="AU41" s="27" t="str">
        <f t="shared" si="96"/>
        <v/>
      </c>
      <c r="AV41" s="26" t="str">
        <f t="shared" si="97"/>
        <v/>
      </c>
      <c r="AW41" s="27" t="str">
        <f t="shared" si="98"/>
        <v/>
      </c>
      <c r="AX41" s="27" t="str">
        <f t="shared" si="99"/>
        <v/>
      </c>
      <c r="AY41" s="26" t="str">
        <f t="shared" si="100"/>
        <v/>
      </c>
      <c r="AZ41" s="31"/>
      <c r="BA41" s="26" t="str">
        <f t="shared" si="101"/>
        <v/>
      </c>
      <c r="BB41" s="27" t="str">
        <f t="shared" si="102"/>
        <v/>
      </c>
      <c r="BC41" s="27" t="str">
        <f t="shared" si="103"/>
        <v/>
      </c>
      <c r="BD41" s="26" t="str">
        <f t="shared" si="104"/>
        <v/>
      </c>
      <c r="BE41" s="27" t="str">
        <f t="shared" si="105"/>
        <v/>
      </c>
      <c r="BF41" s="27" t="str">
        <f t="shared" si="106"/>
        <v/>
      </c>
      <c r="BG41" s="26" t="str">
        <f t="shared" si="107"/>
        <v/>
      </c>
      <c r="BH41" s="26" t="str">
        <f t="shared" si="108"/>
        <v/>
      </c>
      <c r="BI41" s="26" t="str">
        <f t="shared" si="109"/>
        <v/>
      </c>
      <c r="BJ41" s="26" t="str">
        <f t="shared" si="110"/>
        <v/>
      </c>
      <c r="BK41" s="26" t="str">
        <f t="shared" si="111"/>
        <v/>
      </c>
      <c r="BL41" s="26" t="str">
        <f t="shared" si="112"/>
        <v/>
      </c>
      <c r="BM41" s="26" t="str">
        <f t="shared" si="113"/>
        <v/>
      </c>
      <c r="BN41" s="26" t="str">
        <f t="shared" si="114"/>
        <v/>
      </c>
      <c r="BO41" s="26" t="str">
        <f t="shared" si="115"/>
        <v/>
      </c>
      <c r="BP41" s="26" t="str">
        <f t="shared" si="116"/>
        <v/>
      </c>
      <c r="BQ41" s="26" t="str">
        <f t="shared" si="117"/>
        <v/>
      </c>
      <c r="BR41" s="32" t="str">
        <f t="shared" si="118"/>
        <v/>
      </c>
      <c r="BS41" s="27" t="str">
        <f t="shared" si="119"/>
        <v/>
      </c>
      <c r="BT41" s="32" t="str">
        <f t="shared" si="120"/>
        <v/>
      </c>
      <c r="BU41" s="27" t="str">
        <f t="shared" si="121"/>
        <v/>
      </c>
    </row>
    <row r="42" spans="1:73" x14ac:dyDescent="0.3">
      <c r="A42" s="22" t="str">
        <f>'📊 Исходные данные'!A41</f>
        <v>Смесь Нутрилон 2 Премиум 600г</v>
      </c>
      <c r="B42" s="23" t="str">
        <f>'📊 Исходные данные'!B41</f>
        <v>4600209011256</v>
      </c>
      <c r="C42" s="24">
        <f>'📊 Исходные данные'!C41</f>
        <v>828.52</v>
      </c>
      <c r="D42" s="24">
        <f>'📊 Исходные данные'!D41</f>
        <v>955</v>
      </c>
      <c r="E42" s="25" t="str">
        <f t="shared" si="61"/>
        <v>🟡 На уровне</v>
      </c>
      <c r="F42" s="26">
        <f>IFERROR(AVERAGE('📊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>981</v>
      </c>
      <c r="G42" s="26">
        <f>IFERROR(MEDIAN('📊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>957</v>
      </c>
      <c r="H42" s="26">
        <f>IFERROR(MIN('📊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>915</v>
      </c>
      <c r="I42" s="26">
        <f>IFERROR(MAX('📊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>1095</v>
      </c>
      <c r="J42" s="27">
        <f t="shared" si="62"/>
        <v>-2.6503567787971458E-2</v>
      </c>
      <c r="K42" s="27">
        <f t="shared" si="63"/>
        <v>-2.0898641588296763E-3</v>
      </c>
      <c r="L42" s="27">
        <f t="shared" si="64"/>
        <v>4.3715846994535519E-2</v>
      </c>
      <c r="M42" s="28" t="str">
        <f>IFERROR(RANK(D42,('📊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данные'!K41)),"")</f>
        <v/>
      </c>
      <c r="N42" s="25" t="str">
        <f t="shared" si="65"/>
        <v>—</v>
      </c>
      <c r="O42" s="27">
        <f t="shared" si="66"/>
        <v>0.15265775117076236</v>
      </c>
      <c r="P42" s="27">
        <f t="shared" si="67"/>
        <v>0.13243979057591626</v>
      </c>
      <c r="Q42" s="26">
        <f t="shared" si="68"/>
        <v>126.48000000000002</v>
      </c>
      <c r="R42" s="25" t="str">
        <f t="shared" si="69"/>
        <v>🟡 Средняя(10-20%)</v>
      </c>
      <c r="S42" s="25" t="str">
        <f t="shared" si="70"/>
        <v>🟡 УМЕРЕННЫЙ</v>
      </c>
      <c r="T42" s="29"/>
      <c r="U42" s="26" t="str">
        <f t="shared" si="71"/>
        <v/>
      </c>
      <c r="V42" s="26" t="str">
        <f t="shared" si="72"/>
        <v/>
      </c>
      <c r="W42" s="27" t="e">
        <f t="shared" si="73"/>
        <v>#VALUE!</v>
      </c>
      <c r="X42" s="26">
        <f t="shared" si="74"/>
        <v>981</v>
      </c>
      <c r="Y42" s="27">
        <f t="shared" si="75"/>
        <v>0.18403900931781975</v>
      </c>
      <c r="Z42" s="27">
        <f t="shared" si="76"/>
        <v>0.15543323139653417</v>
      </c>
      <c r="AA42" s="26">
        <f t="shared" si="77"/>
        <v>152.48000000000002</v>
      </c>
      <c r="AB42" s="27">
        <f t="shared" si="78"/>
        <v>2.7225130890052355E-2</v>
      </c>
      <c r="AC42" s="27">
        <f t="shared" si="79"/>
        <v>0.17361429462120573</v>
      </c>
      <c r="AD42" s="26">
        <f t="shared" si="80"/>
        <v>26</v>
      </c>
      <c r="AE42" s="26">
        <f t="shared" si="81"/>
        <v>957</v>
      </c>
      <c r="AF42" s="27">
        <f t="shared" si="82"/>
        <v>0.15507169410515137</v>
      </c>
      <c r="AG42" s="27">
        <f t="shared" si="83"/>
        <v>0.13425287356321841</v>
      </c>
      <c r="AH42" s="26">
        <f t="shared" si="84"/>
        <v>128.48000000000002</v>
      </c>
      <c r="AI42" s="27">
        <f t="shared" si="85"/>
        <v>2.0942408376963353E-3</v>
      </c>
      <c r="AJ42" s="27">
        <f t="shared" si="86"/>
        <v>1.3689866009436695E-2</v>
      </c>
      <c r="AK42" s="26">
        <f t="shared" si="87"/>
        <v>2</v>
      </c>
      <c r="AL42" s="26">
        <f t="shared" si="88"/>
        <v>915</v>
      </c>
      <c r="AM42" s="27">
        <f t="shared" si="89"/>
        <v>0.10437889248298172</v>
      </c>
      <c r="AN42" s="27">
        <f t="shared" si="90"/>
        <v>9.4513661202185809E-2</v>
      </c>
      <c r="AO42" s="26">
        <f t="shared" si="91"/>
        <v>86.480000000000018</v>
      </c>
      <c r="AP42" s="27">
        <f t="shared" si="92"/>
        <v>-4.1884816753926704E-2</v>
      </c>
      <c r="AQ42" s="27">
        <f t="shared" si="93"/>
        <v>-0.28636506603346434</v>
      </c>
      <c r="AR42" s="26">
        <f t="shared" si="94"/>
        <v>-40</v>
      </c>
      <c r="AS42" s="30"/>
      <c r="AT42" s="27" t="str">
        <f t="shared" si="95"/>
        <v/>
      </c>
      <c r="AU42" s="27" t="str">
        <f t="shared" si="96"/>
        <v/>
      </c>
      <c r="AV42" s="26" t="str">
        <f t="shared" si="97"/>
        <v/>
      </c>
      <c r="AW42" s="27" t="str">
        <f t="shared" si="98"/>
        <v/>
      </c>
      <c r="AX42" s="27" t="str">
        <f t="shared" si="99"/>
        <v/>
      </c>
      <c r="AY42" s="26" t="str">
        <f t="shared" si="100"/>
        <v/>
      </c>
      <c r="AZ42" s="31"/>
      <c r="BA42" s="26" t="str">
        <f t="shared" si="101"/>
        <v/>
      </c>
      <c r="BB42" s="27" t="str">
        <f t="shared" si="102"/>
        <v/>
      </c>
      <c r="BC42" s="27" t="str">
        <f t="shared" si="103"/>
        <v/>
      </c>
      <c r="BD42" s="26" t="str">
        <f t="shared" si="104"/>
        <v/>
      </c>
      <c r="BE42" s="27" t="str">
        <f t="shared" si="105"/>
        <v/>
      </c>
      <c r="BF42" s="27" t="str">
        <f t="shared" si="106"/>
        <v/>
      </c>
      <c r="BG42" s="26" t="str">
        <f t="shared" si="107"/>
        <v/>
      </c>
      <c r="BH42" s="26" t="str">
        <f t="shared" si="108"/>
        <v/>
      </c>
      <c r="BI42" s="26" t="str">
        <f t="shared" si="109"/>
        <v/>
      </c>
      <c r="BJ42" s="26" t="str">
        <f t="shared" si="110"/>
        <v/>
      </c>
      <c r="BK42" s="26" t="str">
        <f t="shared" si="111"/>
        <v/>
      </c>
      <c r="BL42" s="26" t="str">
        <f t="shared" si="112"/>
        <v/>
      </c>
      <c r="BM42" s="26" t="str">
        <f t="shared" si="113"/>
        <v/>
      </c>
      <c r="BN42" s="26" t="str">
        <f t="shared" si="114"/>
        <v/>
      </c>
      <c r="BO42" s="26" t="str">
        <f t="shared" si="115"/>
        <v/>
      </c>
      <c r="BP42" s="26" t="str">
        <f t="shared" si="116"/>
        <v/>
      </c>
      <c r="BQ42" s="26" t="str">
        <f t="shared" si="117"/>
        <v/>
      </c>
      <c r="BR42" s="32" t="str">
        <f t="shared" si="118"/>
        <v/>
      </c>
      <c r="BS42" s="27" t="str">
        <f t="shared" si="119"/>
        <v/>
      </c>
      <c r="BT42" s="32" t="str">
        <f t="shared" si="120"/>
        <v/>
      </c>
      <c r="BU42" s="27" t="str">
        <f t="shared" si="121"/>
        <v/>
      </c>
    </row>
    <row r="43" spans="1:73" x14ac:dyDescent="0.3">
      <c r="A43" s="22" t="str">
        <f>'📊 Исходные данные'!A42</f>
        <v>Хлебцы Др Корнер Рисовые с молочным шоколадом 67г</v>
      </c>
      <c r="B43" s="23" t="str">
        <f>'📊 Исходные данные'!B42</f>
        <v>4607065716301</v>
      </c>
      <c r="C43" s="24">
        <f>'📊 Исходные данные'!C42</f>
        <v>96.62</v>
      </c>
      <c r="D43" s="24">
        <f>'📊 Исходные данные'!D42</f>
        <v>125</v>
      </c>
      <c r="E43" s="25" t="str">
        <f t="shared" si="61"/>
        <v>🔴 Выше рынка</v>
      </c>
      <c r="F43" s="26">
        <f>IFERROR(AVERAGE('📊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>113.5</v>
      </c>
      <c r="G43" s="26">
        <f>IFERROR(MEDIAN('📊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>119.5</v>
      </c>
      <c r="H43" s="26">
        <f>IFERROR(MIN('📊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>85</v>
      </c>
      <c r="I43" s="26">
        <f>IFERROR(MAX('📊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>130</v>
      </c>
      <c r="J43" s="27">
        <f t="shared" si="62"/>
        <v>0.1013215859030837</v>
      </c>
      <c r="K43" s="27">
        <f t="shared" si="63"/>
        <v>4.6025104602510462E-2</v>
      </c>
      <c r="L43" s="27">
        <f t="shared" si="64"/>
        <v>0.47058823529411764</v>
      </c>
      <c r="M43" s="28" t="str">
        <f>IFERROR(RANK(D43,('📊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данные'!K42)),"")</f>
        <v/>
      </c>
      <c r="N43" s="25" t="str">
        <f t="shared" si="65"/>
        <v>—</v>
      </c>
      <c r="O43" s="27">
        <f t="shared" si="66"/>
        <v>0.29372800662388732</v>
      </c>
      <c r="P43" s="27">
        <f t="shared" si="67"/>
        <v>0.22703999999999996</v>
      </c>
      <c r="Q43" s="26">
        <f t="shared" si="68"/>
        <v>28.379999999999995</v>
      </c>
      <c r="R43" s="25" t="str">
        <f t="shared" si="69"/>
        <v>🟢 Хорошая(&gt;20%)</v>
      </c>
      <c r="S43" s="25" t="str">
        <f t="shared" si="70"/>
        <v>🔴 КРИТИЧНО</v>
      </c>
      <c r="T43" s="29"/>
      <c r="U43" s="26" t="str">
        <f t="shared" si="71"/>
        <v/>
      </c>
      <c r="V43" s="26" t="str">
        <f t="shared" si="72"/>
        <v/>
      </c>
      <c r="W43" s="27" t="e">
        <f t="shared" si="73"/>
        <v>#VALUE!</v>
      </c>
      <c r="X43" s="26">
        <f t="shared" si="74"/>
        <v>113.5</v>
      </c>
      <c r="Y43" s="27">
        <f t="shared" si="75"/>
        <v>0.1747050300144897</v>
      </c>
      <c r="Z43" s="27">
        <f t="shared" si="76"/>
        <v>0.14872246696035238</v>
      </c>
      <c r="AA43" s="26">
        <f t="shared" si="77"/>
        <v>16.879999999999995</v>
      </c>
      <c r="AB43" s="27">
        <f t="shared" si="78"/>
        <v>-9.1999999999999998E-2</v>
      </c>
      <c r="AC43" s="27">
        <f t="shared" si="79"/>
        <v>-0.34495037455799682</v>
      </c>
      <c r="AD43" s="26">
        <f t="shared" si="80"/>
        <v>-11.5</v>
      </c>
      <c r="AE43" s="26">
        <f t="shared" si="81"/>
        <v>119.5</v>
      </c>
      <c r="AF43" s="27">
        <f t="shared" si="82"/>
        <v>0.2368039743324363</v>
      </c>
      <c r="AG43" s="27">
        <f t="shared" si="83"/>
        <v>0.19146443514644348</v>
      </c>
      <c r="AH43" s="26">
        <f t="shared" si="84"/>
        <v>22.879999999999995</v>
      </c>
      <c r="AI43" s="27">
        <f t="shared" si="85"/>
        <v>-4.3999999999999997E-2</v>
      </c>
      <c r="AJ43" s="27">
        <f t="shared" si="86"/>
        <v>-0.15669293892510786</v>
      </c>
      <c r="AK43" s="26">
        <f t="shared" si="87"/>
        <v>-5.5</v>
      </c>
      <c r="AL43" s="26">
        <f t="shared" si="88"/>
        <v>85</v>
      </c>
      <c r="AM43" s="27">
        <f t="shared" si="89"/>
        <v>-0.12026495549575661</v>
      </c>
      <c r="AN43" s="27">
        <f t="shared" si="90"/>
        <v>-0.13670588235294123</v>
      </c>
      <c r="AO43" s="26">
        <f t="shared" si="91"/>
        <v>-11.620000000000005</v>
      </c>
      <c r="AP43" s="27">
        <f t="shared" si="92"/>
        <v>-0.32</v>
      </c>
      <c r="AQ43" s="27">
        <f t="shared" si="93"/>
        <v>-1.602122455747627</v>
      </c>
      <c r="AR43" s="26">
        <f t="shared" si="94"/>
        <v>-40</v>
      </c>
      <c r="AS43" s="30"/>
      <c r="AT43" s="27" t="str">
        <f t="shared" si="95"/>
        <v/>
      </c>
      <c r="AU43" s="27" t="str">
        <f t="shared" si="96"/>
        <v/>
      </c>
      <c r="AV43" s="26" t="str">
        <f t="shared" si="97"/>
        <v/>
      </c>
      <c r="AW43" s="27" t="str">
        <f t="shared" si="98"/>
        <v/>
      </c>
      <c r="AX43" s="27" t="str">
        <f t="shared" si="99"/>
        <v/>
      </c>
      <c r="AY43" s="26" t="str">
        <f t="shared" si="100"/>
        <v/>
      </c>
      <c r="AZ43" s="31"/>
      <c r="BA43" s="26" t="str">
        <f t="shared" si="101"/>
        <v/>
      </c>
      <c r="BB43" s="27" t="str">
        <f t="shared" si="102"/>
        <v/>
      </c>
      <c r="BC43" s="27" t="str">
        <f t="shared" si="103"/>
        <v/>
      </c>
      <c r="BD43" s="26" t="str">
        <f t="shared" si="104"/>
        <v/>
      </c>
      <c r="BE43" s="27" t="str">
        <f t="shared" si="105"/>
        <v/>
      </c>
      <c r="BF43" s="27" t="str">
        <f t="shared" si="106"/>
        <v/>
      </c>
      <c r="BG43" s="26" t="str">
        <f t="shared" si="107"/>
        <v/>
      </c>
      <c r="BH43" s="26" t="str">
        <f t="shared" si="108"/>
        <v/>
      </c>
      <c r="BI43" s="26" t="str">
        <f t="shared" si="109"/>
        <v/>
      </c>
      <c r="BJ43" s="26" t="str">
        <f t="shared" si="110"/>
        <v/>
      </c>
      <c r="BK43" s="26" t="str">
        <f t="shared" si="111"/>
        <v/>
      </c>
      <c r="BL43" s="26" t="str">
        <f t="shared" si="112"/>
        <v/>
      </c>
      <c r="BM43" s="26" t="str">
        <f t="shared" si="113"/>
        <v/>
      </c>
      <c r="BN43" s="26" t="str">
        <f t="shared" si="114"/>
        <v/>
      </c>
      <c r="BO43" s="26" t="str">
        <f t="shared" si="115"/>
        <v/>
      </c>
      <c r="BP43" s="26" t="str">
        <f t="shared" si="116"/>
        <v/>
      </c>
      <c r="BQ43" s="26" t="str">
        <f t="shared" si="117"/>
        <v/>
      </c>
      <c r="BR43" s="32" t="str">
        <f t="shared" si="118"/>
        <v/>
      </c>
      <c r="BS43" s="27" t="str">
        <f t="shared" si="119"/>
        <v/>
      </c>
      <c r="BT43" s="32" t="str">
        <f t="shared" si="120"/>
        <v/>
      </c>
      <c r="BU43" s="27" t="str">
        <f t="shared" si="121"/>
        <v/>
      </c>
    </row>
    <row r="44" spans="1:73" x14ac:dyDescent="0.3">
      <c r="A44" s="22" t="str">
        <f>'📊 Исходные данные'!A43</f>
        <v>Хлебцы Др Корнер Рисовые с темным шоколадом 67г</v>
      </c>
      <c r="B44" s="23" t="str">
        <f>'📊 Исходные данные'!B43</f>
        <v>4607065716288</v>
      </c>
      <c r="C44" s="24">
        <f>'📊 Исходные данные'!C43</f>
        <v>96.62</v>
      </c>
      <c r="D44" s="24">
        <f>'📊 Исходные данные'!D43</f>
        <v>125</v>
      </c>
      <c r="E44" s="25" t="str">
        <f t="shared" si="61"/>
        <v>🔴 Выше рынка</v>
      </c>
      <c r="F44" s="26">
        <f>IFERROR(AVERAGE('📊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>113.5</v>
      </c>
      <c r="G44" s="26">
        <f>IFERROR(MEDIAN('📊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>119.5</v>
      </c>
      <c r="H44" s="26">
        <f>IFERROR(MIN('📊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>85</v>
      </c>
      <c r="I44" s="26">
        <f>IFERROR(MAX('📊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>130</v>
      </c>
      <c r="J44" s="27">
        <f t="shared" si="62"/>
        <v>0.1013215859030837</v>
      </c>
      <c r="K44" s="27">
        <f t="shared" si="63"/>
        <v>4.6025104602510462E-2</v>
      </c>
      <c r="L44" s="27">
        <f t="shared" si="64"/>
        <v>0.47058823529411764</v>
      </c>
      <c r="M44" s="28" t="str">
        <f>IFERROR(RANK(D44,('📊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данные'!K43)),"")</f>
        <v/>
      </c>
      <c r="N44" s="25" t="str">
        <f t="shared" si="65"/>
        <v>—</v>
      </c>
      <c r="O44" s="27">
        <f t="shared" si="66"/>
        <v>0.29372800662388732</v>
      </c>
      <c r="P44" s="27">
        <f t="shared" si="67"/>
        <v>0.22703999999999996</v>
      </c>
      <c r="Q44" s="26">
        <f t="shared" si="68"/>
        <v>28.379999999999995</v>
      </c>
      <c r="R44" s="25" t="str">
        <f t="shared" si="69"/>
        <v>🟢 Хорошая(&gt;20%)</v>
      </c>
      <c r="S44" s="25" t="str">
        <f t="shared" si="70"/>
        <v>🔴 КРИТИЧНО</v>
      </c>
      <c r="T44" s="29"/>
      <c r="U44" s="26" t="str">
        <f t="shared" si="71"/>
        <v/>
      </c>
      <c r="V44" s="26" t="str">
        <f t="shared" si="72"/>
        <v/>
      </c>
      <c r="W44" s="27" t="e">
        <f t="shared" si="73"/>
        <v>#VALUE!</v>
      </c>
      <c r="X44" s="26">
        <f t="shared" si="74"/>
        <v>113.5</v>
      </c>
      <c r="Y44" s="27">
        <f t="shared" si="75"/>
        <v>0.1747050300144897</v>
      </c>
      <c r="Z44" s="27">
        <f t="shared" si="76"/>
        <v>0.14872246696035238</v>
      </c>
      <c r="AA44" s="26">
        <f t="shared" si="77"/>
        <v>16.879999999999995</v>
      </c>
      <c r="AB44" s="27">
        <f t="shared" si="78"/>
        <v>-9.1999999999999998E-2</v>
      </c>
      <c r="AC44" s="27">
        <f t="shared" si="79"/>
        <v>-0.34495037455799682</v>
      </c>
      <c r="AD44" s="26">
        <f t="shared" si="80"/>
        <v>-11.5</v>
      </c>
      <c r="AE44" s="26">
        <f t="shared" si="81"/>
        <v>119.5</v>
      </c>
      <c r="AF44" s="27">
        <f t="shared" si="82"/>
        <v>0.2368039743324363</v>
      </c>
      <c r="AG44" s="27">
        <f t="shared" si="83"/>
        <v>0.19146443514644348</v>
      </c>
      <c r="AH44" s="26">
        <f t="shared" si="84"/>
        <v>22.879999999999995</v>
      </c>
      <c r="AI44" s="27">
        <f t="shared" si="85"/>
        <v>-4.3999999999999997E-2</v>
      </c>
      <c r="AJ44" s="27">
        <f t="shared" si="86"/>
        <v>-0.15669293892510786</v>
      </c>
      <c r="AK44" s="26">
        <f t="shared" si="87"/>
        <v>-5.5</v>
      </c>
      <c r="AL44" s="26">
        <f t="shared" si="88"/>
        <v>85</v>
      </c>
      <c r="AM44" s="27">
        <f t="shared" si="89"/>
        <v>-0.12026495549575661</v>
      </c>
      <c r="AN44" s="27">
        <f t="shared" si="90"/>
        <v>-0.13670588235294123</v>
      </c>
      <c r="AO44" s="26">
        <f t="shared" si="91"/>
        <v>-11.620000000000005</v>
      </c>
      <c r="AP44" s="27">
        <f t="shared" si="92"/>
        <v>-0.32</v>
      </c>
      <c r="AQ44" s="27">
        <f t="shared" si="93"/>
        <v>-1.602122455747627</v>
      </c>
      <c r="AR44" s="26">
        <f t="shared" si="94"/>
        <v>-40</v>
      </c>
      <c r="AS44" s="30"/>
      <c r="AT44" s="27" t="str">
        <f t="shared" si="95"/>
        <v/>
      </c>
      <c r="AU44" s="27" t="str">
        <f t="shared" si="96"/>
        <v/>
      </c>
      <c r="AV44" s="26" t="str">
        <f t="shared" si="97"/>
        <v/>
      </c>
      <c r="AW44" s="27" t="str">
        <f t="shared" si="98"/>
        <v/>
      </c>
      <c r="AX44" s="27" t="str">
        <f t="shared" si="99"/>
        <v/>
      </c>
      <c r="AY44" s="26" t="str">
        <f t="shared" si="100"/>
        <v/>
      </c>
      <c r="AZ44" s="31"/>
      <c r="BA44" s="26" t="str">
        <f t="shared" si="101"/>
        <v/>
      </c>
      <c r="BB44" s="27" t="str">
        <f t="shared" si="102"/>
        <v/>
      </c>
      <c r="BC44" s="27" t="str">
        <f t="shared" si="103"/>
        <v/>
      </c>
      <c r="BD44" s="26" t="str">
        <f t="shared" si="104"/>
        <v/>
      </c>
      <c r="BE44" s="27" t="str">
        <f t="shared" si="105"/>
        <v/>
      </c>
      <c r="BF44" s="27" t="str">
        <f t="shared" si="106"/>
        <v/>
      </c>
      <c r="BG44" s="26" t="str">
        <f t="shared" si="107"/>
        <v/>
      </c>
      <c r="BH44" s="26" t="str">
        <f t="shared" si="108"/>
        <v/>
      </c>
      <c r="BI44" s="26" t="str">
        <f t="shared" si="109"/>
        <v/>
      </c>
      <c r="BJ44" s="26" t="str">
        <f t="shared" si="110"/>
        <v/>
      </c>
      <c r="BK44" s="26" t="str">
        <f t="shared" si="111"/>
        <v/>
      </c>
      <c r="BL44" s="26" t="str">
        <f t="shared" si="112"/>
        <v/>
      </c>
      <c r="BM44" s="26" t="str">
        <f t="shared" si="113"/>
        <v/>
      </c>
      <c r="BN44" s="26" t="str">
        <f t="shared" si="114"/>
        <v/>
      </c>
      <c r="BO44" s="26" t="str">
        <f t="shared" si="115"/>
        <v/>
      </c>
      <c r="BP44" s="26" t="str">
        <f t="shared" si="116"/>
        <v/>
      </c>
      <c r="BQ44" s="26" t="str">
        <f t="shared" si="117"/>
        <v/>
      </c>
      <c r="BR44" s="32" t="str">
        <f t="shared" si="118"/>
        <v/>
      </c>
      <c r="BS44" s="27" t="str">
        <f t="shared" si="119"/>
        <v/>
      </c>
      <c r="BT44" s="32" t="str">
        <f t="shared" si="120"/>
        <v/>
      </c>
      <c r="BU44" s="27" t="str">
        <f t="shared" si="121"/>
        <v/>
      </c>
    </row>
    <row r="45" spans="1:73" x14ac:dyDescent="0.3">
      <c r="A45" s="22" t="str">
        <f>'📊 Исходные данные'!A44</f>
        <v>Колбаса Урицкий Чеченская п/к батон</v>
      </c>
      <c r="B45" s="23" t="str">
        <f>'📊 Исходные данные'!B44</f>
        <v>2124551</v>
      </c>
      <c r="C45" s="24">
        <f>'📊 Исходные данные'!C44</f>
        <v>567</v>
      </c>
      <c r="D45" s="24">
        <f>'📊 Исходные данные'!D44</f>
        <v>695</v>
      </c>
      <c r="E45" s="25" t="str">
        <f t="shared" si="61"/>
        <v>🟢 Ниже рынка</v>
      </c>
      <c r="F45" s="26">
        <f>IFERROR(AVERAGE('📊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>827.5</v>
      </c>
      <c r="G45" s="26">
        <f>IFERROR(MEDIAN('📊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>827.5</v>
      </c>
      <c r="H45" s="26">
        <f>IFERROR(MIN('📊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>740</v>
      </c>
      <c r="I45" s="26">
        <f>IFERROR(MAX('📊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>915</v>
      </c>
      <c r="J45" s="27">
        <f t="shared" si="62"/>
        <v>-0.16012084592145015</v>
      </c>
      <c r="K45" s="27">
        <f t="shared" si="63"/>
        <v>-0.16012084592145015</v>
      </c>
      <c r="L45" s="27">
        <f t="shared" si="64"/>
        <v>-6.0810810810810814E-2</v>
      </c>
      <c r="M45" s="28" t="str">
        <f>IFERROR(RANK(D45,('📊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данные'!K44)),"")</f>
        <v/>
      </c>
      <c r="N45" s="25" t="str">
        <f t="shared" si="65"/>
        <v>—</v>
      </c>
      <c r="O45" s="27">
        <f t="shared" si="66"/>
        <v>0.2257495590828924</v>
      </c>
      <c r="P45" s="27">
        <f t="shared" si="67"/>
        <v>0.1841726618705036</v>
      </c>
      <c r="Q45" s="26">
        <f t="shared" si="68"/>
        <v>128</v>
      </c>
      <c r="R45" s="25" t="str">
        <f t="shared" si="69"/>
        <v>🟡 Средняя(10-20%)</v>
      </c>
      <c r="S45" s="25" t="str">
        <f t="shared" si="70"/>
        <v>🟢 НИЗКИЙ</v>
      </c>
      <c r="T45" s="29"/>
      <c r="U45" s="26" t="str">
        <f t="shared" si="71"/>
        <v/>
      </c>
      <c r="V45" s="26" t="str">
        <f t="shared" si="72"/>
        <v/>
      </c>
      <c r="W45" s="27" t="e">
        <f t="shared" si="73"/>
        <v>#VALUE!</v>
      </c>
      <c r="X45" s="26">
        <f t="shared" si="74"/>
        <v>827.5</v>
      </c>
      <c r="Y45" s="27">
        <f t="shared" si="75"/>
        <v>0.45943562610229277</v>
      </c>
      <c r="Z45" s="27">
        <f t="shared" si="76"/>
        <v>0.3148036253776435</v>
      </c>
      <c r="AA45" s="26">
        <f t="shared" si="77"/>
        <v>260.5</v>
      </c>
      <c r="AB45" s="27">
        <f t="shared" si="78"/>
        <v>0.1906474820143885</v>
      </c>
      <c r="AC45" s="27">
        <f t="shared" si="79"/>
        <v>0.70928530966767367</v>
      </c>
      <c r="AD45" s="26">
        <f t="shared" si="80"/>
        <v>132.5</v>
      </c>
      <c r="AE45" s="26">
        <f t="shared" si="81"/>
        <v>827.5</v>
      </c>
      <c r="AF45" s="27">
        <f t="shared" si="82"/>
        <v>0.45943562610229277</v>
      </c>
      <c r="AG45" s="27">
        <f t="shared" si="83"/>
        <v>0.3148036253776435</v>
      </c>
      <c r="AH45" s="26">
        <f t="shared" si="84"/>
        <v>260.5</v>
      </c>
      <c r="AI45" s="27">
        <f t="shared" si="85"/>
        <v>0.1906474820143885</v>
      </c>
      <c r="AJ45" s="27">
        <f t="shared" si="86"/>
        <v>0.70928530966767367</v>
      </c>
      <c r="AK45" s="26">
        <f t="shared" si="87"/>
        <v>132.5</v>
      </c>
      <c r="AL45" s="26">
        <f t="shared" si="88"/>
        <v>740</v>
      </c>
      <c r="AM45" s="27">
        <f t="shared" si="89"/>
        <v>0.30511463844797176</v>
      </c>
      <c r="AN45" s="27">
        <f t="shared" si="90"/>
        <v>0.23378378378378378</v>
      </c>
      <c r="AO45" s="26">
        <f t="shared" si="91"/>
        <v>173</v>
      </c>
      <c r="AP45" s="27">
        <f t="shared" si="92"/>
        <v>6.4748201438848921E-2</v>
      </c>
      <c r="AQ45" s="27">
        <f t="shared" si="93"/>
        <v>0.26937288851351349</v>
      </c>
      <c r="AR45" s="26">
        <f t="shared" si="94"/>
        <v>45</v>
      </c>
      <c r="AS45" s="30"/>
      <c r="AT45" s="27" t="str">
        <f t="shared" si="95"/>
        <v/>
      </c>
      <c r="AU45" s="27" t="str">
        <f t="shared" si="96"/>
        <v/>
      </c>
      <c r="AV45" s="26" t="str">
        <f t="shared" si="97"/>
        <v/>
      </c>
      <c r="AW45" s="27" t="str">
        <f t="shared" si="98"/>
        <v/>
      </c>
      <c r="AX45" s="27" t="str">
        <f t="shared" si="99"/>
        <v/>
      </c>
      <c r="AY45" s="26" t="str">
        <f t="shared" si="100"/>
        <v/>
      </c>
      <c r="AZ45" s="31"/>
      <c r="BA45" s="26" t="str">
        <f t="shared" si="101"/>
        <v/>
      </c>
      <c r="BB45" s="27" t="str">
        <f t="shared" si="102"/>
        <v/>
      </c>
      <c r="BC45" s="27" t="str">
        <f t="shared" si="103"/>
        <v/>
      </c>
      <c r="BD45" s="26" t="str">
        <f t="shared" si="104"/>
        <v/>
      </c>
      <c r="BE45" s="27" t="str">
        <f t="shared" si="105"/>
        <v/>
      </c>
      <c r="BF45" s="27" t="str">
        <f t="shared" si="106"/>
        <v/>
      </c>
      <c r="BG45" s="26" t="str">
        <f t="shared" si="107"/>
        <v/>
      </c>
      <c r="BH45" s="26" t="str">
        <f t="shared" si="108"/>
        <v/>
      </c>
      <c r="BI45" s="26" t="str">
        <f t="shared" si="109"/>
        <v/>
      </c>
      <c r="BJ45" s="26" t="str">
        <f t="shared" si="110"/>
        <v/>
      </c>
      <c r="BK45" s="26" t="str">
        <f t="shared" si="111"/>
        <v/>
      </c>
      <c r="BL45" s="26" t="str">
        <f t="shared" si="112"/>
        <v/>
      </c>
      <c r="BM45" s="26" t="str">
        <f t="shared" si="113"/>
        <v/>
      </c>
      <c r="BN45" s="26" t="str">
        <f t="shared" si="114"/>
        <v/>
      </c>
      <c r="BO45" s="26" t="str">
        <f t="shared" si="115"/>
        <v/>
      </c>
      <c r="BP45" s="26" t="str">
        <f t="shared" si="116"/>
        <v/>
      </c>
      <c r="BQ45" s="26" t="str">
        <f t="shared" si="117"/>
        <v/>
      </c>
      <c r="BR45" s="32" t="str">
        <f t="shared" si="118"/>
        <v/>
      </c>
      <c r="BS45" s="27" t="str">
        <f t="shared" si="119"/>
        <v/>
      </c>
      <c r="BT45" s="32" t="str">
        <f t="shared" si="120"/>
        <v/>
      </c>
      <c r="BU45" s="27" t="str">
        <f t="shared" si="121"/>
        <v/>
      </c>
    </row>
    <row r="46" spans="1:73" x14ac:dyDescent="0.3">
      <c r="A46" s="22" t="str">
        <f>'📊 Исходные данные'!A45</f>
        <v>Колбаса Школьная вар Хицунов Халяль</v>
      </c>
      <c r="B46" s="23" t="str">
        <f>'📊 Исходные данные'!B45</f>
        <v>2176394</v>
      </c>
      <c r="C46" s="24">
        <f>'📊 Исходные данные'!C45</f>
        <v>468</v>
      </c>
      <c r="D46" s="24">
        <f>'📊 Исходные данные'!D45</f>
        <v>599</v>
      </c>
      <c r="E46" s="25" t="str">
        <f t="shared" si="61"/>
        <v>🟡 На уровне</v>
      </c>
      <c r="F46" s="26">
        <f>IFERROR(AVERAGE('📊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>594</v>
      </c>
      <c r="G46" s="26">
        <f>IFERROR(MEDIAN('📊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>594</v>
      </c>
      <c r="H46" s="26">
        <f>IFERROR(MIN('📊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>594</v>
      </c>
      <c r="I46" s="26">
        <f>IFERROR(MAX('📊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>594</v>
      </c>
      <c r="J46" s="27">
        <f t="shared" si="62"/>
        <v>8.4175084175084174E-3</v>
      </c>
      <c r="K46" s="27">
        <f t="shared" si="63"/>
        <v>8.4175084175084174E-3</v>
      </c>
      <c r="L46" s="27">
        <f t="shared" si="64"/>
        <v>8.4175084175084174E-3</v>
      </c>
      <c r="M46" s="28" t="str">
        <f>IFERROR(RANK(D46,('📊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данные'!K45)),"")</f>
        <v/>
      </c>
      <c r="N46" s="25" t="str">
        <f t="shared" si="65"/>
        <v>—</v>
      </c>
      <c r="O46" s="27">
        <f t="shared" si="66"/>
        <v>0.27991452991452992</v>
      </c>
      <c r="P46" s="27">
        <f t="shared" si="67"/>
        <v>0.21869782971619364</v>
      </c>
      <c r="Q46" s="26">
        <f t="shared" si="68"/>
        <v>131</v>
      </c>
      <c r="R46" s="25" t="str">
        <f t="shared" si="69"/>
        <v>🟢 Хорошая(&gt;20%)</v>
      </c>
      <c r="S46" s="25" t="str">
        <f t="shared" si="70"/>
        <v>🟢 НИЗКИЙ</v>
      </c>
      <c r="T46" s="29"/>
      <c r="U46" s="26" t="str">
        <f t="shared" si="71"/>
        <v/>
      </c>
      <c r="V46" s="26" t="str">
        <f t="shared" si="72"/>
        <v/>
      </c>
      <c r="W46" s="27" t="e">
        <f t="shared" si="73"/>
        <v>#VALUE!</v>
      </c>
      <c r="X46" s="26">
        <f t="shared" si="74"/>
        <v>594</v>
      </c>
      <c r="Y46" s="27">
        <f t="shared" si="75"/>
        <v>0.26923076923076922</v>
      </c>
      <c r="Z46" s="27">
        <f t="shared" si="76"/>
        <v>0.21212121212121213</v>
      </c>
      <c r="AA46" s="26">
        <f t="shared" si="77"/>
        <v>126</v>
      </c>
      <c r="AB46" s="27">
        <f t="shared" si="78"/>
        <v>-8.3472454090150246E-3</v>
      </c>
      <c r="AC46" s="27">
        <f t="shared" si="79"/>
        <v>-3.0071709461022351E-2</v>
      </c>
      <c r="AD46" s="26">
        <f t="shared" si="80"/>
        <v>-5</v>
      </c>
      <c r="AE46" s="26">
        <f t="shared" si="81"/>
        <v>594</v>
      </c>
      <c r="AF46" s="27">
        <f t="shared" si="82"/>
        <v>0.26923076923076922</v>
      </c>
      <c r="AG46" s="27">
        <f t="shared" si="83"/>
        <v>0.21212121212121213</v>
      </c>
      <c r="AH46" s="26">
        <f t="shared" si="84"/>
        <v>126</v>
      </c>
      <c r="AI46" s="27">
        <f t="shared" si="85"/>
        <v>-8.3472454090150246E-3</v>
      </c>
      <c r="AJ46" s="27">
        <f t="shared" si="86"/>
        <v>-3.0071709461022351E-2</v>
      </c>
      <c r="AK46" s="26">
        <f t="shared" si="87"/>
        <v>-5</v>
      </c>
      <c r="AL46" s="26">
        <f t="shared" si="88"/>
        <v>594</v>
      </c>
      <c r="AM46" s="27">
        <f t="shared" si="89"/>
        <v>0.26923076923076922</v>
      </c>
      <c r="AN46" s="27">
        <f t="shared" si="90"/>
        <v>0.21212121212121213</v>
      </c>
      <c r="AO46" s="26">
        <f t="shared" si="91"/>
        <v>126</v>
      </c>
      <c r="AP46" s="27">
        <f t="shared" si="92"/>
        <v>-8.3472454090150246E-3</v>
      </c>
      <c r="AQ46" s="27">
        <f t="shared" si="93"/>
        <v>-3.0071709461022351E-2</v>
      </c>
      <c r="AR46" s="26">
        <f t="shared" si="94"/>
        <v>-5</v>
      </c>
      <c r="AS46" s="30"/>
      <c r="AT46" s="27" t="str">
        <f t="shared" si="95"/>
        <v/>
      </c>
      <c r="AU46" s="27" t="str">
        <f t="shared" si="96"/>
        <v/>
      </c>
      <c r="AV46" s="26" t="str">
        <f t="shared" si="97"/>
        <v/>
      </c>
      <c r="AW46" s="27" t="str">
        <f t="shared" si="98"/>
        <v/>
      </c>
      <c r="AX46" s="27" t="str">
        <f t="shared" si="99"/>
        <v/>
      </c>
      <c r="AY46" s="26" t="str">
        <f t="shared" si="100"/>
        <v/>
      </c>
      <c r="AZ46" s="31"/>
      <c r="BA46" s="26" t="str">
        <f t="shared" si="101"/>
        <v/>
      </c>
      <c r="BB46" s="27" t="str">
        <f t="shared" si="102"/>
        <v/>
      </c>
      <c r="BC46" s="27" t="str">
        <f t="shared" si="103"/>
        <v/>
      </c>
      <c r="BD46" s="26" t="str">
        <f t="shared" si="104"/>
        <v/>
      </c>
      <c r="BE46" s="27" t="str">
        <f t="shared" si="105"/>
        <v/>
      </c>
      <c r="BF46" s="27" t="str">
        <f t="shared" si="106"/>
        <v/>
      </c>
      <c r="BG46" s="26" t="str">
        <f t="shared" si="107"/>
        <v/>
      </c>
      <c r="BH46" s="26" t="str">
        <f t="shared" si="108"/>
        <v/>
      </c>
      <c r="BI46" s="26" t="str">
        <f t="shared" si="109"/>
        <v/>
      </c>
      <c r="BJ46" s="26" t="str">
        <f t="shared" si="110"/>
        <v/>
      </c>
      <c r="BK46" s="26" t="str">
        <f t="shared" si="111"/>
        <v/>
      </c>
      <c r="BL46" s="26" t="str">
        <f t="shared" si="112"/>
        <v/>
      </c>
      <c r="BM46" s="26" t="str">
        <f t="shared" si="113"/>
        <v/>
      </c>
      <c r="BN46" s="26" t="str">
        <f t="shared" si="114"/>
        <v/>
      </c>
      <c r="BO46" s="26" t="str">
        <f t="shared" si="115"/>
        <v/>
      </c>
      <c r="BP46" s="26" t="str">
        <f t="shared" si="116"/>
        <v/>
      </c>
      <c r="BQ46" s="26" t="str">
        <f t="shared" si="117"/>
        <v/>
      </c>
      <c r="BR46" s="32" t="str">
        <f t="shared" si="118"/>
        <v/>
      </c>
      <c r="BS46" s="27" t="str">
        <f t="shared" si="119"/>
        <v/>
      </c>
      <c r="BT46" s="32" t="str">
        <f t="shared" si="120"/>
        <v/>
      </c>
      <c r="BU46" s="27" t="str">
        <f t="shared" si="121"/>
        <v/>
      </c>
    </row>
    <row r="47" spans="1:73" x14ac:dyDescent="0.3">
      <c r="A47" s="22" t="str">
        <f>'📊 Исходные данные'!A46</f>
        <v>Сосиски Индилайт из индейки Молочные п/о 440г</v>
      </c>
      <c r="B47" s="23" t="str">
        <f>'📊 Исходные данные'!B46</f>
        <v>4610121636048</v>
      </c>
      <c r="C47" s="24">
        <f>'📊 Исходные данные'!C46</f>
        <v>217</v>
      </c>
      <c r="D47" s="24">
        <f>'📊 Исходные данные'!D46</f>
        <v>269</v>
      </c>
      <c r="E47" s="25" t="str">
        <f t="shared" si="61"/>
        <v>🟢 Ниже рынка</v>
      </c>
      <c r="F47" s="26">
        <f>IFERROR(AVERAGE('📊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>324.66666666666669</v>
      </c>
      <c r="G47" s="26">
        <f>IFERROR(MEDIAN('📊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>320</v>
      </c>
      <c r="H47" s="26">
        <f>IFERROR(MIN('📊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>319</v>
      </c>
      <c r="I47" s="26">
        <f>IFERROR(MAX('📊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>335</v>
      </c>
      <c r="J47" s="27">
        <f t="shared" si="62"/>
        <v>-0.17145790554414789</v>
      </c>
      <c r="K47" s="27">
        <f t="shared" si="63"/>
        <v>-0.15937499999999999</v>
      </c>
      <c r="L47" s="27">
        <f t="shared" si="64"/>
        <v>-0.15673981191222572</v>
      </c>
      <c r="M47" s="28" t="str">
        <f>IFERROR(RANK(D47,('📊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данные'!K46)),"")</f>
        <v/>
      </c>
      <c r="N47" s="25" t="str">
        <f t="shared" si="65"/>
        <v>—</v>
      </c>
      <c r="O47" s="27">
        <f t="shared" si="66"/>
        <v>0.23963133640552994</v>
      </c>
      <c r="P47" s="27">
        <f t="shared" si="67"/>
        <v>0.19330855018587362</v>
      </c>
      <c r="Q47" s="26">
        <f t="shared" si="68"/>
        <v>52</v>
      </c>
      <c r="R47" s="25" t="str">
        <f t="shared" si="69"/>
        <v>🟡 Средняя(10-20%)</v>
      </c>
      <c r="S47" s="25" t="str">
        <f t="shared" si="70"/>
        <v>🟢 НИЗКИЙ</v>
      </c>
      <c r="T47" s="29"/>
      <c r="U47" s="26" t="str">
        <f t="shared" si="71"/>
        <v/>
      </c>
      <c r="V47" s="26" t="str">
        <f t="shared" si="72"/>
        <v/>
      </c>
      <c r="W47" s="27" t="e">
        <f t="shared" si="73"/>
        <v>#VALUE!</v>
      </c>
      <c r="X47" s="26">
        <f t="shared" si="74"/>
        <v>324.66666666666669</v>
      </c>
      <c r="Y47" s="27">
        <f t="shared" si="75"/>
        <v>0.49615975422427044</v>
      </c>
      <c r="Z47" s="27">
        <f t="shared" si="76"/>
        <v>0.33162217659137583</v>
      </c>
      <c r="AA47" s="26">
        <f t="shared" si="77"/>
        <v>107.66666666666669</v>
      </c>
      <c r="AB47" s="27">
        <f t="shared" si="78"/>
        <v>0.20693928128872374</v>
      </c>
      <c r="AC47" s="27">
        <f t="shared" si="79"/>
        <v>0.71550702890538642</v>
      </c>
      <c r="AD47" s="26">
        <f t="shared" si="80"/>
        <v>55.666666666666686</v>
      </c>
      <c r="AE47" s="26">
        <f t="shared" si="81"/>
        <v>320</v>
      </c>
      <c r="AF47" s="27">
        <f t="shared" si="82"/>
        <v>0.47465437788018433</v>
      </c>
      <c r="AG47" s="27">
        <f t="shared" si="83"/>
        <v>0.32187500000000002</v>
      </c>
      <c r="AH47" s="26">
        <f t="shared" si="84"/>
        <v>103</v>
      </c>
      <c r="AI47" s="27">
        <f t="shared" si="85"/>
        <v>0.1895910780669145</v>
      </c>
      <c r="AJ47" s="27">
        <f t="shared" si="86"/>
        <v>0.66508413461538463</v>
      </c>
      <c r="AK47" s="26">
        <f t="shared" si="87"/>
        <v>51</v>
      </c>
      <c r="AL47" s="26">
        <f t="shared" si="88"/>
        <v>319</v>
      </c>
      <c r="AM47" s="27">
        <f t="shared" si="89"/>
        <v>0.47004608294930877</v>
      </c>
      <c r="AN47" s="27">
        <f t="shared" si="90"/>
        <v>0.31974921630094044</v>
      </c>
      <c r="AO47" s="26">
        <f t="shared" si="91"/>
        <v>102</v>
      </c>
      <c r="AP47" s="27">
        <f t="shared" si="92"/>
        <v>0.18587360594795538</v>
      </c>
      <c r="AQ47" s="27">
        <f t="shared" si="93"/>
        <v>0.65408729201832638</v>
      </c>
      <c r="AR47" s="26">
        <f t="shared" si="94"/>
        <v>50</v>
      </c>
      <c r="AS47" s="30"/>
      <c r="AT47" s="27" t="str">
        <f t="shared" si="95"/>
        <v/>
      </c>
      <c r="AU47" s="27" t="str">
        <f t="shared" si="96"/>
        <v/>
      </c>
      <c r="AV47" s="26" t="str">
        <f t="shared" si="97"/>
        <v/>
      </c>
      <c r="AW47" s="27" t="str">
        <f t="shared" si="98"/>
        <v/>
      </c>
      <c r="AX47" s="27" t="str">
        <f t="shared" si="99"/>
        <v/>
      </c>
      <c r="AY47" s="26" t="str">
        <f t="shared" si="100"/>
        <v/>
      </c>
      <c r="AZ47" s="31"/>
      <c r="BA47" s="26" t="str">
        <f t="shared" si="101"/>
        <v/>
      </c>
      <c r="BB47" s="27" t="str">
        <f t="shared" si="102"/>
        <v/>
      </c>
      <c r="BC47" s="27" t="str">
        <f t="shared" si="103"/>
        <v/>
      </c>
      <c r="BD47" s="26" t="str">
        <f t="shared" si="104"/>
        <v/>
      </c>
      <c r="BE47" s="27" t="str">
        <f t="shared" si="105"/>
        <v/>
      </c>
      <c r="BF47" s="27" t="str">
        <f t="shared" si="106"/>
        <v/>
      </c>
      <c r="BG47" s="26" t="str">
        <f t="shared" si="107"/>
        <v/>
      </c>
      <c r="BH47" s="26" t="str">
        <f t="shared" si="108"/>
        <v/>
      </c>
      <c r="BI47" s="26" t="str">
        <f t="shared" si="109"/>
        <v/>
      </c>
      <c r="BJ47" s="26" t="str">
        <f t="shared" si="110"/>
        <v/>
      </c>
      <c r="BK47" s="26" t="str">
        <f t="shared" si="111"/>
        <v/>
      </c>
      <c r="BL47" s="26" t="str">
        <f t="shared" si="112"/>
        <v/>
      </c>
      <c r="BM47" s="26" t="str">
        <f t="shared" si="113"/>
        <v/>
      </c>
      <c r="BN47" s="26" t="str">
        <f t="shared" si="114"/>
        <v/>
      </c>
      <c r="BO47" s="26" t="str">
        <f t="shared" si="115"/>
        <v/>
      </c>
      <c r="BP47" s="26" t="str">
        <f t="shared" si="116"/>
        <v/>
      </c>
      <c r="BQ47" s="26" t="str">
        <f t="shared" si="117"/>
        <v/>
      </c>
      <c r="BR47" s="32" t="str">
        <f t="shared" si="118"/>
        <v/>
      </c>
      <c r="BS47" s="27" t="str">
        <f t="shared" si="119"/>
        <v/>
      </c>
      <c r="BT47" s="32" t="str">
        <f t="shared" si="120"/>
        <v/>
      </c>
      <c r="BU47" s="27" t="str">
        <f t="shared" si="121"/>
        <v/>
      </c>
    </row>
    <row r="48" spans="1:73" x14ac:dyDescent="0.3">
      <c r="A48" s="22" t="str">
        <f>'📊 Исходные данные'!A47</f>
        <v>Ветчина Индилайт Филе грудки индейки нарезка 120г</v>
      </c>
      <c r="B48" s="23" t="str">
        <f>'📊 Исходные данные'!B47</f>
        <v>4610121634945</v>
      </c>
      <c r="C48" s="24">
        <f>'📊 Исходные данные'!C47</f>
        <v>0</v>
      </c>
      <c r="D48" s="24">
        <f>'📊 Исходные данные'!D47</f>
        <v>0</v>
      </c>
      <c r="E48" s="25" t="str">
        <f t="shared" si="61"/>
        <v>—</v>
      </c>
      <c r="F48" s="26" t="str">
        <f>IFERROR(AVERAGE('📊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G48" s="26" t="str">
        <f>IFERROR(MEDIAN('📊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H48" s="26">
        <f>IFERROR(MIN('📊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>0</v>
      </c>
      <c r="I48" s="26">
        <f>IFERROR(MAX('📊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>0</v>
      </c>
      <c r="J48" s="27" t="str">
        <f t="shared" si="62"/>
        <v/>
      </c>
      <c r="K48" s="27" t="str">
        <f t="shared" si="63"/>
        <v/>
      </c>
      <c r="L48" s="27" t="e">
        <f t="shared" si="64"/>
        <v>#DIV/0!</v>
      </c>
      <c r="M48" s="28" t="str">
        <f>IFERROR(RANK(D48,('📊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данные'!K47)),"")</f>
        <v/>
      </c>
      <c r="N48" s="25" t="str">
        <f t="shared" si="65"/>
        <v>—</v>
      </c>
      <c r="O48" s="27" t="str">
        <f t="shared" si="66"/>
        <v/>
      </c>
      <c r="P48" s="27" t="str">
        <f t="shared" si="67"/>
        <v/>
      </c>
      <c r="Q48" s="26" t="str">
        <f t="shared" si="68"/>
        <v/>
      </c>
      <c r="R48" s="25" t="str">
        <f t="shared" si="69"/>
        <v>—</v>
      </c>
      <c r="S48" s="25" t="e">
        <f t="shared" si="70"/>
        <v>#DIV/0!</v>
      </c>
      <c r="T48" s="29"/>
      <c r="U48" s="26" t="str">
        <f t="shared" si="71"/>
        <v/>
      </c>
      <c r="V48" s="26" t="str">
        <f t="shared" si="72"/>
        <v/>
      </c>
      <c r="W48" s="27" t="e">
        <f t="shared" si="73"/>
        <v>#VALUE!</v>
      </c>
      <c r="X48" s="26" t="str">
        <f t="shared" si="74"/>
        <v/>
      </c>
      <c r="Y48" s="27" t="str">
        <f t="shared" si="75"/>
        <v/>
      </c>
      <c r="Z48" s="27" t="str">
        <f t="shared" si="76"/>
        <v/>
      </c>
      <c r="AA48" s="26" t="str">
        <f t="shared" si="77"/>
        <v/>
      </c>
      <c r="AB48" s="27" t="str">
        <f t="shared" si="78"/>
        <v/>
      </c>
      <c r="AC48" s="27" t="str">
        <f t="shared" si="79"/>
        <v/>
      </c>
      <c r="AD48" s="26" t="str">
        <f t="shared" si="80"/>
        <v/>
      </c>
      <c r="AE48" s="26" t="str">
        <f t="shared" si="81"/>
        <v/>
      </c>
      <c r="AF48" s="27" t="str">
        <f t="shared" si="82"/>
        <v/>
      </c>
      <c r="AG48" s="27" t="str">
        <f t="shared" si="83"/>
        <v/>
      </c>
      <c r="AH48" s="26" t="str">
        <f t="shared" si="84"/>
        <v/>
      </c>
      <c r="AI48" s="27" t="str">
        <f t="shared" si="85"/>
        <v/>
      </c>
      <c r="AJ48" s="27" t="str">
        <f t="shared" si="86"/>
        <v/>
      </c>
      <c r="AK48" s="26" t="str">
        <f t="shared" si="87"/>
        <v/>
      </c>
      <c r="AL48" s="26">
        <f t="shared" si="88"/>
        <v>0</v>
      </c>
      <c r="AM48" s="27" t="str">
        <f t="shared" si="89"/>
        <v/>
      </c>
      <c r="AN48" s="27" t="str">
        <f t="shared" si="90"/>
        <v/>
      </c>
      <c r="AO48" s="26" t="str">
        <f t="shared" si="91"/>
        <v/>
      </c>
      <c r="AP48" s="27" t="str">
        <f t="shared" si="92"/>
        <v/>
      </c>
      <c r="AQ48" s="27" t="str">
        <f t="shared" si="93"/>
        <v/>
      </c>
      <c r="AR48" s="26" t="str">
        <f t="shared" si="94"/>
        <v/>
      </c>
      <c r="AS48" s="30"/>
      <c r="AT48" s="27" t="str">
        <f t="shared" si="95"/>
        <v/>
      </c>
      <c r="AU48" s="27" t="str">
        <f t="shared" si="96"/>
        <v/>
      </c>
      <c r="AV48" s="26" t="str">
        <f t="shared" si="97"/>
        <v/>
      </c>
      <c r="AW48" s="27" t="str">
        <f t="shared" si="98"/>
        <v/>
      </c>
      <c r="AX48" s="27" t="str">
        <f t="shared" si="99"/>
        <v/>
      </c>
      <c r="AY48" s="26" t="str">
        <f t="shared" si="100"/>
        <v/>
      </c>
      <c r="AZ48" s="31"/>
      <c r="BA48" s="26" t="str">
        <f t="shared" si="101"/>
        <v/>
      </c>
      <c r="BB48" s="27" t="str">
        <f t="shared" si="102"/>
        <v/>
      </c>
      <c r="BC48" s="27" t="str">
        <f t="shared" si="103"/>
        <v/>
      </c>
      <c r="BD48" s="26" t="str">
        <f t="shared" si="104"/>
        <v/>
      </c>
      <c r="BE48" s="27" t="str">
        <f t="shared" si="105"/>
        <v/>
      </c>
      <c r="BF48" s="27" t="str">
        <f t="shared" si="106"/>
        <v/>
      </c>
      <c r="BG48" s="26" t="str">
        <f t="shared" si="107"/>
        <v/>
      </c>
      <c r="BH48" s="26" t="str">
        <f t="shared" si="108"/>
        <v/>
      </c>
      <c r="BI48" s="26" t="str">
        <f t="shared" si="109"/>
        <v/>
      </c>
      <c r="BJ48" s="26" t="str">
        <f t="shared" si="110"/>
        <v/>
      </c>
      <c r="BK48" s="26" t="str">
        <f t="shared" si="111"/>
        <v/>
      </c>
      <c r="BL48" s="26" t="str">
        <f t="shared" si="112"/>
        <v/>
      </c>
      <c r="BM48" s="26" t="str">
        <f t="shared" si="113"/>
        <v/>
      </c>
      <c r="BN48" s="26" t="str">
        <f t="shared" si="114"/>
        <v/>
      </c>
      <c r="BO48" s="26" t="str">
        <f t="shared" si="115"/>
        <v/>
      </c>
      <c r="BP48" s="26" t="str">
        <f t="shared" si="116"/>
        <v/>
      </c>
      <c r="BQ48" s="26" t="str">
        <f t="shared" si="117"/>
        <v/>
      </c>
      <c r="BR48" s="32" t="str">
        <f t="shared" si="118"/>
        <v/>
      </c>
      <c r="BS48" s="27" t="str">
        <f t="shared" si="119"/>
        <v/>
      </c>
      <c r="BT48" s="32" t="str">
        <f t="shared" si="120"/>
        <v/>
      </c>
      <c r="BU48" s="27" t="str">
        <f t="shared" si="121"/>
        <v/>
      </c>
    </row>
    <row r="49" spans="1:73" x14ac:dyDescent="0.3">
      <c r="A49" s="22" t="str">
        <f>'📊 Исходные данные'!A48</f>
        <v>Вода мин Рычал-су пл/б 1л</v>
      </c>
      <c r="B49" s="23" t="str">
        <f>'📊 Исходные данные'!B48</f>
        <v>4607001710066</v>
      </c>
      <c r="C49" s="24">
        <f>'📊 Исходные данные'!C48</f>
        <v>80.22</v>
      </c>
      <c r="D49" s="24">
        <f>'📊 Исходные данные'!D48</f>
        <v>99</v>
      </c>
      <c r="E49" s="25" t="str">
        <f t="shared" si="61"/>
        <v>🟡 На уровне</v>
      </c>
      <c r="F49" s="26">
        <f>IFERROR(AVERAGE('📊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>101</v>
      </c>
      <c r="G49" s="26">
        <f>IFERROR(MEDIAN('📊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>100</v>
      </c>
      <c r="H49" s="26">
        <f>IFERROR(MIN('📊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>95</v>
      </c>
      <c r="I49" s="26">
        <f>IFERROR(MAX('📊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>108</v>
      </c>
      <c r="J49" s="27">
        <f t="shared" si="62"/>
        <v>-1.9801980198019802E-2</v>
      </c>
      <c r="K49" s="27">
        <f t="shared" si="63"/>
        <v>-0.01</v>
      </c>
      <c r="L49" s="27">
        <f t="shared" si="64"/>
        <v>4.2105263157894736E-2</v>
      </c>
      <c r="M49" s="28" t="str">
        <f>IFERROR(RANK(D49,('📊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данные'!K48)),"")</f>
        <v/>
      </c>
      <c r="N49" s="25" t="str">
        <f t="shared" si="65"/>
        <v>—</v>
      </c>
      <c r="O49" s="27">
        <f t="shared" si="66"/>
        <v>0.23410620792819747</v>
      </c>
      <c r="P49" s="27">
        <f t="shared" si="67"/>
        <v>0.1896969696969697</v>
      </c>
      <c r="Q49" s="26">
        <f t="shared" si="68"/>
        <v>18.78</v>
      </c>
      <c r="R49" s="25" t="str">
        <f t="shared" si="69"/>
        <v>🟡 Средняя(10-20%)</v>
      </c>
      <c r="S49" s="25" t="str">
        <f t="shared" si="70"/>
        <v>🟢 НИЗКИЙ</v>
      </c>
      <c r="T49" s="29"/>
      <c r="U49" s="26" t="str">
        <f t="shared" si="71"/>
        <v/>
      </c>
      <c r="V49" s="26" t="str">
        <f t="shared" si="72"/>
        <v/>
      </c>
      <c r="W49" s="27" t="e">
        <f t="shared" si="73"/>
        <v>#VALUE!</v>
      </c>
      <c r="X49" s="26">
        <f t="shared" si="74"/>
        <v>101</v>
      </c>
      <c r="Y49" s="27">
        <f t="shared" si="75"/>
        <v>0.25903764647220145</v>
      </c>
      <c r="Z49" s="27">
        <f t="shared" si="76"/>
        <v>0.20574257425742576</v>
      </c>
      <c r="AA49" s="26">
        <f t="shared" si="77"/>
        <v>20.78</v>
      </c>
      <c r="AB49" s="27">
        <f t="shared" si="78"/>
        <v>2.0202020202020204E-2</v>
      </c>
      <c r="AC49" s="27">
        <f t="shared" si="79"/>
        <v>8.4585455350646974E-2</v>
      </c>
      <c r="AD49" s="26">
        <f t="shared" si="80"/>
        <v>2</v>
      </c>
      <c r="AE49" s="26">
        <f t="shared" si="81"/>
        <v>100</v>
      </c>
      <c r="AF49" s="27">
        <f t="shared" si="82"/>
        <v>0.24657192720019946</v>
      </c>
      <c r="AG49" s="27">
        <f t="shared" si="83"/>
        <v>0.1978</v>
      </c>
      <c r="AH49" s="26">
        <f t="shared" si="84"/>
        <v>19.78</v>
      </c>
      <c r="AI49" s="27">
        <f t="shared" si="85"/>
        <v>1.0101010101010102E-2</v>
      </c>
      <c r="AJ49" s="27">
        <f t="shared" si="86"/>
        <v>4.2715654952076694E-2</v>
      </c>
      <c r="AK49" s="26">
        <f t="shared" si="87"/>
        <v>1</v>
      </c>
      <c r="AL49" s="26">
        <f t="shared" si="88"/>
        <v>95</v>
      </c>
      <c r="AM49" s="27">
        <f t="shared" si="89"/>
        <v>0.18424333084018948</v>
      </c>
      <c r="AN49" s="27">
        <f t="shared" si="90"/>
        <v>0.15557894736842107</v>
      </c>
      <c r="AO49" s="26">
        <f t="shared" si="91"/>
        <v>14.780000000000001</v>
      </c>
      <c r="AP49" s="27">
        <f t="shared" si="92"/>
        <v>-4.0404040404040407E-2</v>
      </c>
      <c r="AQ49" s="27">
        <f t="shared" si="93"/>
        <v>-0.17985538927190173</v>
      </c>
      <c r="AR49" s="26">
        <f t="shared" si="94"/>
        <v>-4</v>
      </c>
      <c r="AS49" s="30"/>
      <c r="AT49" s="27" t="str">
        <f t="shared" si="95"/>
        <v/>
      </c>
      <c r="AU49" s="27" t="str">
        <f t="shared" si="96"/>
        <v/>
      </c>
      <c r="AV49" s="26" t="str">
        <f t="shared" si="97"/>
        <v/>
      </c>
      <c r="AW49" s="27" t="str">
        <f t="shared" si="98"/>
        <v/>
      </c>
      <c r="AX49" s="27" t="str">
        <f t="shared" si="99"/>
        <v/>
      </c>
      <c r="AY49" s="26" t="str">
        <f t="shared" si="100"/>
        <v/>
      </c>
      <c r="AZ49" s="31"/>
      <c r="BA49" s="26" t="str">
        <f t="shared" si="101"/>
        <v/>
      </c>
      <c r="BB49" s="27" t="str">
        <f t="shared" si="102"/>
        <v/>
      </c>
      <c r="BC49" s="27" t="str">
        <f t="shared" si="103"/>
        <v/>
      </c>
      <c r="BD49" s="26" t="str">
        <f t="shared" si="104"/>
        <v/>
      </c>
      <c r="BE49" s="27" t="str">
        <f t="shared" si="105"/>
        <v/>
      </c>
      <c r="BF49" s="27" t="str">
        <f t="shared" si="106"/>
        <v/>
      </c>
      <c r="BG49" s="26" t="str">
        <f t="shared" si="107"/>
        <v/>
      </c>
      <c r="BH49" s="26" t="str">
        <f t="shared" si="108"/>
        <v/>
      </c>
      <c r="BI49" s="26" t="str">
        <f t="shared" si="109"/>
        <v/>
      </c>
      <c r="BJ49" s="26" t="str">
        <f t="shared" si="110"/>
        <v/>
      </c>
      <c r="BK49" s="26" t="str">
        <f t="shared" si="111"/>
        <v/>
      </c>
      <c r="BL49" s="26" t="str">
        <f t="shared" si="112"/>
        <v/>
      </c>
      <c r="BM49" s="26" t="str">
        <f t="shared" si="113"/>
        <v/>
      </c>
      <c r="BN49" s="26" t="str">
        <f t="shared" si="114"/>
        <v/>
      </c>
      <c r="BO49" s="26" t="str">
        <f t="shared" si="115"/>
        <v/>
      </c>
      <c r="BP49" s="26" t="str">
        <f t="shared" si="116"/>
        <v/>
      </c>
      <c r="BQ49" s="26" t="str">
        <f t="shared" si="117"/>
        <v/>
      </c>
      <c r="BR49" s="32" t="str">
        <f t="shared" si="118"/>
        <v/>
      </c>
      <c r="BS49" s="27" t="str">
        <f t="shared" si="119"/>
        <v/>
      </c>
      <c r="BT49" s="32" t="str">
        <f t="shared" si="120"/>
        <v/>
      </c>
      <c r="BU49" s="27" t="str">
        <f t="shared" si="121"/>
        <v/>
      </c>
    </row>
    <row r="50" spans="1:73" x14ac:dyDescent="0.3">
      <c r="A50" s="22" t="str">
        <f>'📊 Исходные данные'!A49</f>
        <v>Вода мин Рычал-су ст/б 0,5л</v>
      </c>
      <c r="B50" s="23" t="str">
        <f>'📊 Исходные данные'!B49</f>
        <v>4607001710042</v>
      </c>
      <c r="C50" s="24">
        <f>'📊 Исходные данные'!C49</f>
        <v>72.430000000000007</v>
      </c>
      <c r="D50" s="24">
        <f>'📊 Исходные данные'!D49</f>
        <v>89</v>
      </c>
      <c r="E50" s="25" t="str">
        <f t="shared" si="61"/>
        <v>🟡 На уровне</v>
      </c>
      <c r="F50" s="26">
        <f>IFERROR(AVERAGE('📊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>88.4</v>
      </c>
      <c r="G50" s="26">
        <f>IFERROR(MEDIAN('📊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>88</v>
      </c>
      <c r="H50" s="26">
        <f>IFERROR(MIN('📊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>80</v>
      </c>
      <c r="I50" s="26">
        <f>IFERROR(MAX('📊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>95</v>
      </c>
      <c r="J50" s="27">
        <f t="shared" si="62"/>
        <v>6.7873303167420166E-3</v>
      </c>
      <c r="K50" s="27">
        <f t="shared" si="63"/>
        <v>1.1363636363636364E-2</v>
      </c>
      <c r="L50" s="27">
        <f t="shared" si="64"/>
        <v>0.1125</v>
      </c>
      <c r="M50" s="28" t="str">
        <f>IFERROR(RANK(D50,('📊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данные'!K49)),"")</f>
        <v/>
      </c>
      <c r="N50" s="25" t="str">
        <f t="shared" si="65"/>
        <v>—</v>
      </c>
      <c r="O50" s="27">
        <f t="shared" si="66"/>
        <v>0.22877260803534435</v>
      </c>
      <c r="P50" s="27">
        <f t="shared" si="67"/>
        <v>0.1861797752808988</v>
      </c>
      <c r="Q50" s="26">
        <f t="shared" si="68"/>
        <v>16.569999999999993</v>
      </c>
      <c r="R50" s="25" t="str">
        <f t="shared" si="69"/>
        <v>🟡 Средняя(10-20%)</v>
      </c>
      <c r="S50" s="25" t="str">
        <f t="shared" si="70"/>
        <v>🟡 УМЕРЕННЫЙ</v>
      </c>
      <c r="T50" s="29"/>
      <c r="U50" s="26" t="str">
        <f t="shared" si="71"/>
        <v/>
      </c>
      <c r="V50" s="26" t="str">
        <f t="shared" si="72"/>
        <v/>
      </c>
      <c r="W50" s="27" t="e">
        <f t="shared" si="73"/>
        <v>#VALUE!</v>
      </c>
      <c r="X50" s="26">
        <f t="shared" si="74"/>
        <v>88.4</v>
      </c>
      <c r="Y50" s="27">
        <f t="shared" si="75"/>
        <v>0.22048874775645447</v>
      </c>
      <c r="Z50" s="27">
        <f t="shared" si="76"/>
        <v>0.18065610859728504</v>
      </c>
      <c r="AA50" s="26">
        <f t="shared" si="77"/>
        <v>15.969999999999999</v>
      </c>
      <c r="AB50" s="27">
        <f t="shared" si="78"/>
        <v>-6.7415730337078011E-3</v>
      </c>
      <c r="AC50" s="27">
        <f t="shared" si="79"/>
        <v>-2.9668457141920627E-2</v>
      </c>
      <c r="AD50" s="26">
        <f t="shared" si="80"/>
        <v>-0.59999999999999432</v>
      </c>
      <c r="AE50" s="26">
        <f t="shared" si="81"/>
        <v>88</v>
      </c>
      <c r="AF50" s="27">
        <f t="shared" si="82"/>
        <v>0.21496617423719441</v>
      </c>
      <c r="AG50" s="27">
        <f t="shared" si="83"/>
        <v>0.17693181818181811</v>
      </c>
      <c r="AH50" s="26">
        <f t="shared" si="84"/>
        <v>15.569999999999993</v>
      </c>
      <c r="AI50" s="27">
        <f t="shared" si="85"/>
        <v>-1.1235955056179775E-2</v>
      </c>
      <c r="AJ50" s="27">
        <f t="shared" si="86"/>
        <v>-4.9672189608822068E-2</v>
      </c>
      <c r="AK50" s="26">
        <f t="shared" si="87"/>
        <v>-1</v>
      </c>
      <c r="AL50" s="26">
        <f t="shared" si="88"/>
        <v>80</v>
      </c>
      <c r="AM50" s="27">
        <f t="shared" si="89"/>
        <v>0.10451470385199492</v>
      </c>
      <c r="AN50" s="27">
        <f t="shared" si="90"/>
        <v>9.4624999999999918E-2</v>
      </c>
      <c r="AO50" s="26">
        <f t="shared" si="91"/>
        <v>7.5699999999999932</v>
      </c>
      <c r="AP50" s="27">
        <f t="shared" si="92"/>
        <v>-0.10112359550561797</v>
      </c>
      <c r="AQ50" s="27">
        <f t="shared" si="93"/>
        <v>-0.49175467712733878</v>
      </c>
      <c r="AR50" s="26">
        <f t="shared" si="94"/>
        <v>-9</v>
      </c>
      <c r="AS50" s="30"/>
      <c r="AT50" s="27" t="str">
        <f t="shared" si="95"/>
        <v/>
      </c>
      <c r="AU50" s="27" t="str">
        <f t="shared" si="96"/>
        <v/>
      </c>
      <c r="AV50" s="26" t="str">
        <f t="shared" si="97"/>
        <v/>
      </c>
      <c r="AW50" s="27" t="str">
        <f t="shared" si="98"/>
        <v/>
      </c>
      <c r="AX50" s="27" t="str">
        <f t="shared" si="99"/>
        <v/>
      </c>
      <c r="AY50" s="26" t="str">
        <f t="shared" si="100"/>
        <v/>
      </c>
      <c r="AZ50" s="31"/>
      <c r="BA50" s="26" t="str">
        <f t="shared" si="101"/>
        <v/>
      </c>
      <c r="BB50" s="27" t="str">
        <f t="shared" si="102"/>
        <v/>
      </c>
      <c r="BC50" s="27" t="str">
        <f t="shared" si="103"/>
        <v/>
      </c>
      <c r="BD50" s="26" t="str">
        <f t="shared" si="104"/>
        <v/>
      </c>
      <c r="BE50" s="27" t="str">
        <f t="shared" si="105"/>
        <v/>
      </c>
      <c r="BF50" s="27" t="str">
        <f t="shared" si="106"/>
        <v/>
      </c>
      <c r="BG50" s="26" t="str">
        <f t="shared" si="107"/>
        <v/>
      </c>
      <c r="BH50" s="26" t="str">
        <f t="shared" si="108"/>
        <v/>
      </c>
      <c r="BI50" s="26" t="str">
        <f t="shared" si="109"/>
        <v/>
      </c>
      <c r="BJ50" s="26" t="str">
        <f t="shared" si="110"/>
        <v/>
      </c>
      <c r="BK50" s="26" t="str">
        <f t="shared" si="111"/>
        <v/>
      </c>
      <c r="BL50" s="26" t="str">
        <f t="shared" si="112"/>
        <v/>
      </c>
      <c r="BM50" s="26" t="str">
        <f t="shared" si="113"/>
        <v/>
      </c>
      <c r="BN50" s="26" t="str">
        <f t="shared" si="114"/>
        <v/>
      </c>
      <c r="BO50" s="26" t="str">
        <f t="shared" si="115"/>
        <v/>
      </c>
      <c r="BP50" s="26" t="str">
        <f t="shared" si="116"/>
        <v/>
      </c>
      <c r="BQ50" s="26" t="str">
        <f t="shared" si="117"/>
        <v/>
      </c>
      <c r="BR50" s="32" t="str">
        <f t="shared" si="118"/>
        <v/>
      </c>
      <c r="BS50" s="27" t="str">
        <f t="shared" si="119"/>
        <v/>
      </c>
      <c r="BT50" s="32" t="str">
        <f t="shared" si="120"/>
        <v/>
      </c>
      <c r="BU50" s="27" t="str">
        <f t="shared" si="121"/>
        <v/>
      </c>
    </row>
    <row r="51" spans="1:73" x14ac:dyDescent="0.3">
      <c r="A51" s="22" t="str">
        <f>'📊 Исходные данные'!A50</f>
        <v>Вода минеральная Боржоми лечебно-столовая ст/б 0.5л</v>
      </c>
      <c r="B51" s="23" t="str">
        <f>'📊 Исходные данные'!B50</f>
        <v>4860019001346</v>
      </c>
      <c r="C51" s="24">
        <f>'📊 Исходные данные'!C50</f>
        <v>99.25</v>
      </c>
      <c r="D51" s="24">
        <f>'📊 Исходные данные'!D50</f>
        <v>129</v>
      </c>
      <c r="E51" s="25" t="str">
        <f t="shared" si="61"/>
        <v>🟢 Ниже рынка</v>
      </c>
      <c r="F51" s="26">
        <f>IFERROR(AVERAGE('📊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>136.4</v>
      </c>
      <c r="G51" s="26">
        <f>IFERROR(MEDIAN('📊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>142</v>
      </c>
      <c r="H51" s="26">
        <f>IFERROR(MIN('📊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>110</v>
      </c>
      <c r="I51" s="26">
        <f>IFERROR(MAX('📊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>154</v>
      </c>
      <c r="J51" s="27">
        <f t="shared" si="62"/>
        <v>-5.4252199413489778E-2</v>
      </c>
      <c r="K51" s="27">
        <f t="shared" si="63"/>
        <v>-9.154929577464789E-2</v>
      </c>
      <c r="L51" s="27">
        <f t="shared" si="64"/>
        <v>0.17272727272727273</v>
      </c>
      <c r="M51" s="28" t="str">
        <f>IFERROR(RANK(D51,('📊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данные'!K50)),"")</f>
        <v/>
      </c>
      <c r="N51" s="25" t="str">
        <f t="shared" si="65"/>
        <v>—</v>
      </c>
      <c r="O51" s="27">
        <f t="shared" si="66"/>
        <v>0.29974811083123426</v>
      </c>
      <c r="P51" s="27">
        <f t="shared" si="67"/>
        <v>0.23062015503875968</v>
      </c>
      <c r="Q51" s="26">
        <f t="shared" si="68"/>
        <v>29.75</v>
      </c>
      <c r="R51" s="25" t="str">
        <f t="shared" si="69"/>
        <v>🟢 Хорошая(&gt;20%)</v>
      </c>
      <c r="S51" s="25" t="str">
        <f t="shared" si="70"/>
        <v>🟡 УМЕРЕННЫЙ</v>
      </c>
      <c r="T51" s="29"/>
      <c r="U51" s="26" t="str">
        <f t="shared" si="71"/>
        <v/>
      </c>
      <c r="V51" s="26" t="str">
        <f t="shared" si="72"/>
        <v/>
      </c>
      <c r="W51" s="27" t="e">
        <f t="shared" si="73"/>
        <v>#VALUE!</v>
      </c>
      <c r="X51" s="26">
        <f t="shared" si="74"/>
        <v>136.4</v>
      </c>
      <c r="Y51" s="27">
        <f t="shared" si="75"/>
        <v>0.37430730478589425</v>
      </c>
      <c r="Z51" s="27">
        <f t="shared" si="76"/>
        <v>0.27236070381231675</v>
      </c>
      <c r="AA51" s="26">
        <f t="shared" si="77"/>
        <v>37.150000000000006</v>
      </c>
      <c r="AB51" s="27">
        <f t="shared" si="78"/>
        <v>5.7364341085271359E-2</v>
      </c>
      <c r="AC51" s="27">
        <f t="shared" si="79"/>
        <v>0.18099263165676846</v>
      </c>
      <c r="AD51" s="26">
        <f t="shared" si="80"/>
        <v>7.4000000000000057</v>
      </c>
      <c r="AE51" s="26">
        <f t="shared" si="81"/>
        <v>142</v>
      </c>
      <c r="AF51" s="27">
        <f t="shared" si="82"/>
        <v>0.43073047858942065</v>
      </c>
      <c r="AG51" s="27">
        <f t="shared" si="83"/>
        <v>0.301056338028169</v>
      </c>
      <c r="AH51" s="26">
        <f t="shared" si="84"/>
        <v>42.75</v>
      </c>
      <c r="AI51" s="27">
        <f t="shared" si="85"/>
        <v>0.10077519379844961</v>
      </c>
      <c r="AJ51" s="27">
        <f t="shared" si="86"/>
        <v>0.30542075985323708</v>
      </c>
      <c r="AK51" s="26">
        <f t="shared" si="87"/>
        <v>13</v>
      </c>
      <c r="AL51" s="26">
        <f t="shared" si="88"/>
        <v>110</v>
      </c>
      <c r="AM51" s="27">
        <f t="shared" si="89"/>
        <v>0.10831234256926953</v>
      </c>
      <c r="AN51" s="27">
        <f t="shared" si="90"/>
        <v>9.7727272727272732E-2</v>
      </c>
      <c r="AO51" s="26">
        <f t="shared" si="91"/>
        <v>10.75</v>
      </c>
      <c r="AP51" s="27">
        <f t="shared" si="92"/>
        <v>-0.14728682170542637</v>
      </c>
      <c r="AQ51" s="27">
        <f t="shared" si="93"/>
        <v>-0.57624140565317028</v>
      </c>
      <c r="AR51" s="26">
        <f t="shared" si="94"/>
        <v>-19</v>
      </c>
      <c r="AS51" s="30"/>
      <c r="AT51" s="27" t="str">
        <f t="shared" si="95"/>
        <v/>
      </c>
      <c r="AU51" s="27" t="str">
        <f t="shared" si="96"/>
        <v/>
      </c>
      <c r="AV51" s="26" t="str">
        <f t="shared" si="97"/>
        <v/>
      </c>
      <c r="AW51" s="27" t="str">
        <f t="shared" si="98"/>
        <v/>
      </c>
      <c r="AX51" s="27" t="str">
        <f t="shared" si="99"/>
        <v/>
      </c>
      <c r="AY51" s="26" t="str">
        <f t="shared" si="100"/>
        <v/>
      </c>
      <c r="AZ51" s="31"/>
      <c r="BA51" s="26" t="str">
        <f t="shared" si="101"/>
        <v/>
      </c>
      <c r="BB51" s="27" t="str">
        <f t="shared" si="102"/>
        <v/>
      </c>
      <c r="BC51" s="27" t="str">
        <f t="shared" si="103"/>
        <v/>
      </c>
      <c r="BD51" s="26" t="str">
        <f t="shared" si="104"/>
        <v/>
      </c>
      <c r="BE51" s="27" t="str">
        <f t="shared" si="105"/>
        <v/>
      </c>
      <c r="BF51" s="27" t="str">
        <f t="shared" si="106"/>
        <v/>
      </c>
      <c r="BG51" s="26" t="str">
        <f t="shared" si="107"/>
        <v/>
      </c>
      <c r="BH51" s="26" t="str">
        <f t="shared" si="108"/>
        <v/>
      </c>
      <c r="BI51" s="26" t="str">
        <f t="shared" si="109"/>
        <v/>
      </c>
      <c r="BJ51" s="26" t="str">
        <f t="shared" si="110"/>
        <v/>
      </c>
      <c r="BK51" s="26" t="str">
        <f t="shared" si="111"/>
        <v/>
      </c>
      <c r="BL51" s="26" t="str">
        <f t="shared" si="112"/>
        <v/>
      </c>
      <c r="BM51" s="26" t="str">
        <f t="shared" si="113"/>
        <v/>
      </c>
      <c r="BN51" s="26" t="str">
        <f t="shared" si="114"/>
        <v/>
      </c>
      <c r="BO51" s="26" t="str">
        <f t="shared" si="115"/>
        <v/>
      </c>
      <c r="BP51" s="26" t="str">
        <f t="shared" si="116"/>
        <v/>
      </c>
      <c r="BQ51" s="26" t="str">
        <f t="shared" si="117"/>
        <v/>
      </c>
      <c r="BR51" s="32" t="str">
        <f t="shared" si="118"/>
        <v/>
      </c>
      <c r="BS51" s="27" t="str">
        <f t="shared" si="119"/>
        <v/>
      </c>
      <c r="BT51" s="32" t="str">
        <f t="shared" si="120"/>
        <v/>
      </c>
      <c r="BU51" s="27" t="str">
        <f t="shared" si="121"/>
        <v/>
      </c>
    </row>
    <row r="52" spans="1:73" x14ac:dyDescent="0.3">
      <c r="A52" s="22" t="str">
        <f>'📊 Исходные данные'!A51</f>
        <v>Вода Денеб Горная пл/б 0,6л Ультра</v>
      </c>
      <c r="B52" s="23" t="str">
        <f>'📊 Исходные данные'!B51</f>
        <v>4606592005285</v>
      </c>
      <c r="C52" s="24">
        <f>'📊 Исходные данные'!C51</f>
        <v>0</v>
      </c>
      <c r="D52" s="24">
        <f>'📊 Исходные данные'!D51</f>
        <v>0</v>
      </c>
      <c r="E52" s="25" t="str">
        <f t="shared" si="61"/>
        <v>—</v>
      </c>
      <c r="F52" s="26" t="str">
        <f>IFERROR(AVERAGE('📊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G52" s="26" t="str">
        <f>IFERROR(MEDIAN('📊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H52" s="26">
        <f>IFERROR(MIN('📊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>0</v>
      </c>
      <c r="I52" s="26">
        <f>IFERROR(MAX('📊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>0</v>
      </c>
      <c r="J52" s="27" t="str">
        <f t="shared" si="62"/>
        <v/>
      </c>
      <c r="K52" s="27" t="str">
        <f t="shared" si="63"/>
        <v/>
      </c>
      <c r="L52" s="27" t="e">
        <f t="shared" si="64"/>
        <v>#DIV/0!</v>
      </c>
      <c r="M52" s="28" t="str">
        <f>IFERROR(RANK(D52,('📊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данные'!K51)),"")</f>
        <v/>
      </c>
      <c r="N52" s="25" t="str">
        <f t="shared" si="65"/>
        <v>—</v>
      </c>
      <c r="O52" s="27" t="str">
        <f t="shared" si="66"/>
        <v/>
      </c>
      <c r="P52" s="27" t="str">
        <f t="shared" si="67"/>
        <v/>
      </c>
      <c r="Q52" s="26" t="str">
        <f t="shared" si="68"/>
        <v/>
      </c>
      <c r="R52" s="25" t="str">
        <f t="shared" si="69"/>
        <v>—</v>
      </c>
      <c r="S52" s="25" t="e">
        <f t="shared" si="70"/>
        <v>#DIV/0!</v>
      </c>
      <c r="T52" s="29"/>
      <c r="U52" s="26" t="str">
        <f t="shared" si="71"/>
        <v/>
      </c>
      <c r="V52" s="26" t="str">
        <f t="shared" si="72"/>
        <v/>
      </c>
      <c r="W52" s="27" t="e">
        <f t="shared" si="73"/>
        <v>#VALUE!</v>
      </c>
      <c r="X52" s="26" t="str">
        <f t="shared" si="74"/>
        <v/>
      </c>
      <c r="Y52" s="27" t="str">
        <f t="shared" si="75"/>
        <v/>
      </c>
      <c r="Z52" s="27" t="str">
        <f t="shared" si="76"/>
        <v/>
      </c>
      <c r="AA52" s="26" t="str">
        <f t="shared" si="77"/>
        <v/>
      </c>
      <c r="AB52" s="27" t="str">
        <f t="shared" si="78"/>
        <v/>
      </c>
      <c r="AC52" s="27" t="str">
        <f t="shared" si="79"/>
        <v/>
      </c>
      <c r="AD52" s="26" t="str">
        <f t="shared" si="80"/>
        <v/>
      </c>
      <c r="AE52" s="26" t="str">
        <f t="shared" si="81"/>
        <v/>
      </c>
      <c r="AF52" s="27" t="str">
        <f t="shared" si="82"/>
        <v/>
      </c>
      <c r="AG52" s="27" t="str">
        <f t="shared" si="83"/>
        <v/>
      </c>
      <c r="AH52" s="26" t="str">
        <f t="shared" si="84"/>
        <v/>
      </c>
      <c r="AI52" s="27" t="str">
        <f t="shared" si="85"/>
        <v/>
      </c>
      <c r="AJ52" s="27" t="str">
        <f t="shared" si="86"/>
        <v/>
      </c>
      <c r="AK52" s="26" t="str">
        <f t="shared" si="87"/>
        <v/>
      </c>
      <c r="AL52" s="26">
        <f t="shared" si="88"/>
        <v>0</v>
      </c>
      <c r="AM52" s="27" t="str">
        <f t="shared" si="89"/>
        <v/>
      </c>
      <c r="AN52" s="27" t="str">
        <f t="shared" si="90"/>
        <v/>
      </c>
      <c r="AO52" s="26" t="str">
        <f t="shared" si="91"/>
        <v/>
      </c>
      <c r="AP52" s="27" t="str">
        <f t="shared" si="92"/>
        <v/>
      </c>
      <c r="AQ52" s="27" t="str">
        <f t="shared" si="93"/>
        <v/>
      </c>
      <c r="AR52" s="26" t="str">
        <f t="shared" si="94"/>
        <v/>
      </c>
      <c r="AS52" s="30"/>
      <c r="AT52" s="27" t="str">
        <f t="shared" si="95"/>
        <v/>
      </c>
      <c r="AU52" s="27" t="str">
        <f t="shared" si="96"/>
        <v/>
      </c>
      <c r="AV52" s="26" t="str">
        <f t="shared" si="97"/>
        <v/>
      </c>
      <c r="AW52" s="27" t="str">
        <f t="shared" si="98"/>
        <v/>
      </c>
      <c r="AX52" s="27" t="str">
        <f t="shared" si="99"/>
        <v/>
      </c>
      <c r="AY52" s="26" t="str">
        <f t="shared" si="100"/>
        <v/>
      </c>
      <c r="AZ52" s="31"/>
      <c r="BA52" s="26" t="str">
        <f t="shared" si="101"/>
        <v/>
      </c>
      <c r="BB52" s="27" t="str">
        <f t="shared" si="102"/>
        <v/>
      </c>
      <c r="BC52" s="27" t="str">
        <f t="shared" si="103"/>
        <v/>
      </c>
      <c r="BD52" s="26" t="str">
        <f t="shared" si="104"/>
        <v/>
      </c>
      <c r="BE52" s="27" t="str">
        <f t="shared" si="105"/>
        <v/>
      </c>
      <c r="BF52" s="27" t="str">
        <f t="shared" si="106"/>
        <v/>
      </c>
      <c r="BG52" s="26" t="str">
        <f t="shared" si="107"/>
        <v/>
      </c>
      <c r="BH52" s="26" t="str">
        <f t="shared" si="108"/>
        <v/>
      </c>
      <c r="BI52" s="26" t="str">
        <f t="shared" si="109"/>
        <v/>
      </c>
      <c r="BJ52" s="26" t="str">
        <f t="shared" si="110"/>
        <v/>
      </c>
      <c r="BK52" s="26" t="str">
        <f t="shared" si="111"/>
        <v/>
      </c>
      <c r="BL52" s="26" t="str">
        <f t="shared" si="112"/>
        <v/>
      </c>
      <c r="BM52" s="26" t="str">
        <f t="shared" si="113"/>
        <v/>
      </c>
      <c r="BN52" s="26" t="str">
        <f t="shared" si="114"/>
        <v/>
      </c>
      <c r="BO52" s="26" t="str">
        <f t="shared" si="115"/>
        <v/>
      </c>
      <c r="BP52" s="26" t="str">
        <f t="shared" si="116"/>
        <v/>
      </c>
      <c r="BQ52" s="26" t="str">
        <f t="shared" si="117"/>
        <v/>
      </c>
      <c r="BR52" s="32" t="str">
        <f t="shared" si="118"/>
        <v/>
      </c>
      <c r="BS52" s="27" t="str">
        <f t="shared" si="119"/>
        <v/>
      </c>
      <c r="BT52" s="32" t="str">
        <f t="shared" si="120"/>
        <v/>
      </c>
      <c r="BU52" s="27" t="str">
        <f t="shared" si="121"/>
        <v/>
      </c>
    </row>
    <row r="53" spans="1:73" x14ac:dyDescent="0.3">
      <c r="A53" s="22" t="str">
        <f>'📊 Исходные данные'!A52</f>
        <v>Вода Серноводская негазир 9л</v>
      </c>
      <c r="B53" s="23" t="str">
        <f>'📊 Исходные данные'!B52</f>
        <v>4607167624849</v>
      </c>
      <c r="C53" s="24">
        <f>'📊 Исходные данные'!C52</f>
        <v>0</v>
      </c>
      <c r="D53" s="24">
        <f>'📊 Исходные данные'!D52</f>
        <v>0</v>
      </c>
      <c r="E53" s="25" t="str">
        <f t="shared" si="61"/>
        <v>—</v>
      </c>
      <c r="F53" s="26" t="str">
        <f>IFERROR(AVERAGE('📊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G53" s="26" t="str">
        <f>IFERROR(MEDIAN('📊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H53" s="26">
        <f>IFERROR(MIN('📊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>0</v>
      </c>
      <c r="I53" s="26">
        <f>IFERROR(MAX('📊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>0</v>
      </c>
      <c r="J53" s="27" t="str">
        <f t="shared" si="62"/>
        <v/>
      </c>
      <c r="K53" s="27" t="str">
        <f t="shared" si="63"/>
        <v/>
      </c>
      <c r="L53" s="27" t="e">
        <f t="shared" si="64"/>
        <v>#DIV/0!</v>
      </c>
      <c r="M53" s="28" t="str">
        <f>IFERROR(RANK(D53,('📊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данные'!K52)),"")</f>
        <v/>
      </c>
      <c r="N53" s="25" t="str">
        <f t="shared" si="65"/>
        <v>—</v>
      </c>
      <c r="O53" s="27" t="str">
        <f t="shared" si="66"/>
        <v/>
      </c>
      <c r="P53" s="27" t="str">
        <f t="shared" si="67"/>
        <v/>
      </c>
      <c r="Q53" s="26" t="str">
        <f t="shared" si="68"/>
        <v/>
      </c>
      <c r="R53" s="25" t="str">
        <f t="shared" si="69"/>
        <v>—</v>
      </c>
      <c r="S53" s="25" t="e">
        <f t="shared" si="70"/>
        <v>#DIV/0!</v>
      </c>
      <c r="T53" s="29"/>
      <c r="U53" s="26" t="str">
        <f t="shared" si="71"/>
        <v/>
      </c>
      <c r="V53" s="26" t="str">
        <f t="shared" si="72"/>
        <v/>
      </c>
      <c r="W53" s="27" t="e">
        <f t="shared" si="73"/>
        <v>#VALUE!</v>
      </c>
      <c r="X53" s="26" t="str">
        <f t="shared" si="74"/>
        <v/>
      </c>
      <c r="Y53" s="27" t="str">
        <f t="shared" si="75"/>
        <v/>
      </c>
      <c r="Z53" s="27" t="str">
        <f t="shared" si="76"/>
        <v/>
      </c>
      <c r="AA53" s="26" t="str">
        <f t="shared" si="77"/>
        <v/>
      </c>
      <c r="AB53" s="27" t="str">
        <f t="shared" si="78"/>
        <v/>
      </c>
      <c r="AC53" s="27" t="str">
        <f t="shared" si="79"/>
        <v/>
      </c>
      <c r="AD53" s="26" t="str">
        <f t="shared" si="80"/>
        <v/>
      </c>
      <c r="AE53" s="26" t="str">
        <f t="shared" si="81"/>
        <v/>
      </c>
      <c r="AF53" s="27" t="str">
        <f t="shared" si="82"/>
        <v/>
      </c>
      <c r="AG53" s="27" t="str">
        <f t="shared" si="83"/>
        <v/>
      </c>
      <c r="AH53" s="26" t="str">
        <f t="shared" si="84"/>
        <v/>
      </c>
      <c r="AI53" s="27" t="str">
        <f t="shared" si="85"/>
        <v/>
      </c>
      <c r="AJ53" s="27" t="str">
        <f t="shared" si="86"/>
        <v/>
      </c>
      <c r="AK53" s="26" t="str">
        <f t="shared" si="87"/>
        <v/>
      </c>
      <c r="AL53" s="26">
        <f t="shared" si="88"/>
        <v>0</v>
      </c>
      <c r="AM53" s="27" t="str">
        <f t="shared" si="89"/>
        <v/>
      </c>
      <c r="AN53" s="27" t="str">
        <f t="shared" si="90"/>
        <v/>
      </c>
      <c r="AO53" s="26" t="str">
        <f t="shared" si="91"/>
        <v/>
      </c>
      <c r="AP53" s="27" t="str">
        <f t="shared" si="92"/>
        <v/>
      </c>
      <c r="AQ53" s="27" t="str">
        <f t="shared" si="93"/>
        <v/>
      </c>
      <c r="AR53" s="26" t="str">
        <f t="shared" si="94"/>
        <v/>
      </c>
      <c r="AS53" s="30"/>
      <c r="AT53" s="27" t="str">
        <f t="shared" si="95"/>
        <v/>
      </c>
      <c r="AU53" s="27" t="str">
        <f t="shared" si="96"/>
        <v/>
      </c>
      <c r="AV53" s="26" t="str">
        <f t="shared" si="97"/>
        <v/>
      </c>
      <c r="AW53" s="27" t="str">
        <f t="shared" si="98"/>
        <v/>
      </c>
      <c r="AX53" s="27" t="str">
        <f t="shared" si="99"/>
        <v/>
      </c>
      <c r="AY53" s="26" t="str">
        <f t="shared" si="100"/>
        <v/>
      </c>
      <c r="AZ53" s="31"/>
      <c r="BA53" s="26" t="str">
        <f t="shared" si="101"/>
        <v/>
      </c>
      <c r="BB53" s="27" t="str">
        <f t="shared" si="102"/>
        <v/>
      </c>
      <c r="BC53" s="27" t="str">
        <f t="shared" si="103"/>
        <v/>
      </c>
      <c r="BD53" s="26" t="str">
        <f t="shared" si="104"/>
        <v/>
      </c>
      <c r="BE53" s="27" t="str">
        <f t="shared" si="105"/>
        <v/>
      </c>
      <c r="BF53" s="27" t="str">
        <f t="shared" si="106"/>
        <v/>
      </c>
      <c r="BG53" s="26" t="str">
        <f t="shared" si="107"/>
        <v/>
      </c>
      <c r="BH53" s="26" t="str">
        <f t="shared" si="108"/>
        <v/>
      </c>
      <c r="BI53" s="26" t="str">
        <f t="shared" si="109"/>
        <v/>
      </c>
      <c r="BJ53" s="26" t="str">
        <f t="shared" si="110"/>
        <v/>
      </c>
      <c r="BK53" s="26" t="str">
        <f t="shared" si="111"/>
        <v/>
      </c>
      <c r="BL53" s="26" t="str">
        <f t="shared" si="112"/>
        <v/>
      </c>
      <c r="BM53" s="26" t="str">
        <f t="shared" si="113"/>
        <v/>
      </c>
      <c r="BN53" s="26" t="str">
        <f t="shared" si="114"/>
        <v/>
      </c>
      <c r="BO53" s="26" t="str">
        <f t="shared" si="115"/>
        <v/>
      </c>
      <c r="BP53" s="26" t="str">
        <f t="shared" si="116"/>
        <v/>
      </c>
      <c r="BQ53" s="26" t="str">
        <f t="shared" si="117"/>
        <v/>
      </c>
      <c r="BR53" s="32" t="str">
        <f t="shared" si="118"/>
        <v/>
      </c>
      <c r="BS53" s="27" t="str">
        <f t="shared" si="119"/>
        <v/>
      </c>
      <c r="BT53" s="32" t="str">
        <f t="shared" si="120"/>
        <v/>
      </c>
      <c r="BU53" s="27" t="str">
        <f t="shared" si="121"/>
        <v/>
      </c>
    </row>
    <row r="54" spans="1:73" x14ac:dyDescent="0.3">
      <c r="A54" s="22" t="str">
        <f>'📊 Исходные данные'!A53</f>
        <v>Напиток Денеб Голд 1,25л Груша</v>
      </c>
      <c r="B54" s="23" t="str">
        <f>'📊 Исходные данные'!B53</f>
        <v>4606592001805</v>
      </c>
      <c r="C54" s="24">
        <f>'📊 Исходные данные'!C53</f>
        <v>73.599999999999994</v>
      </c>
      <c r="D54" s="24">
        <f>'📊 Исходные данные'!D53</f>
        <v>95</v>
      </c>
      <c r="E54" s="25" t="str">
        <f t="shared" si="61"/>
        <v>🟢 Ниже рынка</v>
      </c>
      <c r="F54" s="26">
        <f>IFERROR(AVERAGE('📊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>100.6</v>
      </c>
      <c r="G54" s="26">
        <f>IFERROR(MEDIAN('📊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>100</v>
      </c>
      <c r="H54" s="26">
        <f>IFERROR(MIN('📊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>91</v>
      </c>
      <c r="I54" s="26">
        <f>IFERROR(MAX('📊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>115</v>
      </c>
      <c r="J54" s="27">
        <f t="shared" si="62"/>
        <v>-5.5666003976143089E-2</v>
      </c>
      <c r="K54" s="27">
        <f t="shared" si="63"/>
        <v>-0.05</v>
      </c>
      <c r="L54" s="27">
        <f t="shared" si="64"/>
        <v>4.3956043956043959E-2</v>
      </c>
      <c r="M54" s="28" t="str">
        <f>IFERROR(RANK(D54,('📊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данные'!K53)),"")</f>
        <v/>
      </c>
      <c r="N54" s="25" t="str">
        <f t="shared" si="65"/>
        <v>—</v>
      </c>
      <c r="O54" s="27">
        <f t="shared" si="66"/>
        <v>0.29076086956521752</v>
      </c>
      <c r="P54" s="27">
        <f t="shared" si="67"/>
        <v>0.22526315789473692</v>
      </c>
      <c r="Q54" s="26">
        <f t="shared" si="68"/>
        <v>21.400000000000006</v>
      </c>
      <c r="R54" s="25" t="str">
        <f t="shared" si="69"/>
        <v>🟢 Хорошая(&gt;20%)</v>
      </c>
      <c r="S54" s="25" t="str">
        <f t="shared" si="70"/>
        <v>🟢 НИЗКИЙ</v>
      </c>
      <c r="T54" s="29"/>
      <c r="U54" s="26" t="str">
        <f t="shared" si="71"/>
        <v/>
      </c>
      <c r="V54" s="26" t="str">
        <f t="shared" si="72"/>
        <v/>
      </c>
      <c r="W54" s="27" t="e">
        <f t="shared" si="73"/>
        <v>#VALUE!</v>
      </c>
      <c r="X54" s="26">
        <f t="shared" si="74"/>
        <v>100.6</v>
      </c>
      <c r="Y54" s="27">
        <f t="shared" si="75"/>
        <v>0.36684782608695654</v>
      </c>
      <c r="Z54" s="27">
        <f t="shared" si="76"/>
        <v>0.26838966202783304</v>
      </c>
      <c r="AA54" s="26">
        <f t="shared" si="77"/>
        <v>27</v>
      </c>
      <c r="AB54" s="27">
        <f t="shared" si="78"/>
        <v>5.8947368421052575E-2</v>
      </c>
      <c r="AC54" s="27">
        <f t="shared" si="79"/>
        <v>0.19144943423570704</v>
      </c>
      <c r="AD54" s="26">
        <f t="shared" si="80"/>
        <v>5.5999999999999943</v>
      </c>
      <c r="AE54" s="26">
        <f t="shared" si="81"/>
        <v>100</v>
      </c>
      <c r="AF54" s="27">
        <f t="shared" si="82"/>
        <v>0.35869565217391314</v>
      </c>
      <c r="AG54" s="27">
        <f t="shared" si="83"/>
        <v>0.26400000000000007</v>
      </c>
      <c r="AH54" s="26">
        <f t="shared" si="84"/>
        <v>26.400000000000006</v>
      </c>
      <c r="AI54" s="27">
        <f t="shared" si="85"/>
        <v>5.2631578947368418E-2</v>
      </c>
      <c r="AJ54" s="27">
        <f t="shared" si="86"/>
        <v>0.17196261682242983</v>
      </c>
      <c r="AK54" s="26">
        <f t="shared" si="87"/>
        <v>5</v>
      </c>
      <c r="AL54" s="26">
        <f t="shared" si="88"/>
        <v>91</v>
      </c>
      <c r="AM54" s="27">
        <f t="shared" si="89"/>
        <v>0.23641304347826098</v>
      </c>
      <c r="AN54" s="27">
        <f t="shared" si="90"/>
        <v>0.19120879120879128</v>
      </c>
      <c r="AO54" s="26">
        <f t="shared" si="91"/>
        <v>17.400000000000006</v>
      </c>
      <c r="AP54" s="27">
        <f t="shared" si="92"/>
        <v>-4.2105263157894736E-2</v>
      </c>
      <c r="AQ54" s="27">
        <f t="shared" si="93"/>
        <v>-0.15117592687686143</v>
      </c>
      <c r="AR54" s="26">
        <f t="shared" si="94"/>
        <v>-4</v>
      </c>
      <c r="AS54" s="30"/>
      <c r="AT54" s="27" t="str">
        <f t="shared" si="95"/>
        <v/>
      </c>
      <c r="AU54" s="27" t="str">
        <f t="shared" si="96"/>
        <v/>
      </c>
      <c r="AV54" s="26" t="str">
        <f t="shared" si="97"/>
        <v/>
      </c>
      <c r="AW54" s="27" t="str">
        <f t="shared" si="98"/>
        <v/>
      </c>
      <c r="AX54" s="27" t="str">
        <f t="shared" si="99"/>
        <v/>
      </c>
      <c r="AY54" s="26" t="str">
        <f t="shared" si="100"/>
        <v/>
      </c>
      <c r="AZ54" s="31"/>
      <c r="BA54" s="26" t="str">
        <f t="shared" si="101"/>
        <v/>
      </c>
      <c r="BB54" s="27" t="str">
        <f t="shared" si="102"/>
        <v/>
      </c>
      <c r="BC54" s="27" t="str">
        <f t="shared" si="103"/>
        <v/>
      </c>
      <c r="BD54" s="26" t="str">
        <f t="shared" si="104"/>
        <v/>
      </c>
      <c r="BE54" s="27" t="str">
        <f t="shared" si="105"/>
        <v/>
      </c>
      <c r="BF54" s="27" t="str">
        <f t="shared" si="106"/>
        <v/>
      </c>
      <c r="BG54" s="26" t="str">
        <f t="shared" si="107"/>
        <v/>
      </c>
      <c r="BH54" s="26" t="str">
        <f t="shared" si="108"/>
        <v/>
      </c>
      <c r="BI54" s="26" t="str">
        <f t="shared" si="109"/>
        <v/>
      </c>
      <c r="BJ54" s="26" t="str">
        <f t="shared" si="110"/>
        <v/>
      </c>
      <c r="BK54" s="26" t="str">
        <f t="shared" si="111"/>
        <v/>
      </c>
      <c r="BL54" s="26" t="str">
        <f t="shared" si="112"/>
        <v/>
      </c>
      <c r="BM54" s="26" t="str">
        <f t="shared" si="113"/>
        <v/>
      </c>
      <c r="BN54" s="26" t="str">
        <f t="shared" si="114"/>
        <v/>
      </c>
      <c r="BO54" s="26" t="str">
        <f t="shared" si="115"/>
        <v/>
      </c>
      <c r="BP54" s="26" t="str">
        <f t="shared" si="116"/>
        <v/>
      </c>
      <c r="BQ54" s="26" t="str">
        <f t="shared" si="117"/>
        <v/>
      </c>
      <c r="BR54" s="32" t="str">
        <f t="shared" si="118"/>
        <v/>
      </c>
      <c r="BS54" s="27" t="str">
        <f t="shared" si="119"/>
        <v/>
      </c>
      <c r="BT54" s="32" t="str">
        <f t="shared" si="120"/>
        <v/>
      </c>
      <c r="BU54" s="27" t="str">
        <f t="shared" si="121"/>
        <v/>
      </c>
    </row>
    <row r="55" spans="1:73" x14ac:dyDescent="0.3">
      <c r="A55" s="22" t="str">
        <f>'📊 Исходные данные'!A54</f>
        <v>Напиток Добрый Кола пл/б 1л</v>
      </c>
      <c r="B55" s="23" t="str">
        <f>'📊 Исходные данные'!B54</f>
        <v>4610011503795</v>
      </c>
      <c r="C55" s="24">
        <f>'📊 Исходные данные'!C54</f>
        <v>73.72</v>
      </c>
      <c r="D55" s="24">
        <f>'📊 Исходные данные'!D54</f>
        <v>99</v>
      </c>
      <c r="E55" s="25" t="str">
        <f t="shared" si="61"/>
        <v>🔴 Выше рынка</v>
      </c>
      <c r="F55" s="26">
        <f>IFERROR(AVERAGE('📊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>90.8</v>
      </c>
      <c r="G55" s="26">
        <f>IFERROR(MEDIAN('📊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>86</v>
      </c>
      <c r="H55" s="26">
        <f>IFERROR(MIN('📊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>80</v>
      </c>
      <c r="I55" s="26">
        <f>IFERROR(MAX('📊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>105</v>
      </c>
      <c r="J55" s="27">
        <f t="shared" si="62"/>
        <v>9.0308370044052899E-2</v>
      </c>
      <c r="K55" s="27">
        <f t="shared" si="63"/>
        <v>0.15116279069767441</v>
      </c>
      <c r="L55" s="27">
        <f t="shared" si="64"/>
        <v>0.23749999999999999</v>
      </c>
      <c r="M55" s="28" t="str">
        <f>IFERROR(RANK(D55,('📊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данные'!K54)),"")</f>
        <v/>
      </c>
      <c r="N55" s="25" t="str">
        <f t="shared" si="65"/>
        <v>—</v>
      </c>
      <c r="O55" s="27">
        <f t="shared" si="66"/>
        <v>0.34291915355398811</v>
      </c>
      <c r="P55" s="27">
        <f t="shared" si="67"/>
        <v>0.25535353535353539</v>
      </c>
      <c r="Q55" s="26">
        <f t="shared" si="68"/>
        <v>25.28</v>
      </c>
      <c r="R55" s="25" t="str">
        <f t="shared" si="69"/>
        <v>🟢 Хорошая(&gt;20%)</v>
      </c>
      <c r="S55" s="25" t="str">
        <f t="shared" si="70"/>
        <v>🟡 УМЕРЕННЫЙ</v>
      </c>
      <c r="T55" s="29"/>
      <c r="U55" s="26" t="str">
        <f t="shared" si="71"/>
        <v/>
      </c>
      <c r="V55" s="26" t="str">
        <f t="shared" si="72"/>
        <v/>
      </c>
      <c r="W55" s="27" t="e">
        <f t="shared" si="73"/>
        <v>#VALUE!</v>
      </c>
      <c r="X55" s="26">
        <f t="shared" si="74"/>
        <v>90.8</v>
      </c>
      <c r="Y55" s="27">
        <f t="shared" si="75"/>
        <v>0.23168746608790014</v>
      </c>
      <c r="Z55" s="27">
        <f t="shared" si="76"/>
        <v>0.18810572687224669</v>
      </c>
      <c r="AA55" s="26">
        <f t="shared" si="77"/>
        <v>17.079999999999998</v>
      </c>
      <c r="AB55" s="27">
        <f t="shared" si="78"/>
        <v>-8.2828282828282862E-2</v>
      </c>
      <c r="AC55" s="27">
        <f t="shared" si="79"/>
        <v>-0.26335178163162898</v>
      </c>
      <c r="AD55" s="26">
        <f t="shared" si="80"/>
        <v>-8.2000000000000028</v>
      </c>
      <c r="AE55" s="26">
        <f t="shared" si="81"/>
        <v>86</v>
      </c>
      <c r="AF55" s="27">
        <f t="shared" si="82"/>
        <v>0.16657623440043409</v>
      </c>
      <c r="AG55" s="27">
        <f t="shared" si="83"/>
        <v>0.14279069767441863</v>
      </c>
      <c r="AH55" s="26">
        <f t="shared" si="84"/>
        <v>12.280000000000001</v>
      </c>
      <c r="AI55" s="27">
        <f t="shared" si="85"/>
        <v>-0.13131313131313133</v>
      </c>
      <c r="AJ55" s="27">
        <f t="shared" si="86"/>
        <v>-0.44081174565793346</v>
      </c>
      <c r="AK55" s="26">
        <f t="shared" si="87"/>
        <v>-13</v>
      </c>
      <c r="AL55" s="26">
        <f t="shared" si="88"/>
        <v>80</v>
      </c>
      <c r="AM55" s="27">
        <f t="shared" si="89"/>
        <v>8.5187194791101484E-2</v>
      </c>
      <c r="AN55" s="27">
        <f t="shared" si="90"/>
        <v>7.8500000000000014E-2</v>
      </c>
      <c r="AO55" s="26">
        <f t="shared" si="91"/>
        <v>6.2800000000000011</v>
      </c>
      <c r="AP55" s="27">
        <f t="shared" si="92"/>
        <v>-0.19191919191919191</v>
      </c>
      <c r="AQ55" s="27">
        <f t="shared" si="93"/>
        <v>-0.69258306962025318</v>
      </c>
      <c r="AR55" s="26">
        <f t="shared" si="94"/>
        <v>-19</v>
      </c>
      <c r="AS55" s="30"/>
      <c r="AT55" s="27" t="str">
        <f t="shared" si="95"/>
        <v/>
      </c>
      <c r="AU55" s="27" t="str">
        <f t="shared" si="96"/>
        <v/>
      </c>
      <c r="AV55" s="26" t="str">
        <f t="shared" si="97"/>
        <v/>
      </c>
      <c r="AW55" s="27" t="str">
        <f t="shared" si="98"/>
        <v/>
      </c>
      <c r="AX55" s="27" t="str">
        <f t="shared" si="99"/>
        <v/>
      </c>
      <c r="AY55" s="26" t="str">
        <f t="shared" si="100"/>
        <v/>
      </c>
      <c r="AZ55" s="31"/>
      <c r="BA55" s="26" t="str">
        <f t="shared" si="101"/>
        <v/>
      </c>
      <c r="BB55" s="27" t="str">
        <f t="shared" si="102"/>
        <v/>
      </c>
      <c r="BC55" s="27" t="str">
        <f t="shared" si="103"/>
        <v/>
      </c>
      <c r="BD55" s="26" t="str">
        <f t="shared" si="104"/>
        <v/>
      </c>
      <c r="BE55" s="27" t="str">
        <f t="shared" si="105"/>
        <v/>
      </c>
      <c r="BF55" s="27" t="str">
        <f t="shared" si="106"/>
        <v/>
      </c>
      <c r="BG55" s="26" t="str">
        <f t="shared" si="107"/>
        <v/>
      </c>
      <c r="BH55" s="26" t="str">
        <f t="shared" si="108"/>
        <v/>
      </c>
      <c r="BI55" s="26" t="str">
        <f t="shared" si="109"/>
        <v/>
      </c>
      <c r="BJ55" s="26" t="str">
        <f t="shared" si="110"/>
        <v/>
      </c>
      <c r="BK55" s="26" t="str">
        <f t="shared" si="111"/>
        <v/>
      </c>
      <c r="BL55" s="26" t="str">
        <f t="shared" si="112"/>
        <v/>
      </c>
      <c r="BM55" s="26" t="str">
        <f t="shared" si="113"/>
        <v/>
      </c>
      <c r="BN55" s="26" t="str">
        <f t="shared" si="114"/>
        <v/>
      </c>
      <c r="BO55" s="26" t="str">
        <f t="shared" si="115"/>
        <v/>
      </c>
      <c r="BP55" s="26" t="str">
        <f t="shared" si="116"/>
        <v/>
      </c>
      <c r="BQ55" s="26" t="str">
        <f t="shared" si="117"/>
        <v/>
      </c>
      <c r="BR55" s="32" t="str">
        <f t="shared" si="118"/>
        <v/>
      </c>
      <c r="BS55" s="27" t="str">
        <f t="shared" si="119"/>
        <v/>
      </c>
      <c r="BT55" s="32" t="str">
        <f t="shared" si="120"/>
        <v/>
      </c>
      <c r="BU55" s="27" t="str">
        <f t="shared" si="121"/>
        <v/>
      </c>
    </row>
    <row r="56" spans="1:73" x14ac:dyDescent="0.3">
      <c r="A56" s="22" t="str">
        <f>'📊 Исходные данные'!A55</f>
        <v>Напиток Добрый Кола пл/б 1,5л</v>
      </c>
      <c r="B56" s="23" t="str">
        <f>'📊 Исходные данные'!B55</f>
        <v>4610011503818</v>
      </c>
      <c r="C56" s="24">
        <f>'📊 Исходные данные'!C55</f>
        <v>0</v>
      </c>
      <c r="D56" s="24">
        <f>'📊 Исходные данные'!D55</f>
        <v>0</v>
      </c>
      <c r="E56" s="25" t="str">
        <f t="shared" si="61"/>
        <v>—</v>
      </c>
      <c r="F56" s="26" t="str">
        <f>IFERROR(AVERAGE('📊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G56" s="26" t="str">
        <f>IFERROR(MEDIAN('📊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H56" s="26">
        <f>IFERROR(MIN('📊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>0</v>
      </c>
      <c r="I56" s="26">
        <f>IFERROR(MAX('📊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>0</v>
      </c>
      <c r="J56" s="27" t="str">
        <f t="shared" si="62"/>
        <v/>
      </c>
      <c r="K56" s="27" t="str">
        <f t="shared" si="63"/>
        <v/>
      </c>
      <c r="L56" s="27" t="e">
        <f t="shared" si="64"/>
        <v>#DIV/0!</v>
      </c>
      <c r="M56" s="28" t="str">
        <f>IFERROR(RANK(D56,('📊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данные'!K55)),"")</f>
        <v/>
      </c>
      <c r="N56" s="25" t="str">
        <f t="shared" si="65"/>
        <v>—</v>
      </c>
      <c r="O56" s="27" t="str">
        <f t="shared" si="66"/>
        <v/>
      </c>
      <c r="P56" s="27" t="str">
        <f t="shared" si="67"/>
        <v/>
      </c>
      <c r="Q56" s="26" t="str">
        <f t="shared" si="68"/>
        <v/>
      </c>
      <c r="R56" s="25" t="str">
        <f t="shared" si="69"/>
        <v>—</v>
      </c>
      <c r="S56" s="25" t="e">
        <f t="shared" si="70"/>
        <v>#DIV/0!</v>
      </c>
      <c r="T56" s="29"/>
      <c r="U56" s="26" t="str">
        <f t="shared" si="71"/>
        <v/>
      </c>
      <c r="V56" s="26" t="str">
        <f t="shared" si="72"/>
        <v/>
      </c>
      <c r="W56" s="27" t="e">
        <f t="shared" si="73"/>
        <v>#VALUE!</v>
      </c>
      <c r="X56" s="26" t="str">
        <f t="shared" si="74"/>
        <v/>
      </c>
      <c r="Y56" s="27" t="str">
        <f t="shared" si="75"/>
        <v/>
      </c>
      <c r="Z56" s="27" t="str">
        <f t="shared" si="76"/>
        <v/>
      </c>
      <c r="AA56" s="26" t="str">
        <f t="shared" si="77"/>
        <v/>
      </c>
      <c r="AB56" s="27" t="str">
        <f t="shared" si="78"/>
        <v/>
      </c>
      <c r="AC56" s="27" t="str">
        <f t="shared" si="79"/>
        <v/>
      </c>
      <c r="AD56" s="26" t="str">
        <f t="shared" si="80"/>
        <v/>
      </c>
      <c r="AE56" s="26" t="str">
        <f t="shared" si="81"/>
        <v/>
      </c>
      <c r="AF56" s="27" t="str">
        <f t="shared" si="82"/>
        <v/>
      </c>
      <c r="AG56" s="27" t="str">
        <f t="shared" si="83"/>
        <v/>
      </c>
      <c r="AH56" s="26" t="str">
        <f t="shared" si="84"/>
        <v/>
      </c>
      <c r="AI56" s="27" t="str">
        <f t="shared" si="85"/>
        <v/>
      </c>
      <c r="AJ56" s="27" t="str">
        <f t="shared" si="86"/>
        <v/>
      </c>
      <c r="AK56" s="26" t="str">
        <f t="shared" si="87"/>
        <v/>
      </c>
      <c r="AL56" s="26">
        <f t="shared" si="88"/>
        <v>0</v>
      </c>
      <c r="AM56" s="27" t="str">
        <f t="shared" si="89"/>
        <v/>
      </c>
      <c r="AN56" s="27" t="str">
        <f t="shared" si="90"/>
        <v/>
      </c>
      <c r="AO56" s="26" t="str">
        <f t="shared" si="91"/>
        <v/>
      </c>
      <c r="AP56" s="27" t="str">
        <f t="shared" si="92"/>
        <v/>
      </c>
      <c r="AQ56" s="27" t="str">
        <f t="shared" si="93"/>
        <v/>
      </c>
      <c r="AR56" s="26" t="str">
        <f t="shared" si="94"/>
        <v/>
      </c>
      <c r="AS56" s="30"/>
      <c r="AT56" s="27" t="str">
        <f t="shared" si="95"/>
        <v/>
      </c>
      <c r="AU56" s="27" t="str">
        <f t="shared" si="96"/>
        <v/>
      </c>
      <c r="AV56" s="26" t="str">
        <f t="shared" si="97"/>
        <v/>
      </c>
      <c r="AW56" s="27" t="str">
        <f t="shared" si="98"/>
        <v/>
      </c>
      <c r="AX56" s="27" t="str">
        <f t="shared" si="99"/>
        <v/>
      </c>
      <c r="AY56" s="26" t="str">
        <f t="shared" si="100"/>
        <v/>
      </c>
      <c r="AZ56" s="31"/>
      <c r="BA56" s="26" t="str">
        <f t="shared" si="101"/>
        <v/>
      </c>
      <c r="BB56" s="27" t="str">
        <f t="shared" si="102"/>
        <v/>
      </c>
      <c r="BC56" s="27" t="str">
        <f t="shared" si="103"/>
        <v/>
      </c>
      <c r="BD56" s="26" t="str">
        <f t="shared" si="104"/>
        <v/>
      </c>
      <c r="BE56" s="27" t="str">
        <f t="shared" si="105"/>
        <v/>
      </c>
      <c r="BF56" s="27" t="str">
        <f t="shared" si="106"/>
        <v/>
      </c>
      <c r="BG56" s="26" t="str">
        <f t="shared" si="107"/>
        <v/>
      </c>
      <c r="BH56" s="26" t="str">
        <f t="shared" si="108"/>
        <v/>
      </c>
      <c r="BI56" s="26" t="str">
        <f t="shared" si="109"/>
        <v/>
      </c>
      <c r="BJ56" s="26" t="str">
        <f t="shared" si="110"/>
        <v/>
      </c>
      <c r="BK56" s="26" t="str">
        <f t="shared" si="111"/>
        <v/>
      </c>
      <c r="BL56" s="26" t="str">
        <f t="shared" si="112"/>
        <v/>
      </c>
      <c r="BM56" s="26" t="str">
        <f t="shared" si="113"/>
        <v/>
      </c>
      <c r="BN56" s="26" t="str">
        <f t="shared" si="114"/>
        <v/>
      </c>
      <c r="BO56" s="26" t="str">
        <f t="shared" si="115"/>
        <v/>
      </c>
      <c r="BP56" s="26" t="str">
        <f t="shared" si="116"/>
        <v/>
      </c>
      <c r="BQ56" s="26" t="str">
        <f t="shared" si="117"/>
        <v/>
      </c>
      <c r="BR56" s="32" t="str">
        <f t="shared" si="118"/>
        <v/>
      </c>
      <c r="BS56" s="27" t="str">
        <f t="shared" si="119"/>
        <v/>
      </c>
      <c r="BT56" s="32" t="str">
        <f t="shared" si="120"/>
        <v/>
      </c>
      <c r="BU56" s="27" t="str">
        <f t="shared" si="121"/>
        <v/>
      </c>
    </row>
    <row r="57" spans="1:73" x14ac:dyDescent="0.3">
      <c r="A57" s="22" t="str">
        <f>'📊 Исходные данные'!A56</f>
        <v>Напиток Кока Кола пл/б 1л</v>
      </c>
      <c r="B57" s="23" t="str">
        <f>'📊 Исходные данные'!B56</f>
        <v>5449000054227</v>
      </c>
      <c r="C57" s="24">
        <f>'📊 Исходные данные'!C56</f>
        <v>100.04</v>
      </c>
      <c r="D57" s="24">
        <f>'📊 Исходные данные'!D56</f>
        <v>149</v>
      </c>
      <c r="E57" s="25" t="str">
        <f t="shared" si="61"/>
        <v>🔴 Выше рынка</v>
      </c>
      <c r="F57" s="26">
        <f>IFERROR(AVERAGE('📊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>70</v>
      </c>
      <c r="G57" s="26">
        <f>IFERROR(MEDIAN('📊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>70</v>
      </c>
      <c r="H57" s="26">
        <f>IFERROR(MIN('📊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>70</v>
      </c>
      <c r="I57" s="26">
        <f>IFERROR(MAX('📊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>70</v>
      </c>
      <c r="J57" s="27">
        <f t="shared" si="62"/>
        <v>1.1285714285714286</v>
      </c>
      <c r="K57" s="27">
        <f t="shared" si="63"/>
        <v>1.1285714285714286</v>
      </c>
      <c r="L57" s="27">
        <f t="shared" si="64"/>
        <v>1.1285714285714286</v>
      </c>
      <c r="M57" s="28" t="str">
        <f>IFERROR(RANK(D57,('📊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данные'!K56)),"")</f>
        <v/>
      </c>
      <c r="N57" s="25" t="str">
        <f t="shared" si="65"/>
        <v>—</v>
      </c>
      <c r="O57" s="27">
        <f t="shared" si="66"/>
        <v>0.48940423830467805</v>
      </c>
      <c r="P57" s="27">
        <f t="shared" si="67"/>
        <v>0.32859060402684559</v>
      </c>
      <c r="Q57" s="26">
        <f t="shared" si="68"/>
        <v>48.959999999999994</v>
      </c>
      <c r="R57" s="25" t="str">
        <f t="shared" si="69"/>
        <v>🟢 Хорошая(&gt;20%)</v>
      </c>
      <c r="S57" s="25" t="str">
        <f t="shared" si="70"/>
        <v>🔴 КРИТИЧНО</v>
      </c>
      <c r="T57" s="29"/>
      <c r="U57" s="26" t="str">
        <f t="shared" si="71"/>
        <v/>
      </c>
      <c r="V57" s="26" t="str">
        <f t="shared" si="72"/>
        <v/>
      </c>
      <c r="W57" s="27" t="e">
        <f t="shared" si="73"/>
        <v>#VALUE!</v>
      </c>
      <c r="X57" s="26">
        <f t="shared" si="74"/>
        <v>70</v>
      </c>
      <c r="Y57" s="27">
        <f t="shared" si="75"/>
        <v>-0.30027988804478212</v>
      </c>
      <c r="Z57" s="27">
        <f t="shared" si="76"/>
        <v>-0.42914285714285721</v>
      </c>
      <c r="AA57" s="26">
        <f t="shared" si="77"/>
        <v>-30.040000000000006</v>
      </c>
      <c r="AB57" s="27">
        <f t="shared" si="78"/>
        <v>-0.53020134228187921</v>
      </c>
      <c r="AC57" s="27">
        <f t="shared" si="79"/>
        <v>-2.3060107376283852</v>
      </c>
      <c r="AD57" s="26">
        <f t="shared" si="80"/>
        <v>-79</v>
      </c>
      <c r="AE57" s="26">
        <f t="shared" si="81"/>
        <v>70</v>
      </c>
      <c r="AF57" s="27">
        <f t="shared" si="82"/>
        <v>-0.30027988804478212</v>
      </c>
      <c r="AG57" s="27">
        <f t="shared" si="83"/>
        <v>-0.42914285714285721</v>
      </c>
      <c r="AH57" s="26">
        <f t="shared" si="84"/>
        <v>-30.040000000000006</v>
      </c>
      <c r="AI57" s="27">
        <f t="shared" si="85"/>
        <v>-0.53020134228187921</v>
      </c>
      <c r="AJ57" s="27">
        <f t="shared" si="86"/>
        <v>-2.3060107376283852</v>
      </c>
      <c r="AK57" s="26">
        <f t="shared" si="87"/>
        <v>-79</v>
      </c>
      <c r="AL57" s="26">
        <f t="shared" si="88"/>
        <v>70</v>
      </c>
      <c r="AM57" s="27">
        <f t="shared" si="89"/>
        <v>-0.30027988804478212</v>
      </c>
      <c r="AN57" s="27">
        <f t="shared" si="90"/>
        <v>-0.42914285714285721</v>
      </c>
      <c r="AO57" s="26">
        <f t="shared" si="91"/>
        <v>-30.040000000000006</v>
      </c>
      <c r="AP57" s="27">
        <f t="shared" si="92"/>
        <v>-0.53020134228187921</v>
      </c>
      <c r="AQ57" s="27">
        <f t="shared" si="93"/>
        <v>-2.3060107376283852</v>
      </c>
      <c r="AR57" s="26">
        <f t="shared" si="94"/>
        <v>-79</v>
      </c>
      <c r="AS57" s="30"/>
      <c r="AT57" s="27" t="str">
        <f t="shared" si="95"/>
        <v/>
      </c>
      <c r="AU57" s="27" t="str">
        <f t="shared" si="96"/>
        <v/>
      </c>
      <c r="AV57" s="26" t="str">
        <f t="shared" si="97"/>
        <v/>
      </c>
      <c r="AW57" s="27" t="str">
        <f t="shared" si="98"/>
        <v/>
      </c>
      <c r="AX57" s="27" t="str">
        <f t="shared" si="99"/>
        <v/>
      </c>
      <c r="AY57" s="26" t="str">
        <f t="shared" si="100"/>
        <v/>
      </c>
      <c r="AZ57" s="31"/>
      <c r="BA57" s="26" t="str">
        <f t="shared" si="101"/>
        <v/>
      </c>
      <c r="BB57" s="27" t="str">
        <f t="shared" si="102"/>
        <v/>
      </c>
      <c r="BC57" s="27" t="str">
        <f t="shared" si="103"/>
        <v/>
      </c>
      <c r="BD57" s="26" t="str">
        <f t="shared" si="104"/>
        <v/>
      </c>
      <c r="BE57" s="27" t="str">
        <f t="shared" si="105"/>
        <v/>
      </c>
      <c r="BF57" s="27" t="str">
        <f t="shared" si="106"/>
        <v/>
      </c>
      <c r="BG57" s="26" t="str">
        <f t="shared" si="107"/>
        <v/>
      </c>
      <c r="BH57" s="26" t="str">
        <f t="shared" si="108"/>
        <v/>
      </c>
      <c r="BI57" s="26" t="str">
        <f t="shared" si="109"/>
        <v/>
      </c>
      <c r="BJ57" s="26" t="str">
        <f t="shared" si="110"/>
        <v/>
      </c>
      <c r="BK57" s="26" t="str">
        <f t="shared" si="111"/>
        <v/>
      </c>
      <c r="BL57" s="26" t="str">
        <f t="shared" si="112"/>
        <v/>
      </c>
      <c r="BM57" s="26" t="str">
        <f t="shared" si="113"/>
        <v/>
      </c>
      <c r="BN57" s="26" t="str">
        <f t="shared" si="114"/>
        <v/>
      </c>
      <c r="BO57" s="26" t="str">
        <f t="shared" si="115"/>
        <v/>
      </c>
      <c r="BP57" s="26" t="str">
        <f t="shared" si="116"/>
        <v/>
      </c>
      <c r="BQ57" s="26" t="str">
        <f t="shared" si="117"/>
        <v/>
      </c>
      <c r="BR57" s="32" t="str">
        <f t="shared" si="118"/>
        <v/>
      </c>
      <c r="BS57" s="27" t="str">
        <f t="shared" si="119"/>
        <v/>
      </c>
      <c r="BT57" s="32" t="str">
        <f t="shared" si="120"/>
        <v/>
      </c>
      <c r="BU57" s="27" t="str">
        <f t="shared" si="121"/>
        <v/>
      </c>
    </row>
    <row r="58" spans="1:73" x14ac:dyDescent="0.3">
      <c r="A58" s="22" t="str">
        <f>'📊 Исходные данные'!A57</f>
        <v>Напиток Кока Кола пл/б 2л</v>
      </c>
      <c r="B58" s="23" t="str">
        <f>'📊 Исходные данные'!B57</f>
        <v>5449000000286</v>
      </c>
      <c r="C58" s="24">
        <f>'📊 Исходные данные'!C57</f>
        <v>141.52000000000001</v>
      </c>
      <c r="D58" s="24">
        <f>'📊 Исходные данные'!D57</f>
        <v>215</v>
      </c>
      <c r="E58" s="25" t="str">
        <f t="shared" si="61"/>
        <v>🟡 На уровне</v>
      </c>
      <c r="F58" s="26">
        <f>IFERROR(AVERAGE('📊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>214.5</v>
      </c>
      <c r="G58" s="26">
        <f>IFERROR(MEDIAN('📊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>214.5</v>
      </c>
      <c r="H58" s="26">
        <f>IFERROR(MIN('📊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>205</v>
      </c>
      <c r="I58" s="26">
        <f>IFERROR(MAX('📊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>224</v>
      </c>
      <c r="J58" s="27">
        <f t="shared" si="62"/>
        <v>2.331002331002331E-3</v>
      </c>
      <c r="K58" s="27">
        <f t="shared" si="63"/>
        <v>2.331002331002331E-3</v>
      </c>
      <c r="L58" s="27">
        <f t="shared" si="64"/>
        <v>4.878048780487805E-2</v>
      </c>
      <c r="M58" s="28" t="str">
        <f>IFERROR(RANK(D58,('📊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данные'!K57)),"")</f>
        <v/>
      </c>
      <c r="N58" s="25" t="str">
        <f t="shared" si="65"/>
        <v>—</v>
      </c>
      <c r="O58" s="27">
        <f t="shared" si="66"/>
        <v>0.5192198982475974</v>
      </c>
      <c r="P58" s="27">
        <f t="shared" si="67"/>
        <v>0.34176744186046509</v>
      </c>
      <c r="Q58" s="26">
        <f t="shared" si="68"/>
        <v>73.47999999999999</v>
      </c>
      <c r="R58" s="25" t="str">
        <f t="shared" si="69"/>
        <v>🟢 Хорошая(&gt;20%)</v>
      </c>
      <c r="S58" s="25" t="str">
        <f t="shared" si="70"/>
        <v>🟢 НИЗКИЙ</v>
      </c>
      <c r="T58" s="29"/>
      <c r="U58" s="26" t="str">
        <f t="shared" si="71"/>
        <v/>
      </c>
      <c r="V58" s="26" t="str">
        <f t="shared" si="72"/>
        <v/>
      </c>
      <c r="W58" s="27" t="e">
        <f t="shared" si="73"/>
        <v>#VALUE!</v>
      </c>
      <c r="X58" s="26">
        <f t="shared" si="74"/>
        <v>214.5</v>
      </c>
      <c r="Y58" s="27">
        <f t="shared" si="75"/>
        <v>0.51568682871678906</v>
      </c>
      <c r="Z58" s="27">
        <f t="shared" si="76"/>
        <v>0.34023310023310016</v>
      </c>
      <c r="AA58" s="26">
        <f t="shared" si="77"/>
        <v>72.97999999999999</v>
      </c>
      <c r="AB58" s="27">
        <f t="shared" si="78"/>
        <v>-2.3255813953488372E-3</v>
      </c>
      <c r="AC58" s="27">
        <f t="shared" si="79"/>
        <v>-4.4894318165958147E-3</v>
      </c>
      <c r="AD58" s="26">
        <f t="shared" si="80"/>
        <v>-0.5</v>
      </c>
      <c r="AE58" s="26">
        <f t="shared" si="81"/>
        <v>214.5</v>
      </c>
      <c r="AF58" s="27">
        <f t="shared" si="82"/>
        <v>0.51568682871678906</v>
      </c>
      <c r="AG58" s="27">
        <f t="shared" si="83"/>
        <v>0.34023310023310016</v>
      </c>
      <c r="AH58" s="26">
        <f t="shared" si="84"/>
        <v>72.97999999999999</v>
      </c>
      <c r="AI58" s="27">
        <f t="shared" si="85"/>
        <v>-2.3255813953488372E-3</v>
      </c>
      <c r="AJ58" s="27">
        <f t="shared" si="86"/>
        <v>-4.4894318165958147E-3</v>
      </c>
      <c r="AK58" s="26">
        <f t="shared" si="87"/>
        <v>-0.5</v>
      </c>
      <c r="AL58" s="26">
        <f t="shared" si="88"/>
        <v>205</v>
      </c>
      <c r="AM58" s="27">
        <f t="shared" si="89"/>
        <v>0.44855850763143007</v>
      </c>
      <c r="AN58" s="27">
        <f t="shared" si="90"/>
        <v>0.3096585365853658</v>
      </c>
      <c r="AO58" s="26">
        <f t="shared" si="91"/>
        <v>63.47999999999999</v>
      </c>
      <c r="AP58" s="27">
        <f t="shared" si="92"/>
        <v>-4.6511627906976744E-2</v>
      </c>
      <c r="AQ58" s="27">
        <f t="shared" si="93"/>
        <v>-9.394957313753878E-2</v>
      </c>
      <c r="AR58" s="26">
        <f t="shared" si="94"/>
        <v>-10</v>
      </c>
      <c r="AS58" s="30"/>
      <c r="AT58" s="27" t="str">
        <f t="shared" si="95"/>
        <v/>
      </c>
      <c r="AU58" s="27" t="str">
        <f t="shared" si="96"/>
        <v/>
      </c>
      <c r="AV58" s="26" t="str">
        <f t="shared" si="97"/>
        <v/>
      </c>
      <c r="AW58" s="27" t="str">
        <f t="shared" si="98"/>
        <v/>
      </c>
      <c r="AX58" s="27" t="str">
        <f t="shared" si="99"/>
        <v/>
      </c>
      <c r="AY58" s="26" t="str">
        <f t="shared" si="100"/>
        <v/>
      </c>
      <c r="AZ58" s="31"/>
      <c r="BA58" s="26" t="str">
        <f t="shared" si="101"/>
        <v/>
      </c>
      <c r="BB58" s="27" t="str">
        <f t="shared" si="102"/>
        <v/>
      </c>
      <c r="BC58" s="27" t="str">
        <f t="shared" si="103"/>
        <v/>
      </c>
      <c r="BD58" s="26" t="str">
        <f t="shared" si="104"/>
        <v/>
      </c>
      <c r="BE58" s="27" t="str">
        <f t="shared" si="105"/>
        <v/>
      </c>
      <c r="BF58" s="27" t="str">
        <f t="shared" si="106"/>
        <v/>
      </c>
      <c r="BG58" s="26" t="str">
        <f t="shared" si="107"/>
        <v/>
      </c>
      <c r="BH58" s="26" t="str">
        <f t="shared" si="108"/>
        <v/>
      </c>
      <c r="BI58" s="26" t="str">
        <f t="shared" si="109"/>
        <v/>
      </c>
      <c r="BJ58" s="26" t="str">
        <f t="shared" si="110"/>
        <v/>
      </c>
      <c r="BK58" s="26" t="str">
        <f t="shared" si="111"/>
        <v/>
      </c>
      <c r="BL58" s="26" t="str">
        <f t="shared" si="112"/>
        <v/>
      </c>
      <c r="BM58" s="26" t="str">
        <f t="shared" si="113"/>
        <v/>
      </c>
      <c r="BN58" s="26" t="str">
        <f t="shared" si="114"/>
        <v/>
      </c>
      <c r="BO58" s="26" t="str">
        <f t="shared" si="115"/>
        <v/>
      </c>
      <c r="BP58" s="26" t="str">
        <f t="shared" si="116"/>
        <v/>
      </c>
      <c r="BQ58" s="26" t="str">
        <f t="shared" si="117"/>
        <v/>
      </c>
      <c r="BR58" s="32" t="str">
        <f t="shared" si="118"/>
        <v/>
      </c>
      <c r="BS58" s="27" t="str">
        <f t="shared" si="119"/>
        <v/>
      </c>
      <c r="BT58" s="32" t="str">
        <f t="shared" si="120"/>
        <v/>
      </c>
      <c r="BU58" s="27" t="str">
        <f t="shared" si="121"/>
        <v/>
      </c>
    </row>
    <row r="59" spans="1:73" x14ac:dyDescent="0.3">
      <c r="A59" s="22" t="str">
        <f>'📊 Исходные данные'!A58</f>
        <v>Напиток энергетический Адреналин ж/б 0,449л Rush</v>
      </c>
      <c r="B59" s="23" t="str">
        <f>'📊 Исходные данные'!B58</f>
        <v>4600494694202</v>
      </c>
      <c r="C59" s="24">
        <f>'📊 Исходные данные'!C58</f>
        <v>96.95</v>
      </c>
      <c r="D59" s="24">
        <f>'📊 Исходные данные'!D58</f>
        <v>125</v>
      </c>
      <c r="E59" s="25" t="str">
        <f t="shared" si="61"/>
        <v>🟡 На уровне</v>
      </c>
      <c r="F59" s="26">
        <f>IFERROR(AVERAGE('📊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>124.75</v>
      </c>
      <c r="G59" s="26">
        <f>IFERROR(MEDIAN('📊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>121.5</v>
      </c>
      <c r="H59" s="26">
        <f>IFERROR(MIN('📊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>115</v>
      </c>
      <c r="I59" s="26">
        <f>IFERROR(MAX('📊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>141</v>
      </c>
      <c r="J59" s="27">
        <f t="shared" si="62"/>
        <v>2.004008016032064E-3</v>
      </c>
      <c r="K59" s="27">
        <f t="shared" si="63"/>
        <v>2.8806584362139918E-2</v>
      </c>
      <c r="L59" s="27">
        <f t="shared" si="64"/>
        <v>8.6956521739130432E-2</v>
      </c>
      <c r="M59" s="28" t="str">
        <f>IFERROR(RANK(D59,('📊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данные'!K58)),"")</f>
        <v/>
      </c>
      <c r="N59" s="25" t="str">
        <f t="shared" si="65"/>
        <v>—</v>
      </c>
      <c r="O59" s="27">
        <f t="shared" si="66"/>
        <v>0.28932439401753479</v>
      </c>
      <c r="P59" s="27">
        <f t="shared" si="67"/>
        <v>0.22439999999999999</v>
      </c>
      <c r="Q59" s="26">
        <f t="shared" si="68"/>
        <v>28.049999999999997</v>
      </c>
      <c r="R59" s="25" t="str">
        <f t="shared" si="69"/>
        <v>🟢 Хорошая(&gt;20%)</v>
      </c>
      <c r="S59" s="25" t="str">
        <f t="shared" si="70"/>
        <v>🟢 НИЗКИЙ</v>
      </c>
      <c r="T59" s="29"/>
      <c r="U59" s="26" t="str">
        <f t="shared" si="71"/>
        <v/>
      </c>
      <c r="V59" s="26" t="str">
        <f t="shared" si="72"/>
        <v/>
      </c>
      <c r="W59" s="27" t="e">
        <f t="shared" si="73"/>
        <v>#VALUE!</v>
      </c>
      <c r="X59" s="26">
        <f t="shared" si="74"/>
        <v>124.75</v>
      </c>
      <c r="Y59" s="27">
        <f t="shared" si="75"/>
        <v>0.28674574522949969</v>
      </c>
      <c r="Z59" s="27">
        <f t="shared" si="76"/>
        <v>0.2228456913827655</v>
      </c>
      <c r="AA59" s="26">
        <f t="shared" si="77"/>
        <v>27.799999999999997</v>
      </c>
      <c r="AB59" s="27">
        <f t="shared" si="78"/>
        <v>-2E-3</v>
      </c>
      <c r="AC59" s="27">
        <f t="shared" si="79"/>
        <v>-6.9265089894585121E-3</v>
      </c>
      <c r="AD59" s="26">
        <f t="shared" si="80"/>
        <v>-0.25</v>
      </c>
      <c r="AE59" s="26">
        <f t="shared" si="81"/>
        <v>121.5</v>
      </c>
      <c r="AF59" s="27">
        <f t="shared" si="82"/>
        <v>0.2532233109850438</v>
      </c>
      <c r="AG59" s="27">
        <f t="shared" si="83"/>
        <v>0.20205761316872425</v>
      </c>
      <c r="AH59" s="26">
        <f t="shared" si="84"/>
        <v>24.549999999999997</v>
      </c>
      <c r="AI59" s="27">
        <f t="shared" si="85"/>
        <v>-2.8000000000000001E-2</v>
      </c>
      <c r="AJ59" s="27">
        <f t="shared" si="86"/>
        <v>-9.9565003704437327E-2</v>
      </c>
      <c r="AK59" s="26">
        <f t="shared" si="87"/>
        <v>-3.5</v>
      </c>
      <c r="AL59" s="26">
        <f t="shared" si="88"/>
        <v>115</v>
      </c>
      <c r="AM59" s="27">
        <f t="shared" si="89"/>
        <v>0.186178442496132</v>
      </c>
      <c r="AN59" s="27">
        <f t="shared" si="90"/>
        <v>0.15695652173913041</v>
      </c>
      <c r="AO59" s="26">
        <f t="shared" si="91"/>
        <v>18.049999999999997</v>
      </c>
      <c r="AP59" s="27">
        <f t="shared" si="92"/>
        <v>-0.08</v>
      </c>
      <c r="AQ59" s="27">
        <f t="shared" si="93"/>
        <v>-0.30055025962954357</v>
      </c>
      <c r="AR59" s="26">
        <f t="shared" si="94"/>
        <v>-10</v>
      </c>
      <c r="AS59" s="30"/>
      <c r="AT59" s="27" t="str">
        <f t="shared" si="95"/>
        <v/>
      </c>
      <c r="AU59" s="27" t="str">
        <f t="shared" si="96"/>
        <v/>
      </c>
      <c r="AV59" s="26" t="str">
        <f t="shared" si="97"/>
        <v/>
      </c>
      <c r="AW59" s="27" t="str">
        <f t="shared" si="98"/>
        <v/>
      </c>
      <c r="AX59" s="27" t="str">
        <f t="shared" si="99"/>
        <v/>
      </c>
      <c r="AY59" s="26" t="str">
        <f t="shared" si="100"/>
        <v/>
      </c>
      <c r="AZ59" s="31"/>
      <c r="BA59" s="26" t="str">
        <f t="shared" si="101"/>
        <v/>
      </c>
      <c r="BB59" s="27" t="str">
        <f t="shared" si="102"/>
        <v/>
      </c>
      <c r="BC59" s="27" t="str">
        <f t="shared" si="103"/>
        <v/>
      </c>
      <c r="BD59" s="26" t="str">
        <f t="shared" si="104"/>
        <v/>
      </c>
      <c r="BE59" s="27" t="str">
        <f t="shared" si="105"/>
        <v/>
      </c>
      <c r="BF59" s="27" t="str">
        <f t="shared" si="106"/>
        <v/>
      </c>
      <c r="BG59" s="26" t="str">
        <f t="shared" si="107"/>
        <v/>
      </c>
      <c r="BH59" s="26" t="str">
        <f t="shared" si="108"/>
        <v/>
      </c>
      <c r="BI59" s="26" t="str">
        <f t="shared" si="109"/>
        <v/>
      </c>
      <c r="BJ59" s="26" t="str">
        <f t="shared" si="110"/>
        <v/>
      </c>
      <c r="BK59" s="26" t="str">
        <f t="shared" si="111"/>
        <v/>
      </c>
      <c r="BL59" s="26" t="str">
        <f t="shared" si="112"/>
        <v/>
      </c>
      <c r="BM59" s="26" t="str">
        <f t="shared" si="113"/>
        <v/>
      </c>
      <c r="BN59" s="26" t="str">
        <f t="shared" si="114"/>
        <v/>
      </c>
      <c r="BO59" s="26" t="str">
        <f t="shared" si="115"/>
        <v/>
      </c>
      <c r="BP59" s="26" t="str">
        <f t="shared" si="116"/>
        <v/>
      </c>
      <c r="BQ59" s="26" t="str">
        <f t="shared" si="117"/>
        <v/>
      </c>
      <c r="BR59" s="32" t="str">
        <f t="shared" si="118"/>
        <v/>
      </c>
      <c r="BS59" s="27" t="str">
        <f t="shared" si="119"/>
        <v/>
      </c>
      <c r="BT59" s="32" t="str">
        <f t="shared" si="120"/>
        <v/>
      </c>
      <c r="BU59" s="27" t="str">
        <f t="shared" si="121"/>
        <v/>
      </c>
    </row>
    <row r="60" spans="1:73" x14ac:dyDescent="0.3">
      <c r="A60" s="22" t="str">
        <f>'📊 Исходные данные'!A59</f>
        <v>Напиток энергетический Горилла ж/б 450мл</v>
      </c>
      <c r="B60" s="23" t="str">
        <f>'📊 Исходные данные'!B59</f>
        <v>4650243871828</v>
      </c>
      <c r="C60" s="24">
        <f>'📊 Исходные данные'!C59</f>
        <v>82.92</v>
      </c>
      <c r="D60" s="24">
        <f>'📊 Исходные данные'!D59</f>
        <v>105</v>
      </c>
      <c r="E60" s="25" t="str">
        <f t="shared" si="61"/>
        <v>🟡 На уровне</v>
      </c>
      <c r="F60" s="26">
        <f>IFERROR(AVERAGE('📊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>102</v>
      </c>
      <c r="G60" s="26">
        <f>IFERROR(MEDIAN('📊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>110</v>
      </c>
      <c r="H60" s="26">
        <f>IFERROR(MIN('📊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>85</v>
      </c>
      <c r="I60" s="26">
        <f>IFERROR(MAX('📊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>115</v>
      </c>
      <c r="J60" s="27">
        <f t="shared" si="62"/>
        <v>2.9411764705882353E-2</v>
      </c>
      <c r="K60" s="27">
        <f t="shared" si="63"/>
        <v>-4.5454545454545456E-2</v>
      </c>
      <c r="L60" s="27">
        <f t="shared" si="64"/>
        <v>0.23529411764705882</v>
      </c>
      <c r="M60" s="28" t="str">
        <f>IFERROR(RANK(D60,('📊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данные'!K59)),"")</f>
        <v/>
      </c>
      <c r="N60" s="25" t="str">
        <f t="shared" si="65"/>
        <v>—</v>
      </c>
      <c r="O60" s="27">
        <f t="shared" si="66"/>
        <v>0.2662807525325615</v>
      </c>
      <c r="P60" s="27">
        <f t="shared" si="67"/>
        <v>0.21028571428571427</v>
      </c>
      <c r="Q60" s="26">
        <f t="shared" si="68"/>
        <v>22.08</v>
      </c>
      <c r="R60" s="25" t="str">
        <f t="shared" si="69"/>
        <v>🟢 Хорошая(&gt;20%)</v>
      </c>
      <c r="S60" s="25" t="str">
        <f t="shared" si="70"/>
        <v>🔴 КРИТИЧНО</v>
      </c>
      <c r="T60" s="29"/>
      <c r="U60" s="26" t="str">
        <f t="shared" si="71"/>
        <v/>
      </c>
      <c r="V60" s="26" t="str">
        <f t="shared" si="72"/>
        <v/>
      </c>
      <c r="W60" s="27" t="e">
        <f t="shared" si="73"/>
        <v>#VALUE!</v>
      </c>
      <c r="X60" s="26">
        <f t="shared" si="74"/>
        <v>102</v>
      </c>
      <c r="Y60" s="27">
        <f t="shared" si="75"/>
        <v>0.23010130246020258</v>
      </c>
      <c r="Z60" s="27">
        <f t="shared" si="76"/>
        <v>0.18705882352941175</v>
      </c>
      <c r="AA60" s="26">
        <f t="shared" si="77"/>
        <v>19.079999999999998</v>
      </c>
      <c r="AB60" s="27">
        <f t="shared" si="78"/>
        <v>-2.8571428571428571E-2</v>
      </c>
      <c r="AC60" s="27">
        <f t="shared" si="79"/>
        <v>-0.11045396419437341</v>
      </c>
      <c r="AD60" s="26">
        <f t="shared" si="80"/>
        <v>-3</v>
      </c>
      <c r="AE60" s="26">
        <f t="shared" si="81"/>
        <v>110</v>
      </c>
      <c r="AF60" s="27">
        <f t="shared" si="82"/>
        <v>0.32657983598649298</v>
      </c>
      <c r="AG60" s="27">
        <f t="shared" si="83"/>
        <v>0.24618181818181817</v>
      </c>
      <c r="AH60" s="26">
        <f t="shared" si="84"/>
        <v>27.08</v>
      </c>
      <c r="AI60" s="27">
        <f t="shared" si="85"/>
        <v>4.7619047619047616E-2</v>
      </c>
      <c r="AJ60" s="27">
        <f t="shared" si="86"/>
        <v>0.170701581027668</v>
      </c>
      <c r="AK60" s="26">
        <f t="shared" si="87"/>
        <v>5</v>
      </c>
      <c r="AL60" s="26">
        <f t="shared" si="88"/>
        <v>85</v>
      </c>
      <c r="AM60" s="27">
        <f t="shared" si="89"/>
        <v>2.5084418716835484E-2</v>
      </c>
      <c r="AN60" s="27">
        <f t="shared" si="90"/>
        <v>2.4470588235294098E-2</v>
      </c>
      <c r="AO60" s="26">
        <f t="shared" si="91"/>
        <v>2.0799999999999983</v>
      </c>
      <c r="AP60" s="27">
        <f t="shared" si="92"/>
        <v>-0.19047619047619047</v>
      </c>
      <c r="AQ60" s="27">
        <f t="shared" si="93"/>
        <v>-0.88363171355498726</v>
      </c>
      <c r="AR60" s="26">
        <f t="shared" si="94"/>
        <v>-20</v>
      </c>
      <c r="AS60" s="30"/>
      <c r="AT60" s="27" t="str">
        <f t="shared" si="95"/>
        <v/>
      </c>
      <c r="AU60" s="27" t="str">
        <f t="shared" si="96"/>
        <v/>
      </c>
      <c r="AV60" s="26" t="str">
        <f t="shared" si="97"/>
        <v/>
      </c>
      <c r="AW60" s="27" t="str">
        <f t="shared" si="98"/>
        <v/>
      </c>
      <c r="AX60" s="27" t="str">
        <f t="shared" si="99"/>
        <v/>
      </c>
      <c r="AY60" s="26" t="str">
        <f t="shared" si="100"/>
        <v/>
      </c>
      <c r="AZ60" s="31"/>
      <c r="BA60" s="26" t="str">
        <f t="shared" si="101"/>
        <v/>
      </c>
      <c r="BB60" s="27" t="str">
        <f t="shared" si="102"/>
        <v/>
      </c>
      <c r="BC60" s="27" t="str">
        <f t="shared" si="103"/>
        <v/>
      </c>
      <c r="BD60" s="26" t="str">
        <f t="shared" si="104"/>
        <v/>
      </c>
      <c r="BE60" s="27" t="str">
        <f t="shared" si="105"/>
        <v/>
      </c>
      <c r="BF60" s="27" t="str">
        <f t="shared" si="106"/>
        <v/>
      </c>
      <c r="BG60" s="26" t="str">
        <f t="shared" si="107"/>
        <v/>
      </c>
      <c r="BH60" s="26" t="str">
        <f t="shared" si="108"/>
        <v/>
      </c>
      <c r="BI60" s="26" t="str">
        <f t="shared" si="109"/>
        <v/>
      </c>
      <c r="BJ60" s="26" t="str">
        <f t="shared" si="110"/>
        <v/>
      </c>
      <c r="BK60" s="26" t="str">
        <f t="shared" si="111"/>
        <v/>
      </c>
      <c r="BL60" s="26" t="str">
        <f t="shared" si="112"/>
        <v/>
      </c>
      <c r="BM60" s="26" t="str">
        <f t="shared" si="113"/>
        <v/>
      </c>
      <c r="BN60" s="26" t="str">
        <f t="shared" si="114"/>
        <v/>
      </c>
      <c r="BO60" s="26" t="str">
        <f t="shared" si="115"/>
        <v/>
      </c>
      <c r="BP60" s="26" t="str">
        <f t="shared" si="116"/>
        <v/>
      </c>
      <c r="BQ60" s="26" t="str">
        <f t="shared" si="117"/>
        <v/>
      </c>
      <c r="BR60" s="32" t="str">
        <f t="shared" si="118"/>
        <v/>
      </c>
      <c r="BS60" s="27" t="str">
        <f t="shared" si="119"/>
        <v/>
      </c>
      <c r="BT60" s="32" t="str">
        <f t="shared" si="120"/>
        <v/>
      </c>
      <c r="BU60" s="27" t="str">
        <f t="shared" si="121"/>
        <v/>
      </c>
    </row>
    <row r="61" spans="1:73" x14ac:dyDescent="0.3">
      <c r="A61" s="22" t="str">
        <f>'📊 Исходные данные'!A60</f>
        <v>Нектар Кикуни ст/б 0,75л абрикосовый</v>
      </c>
      <c r="B61" s="23" t="str">
        <f>'📊 Исходные данные'!B60</f>
        <v>4678598774403</v>
      </c>
      <c r="C61" s="24">
        <f>'📊 Исходные данные'!C60</f>
        <v>99</v>
      </c>
      <c r="D61" s="24">
        <f>'📊 Исходные данные'!D60</f>
        <v>125</v>
      </c>
      <c r="E61" s="25" t="str">
        <f t="shared" si="61"/>
        <v>🟡 На уровне</v>
      </c>
      <c r="F61" s="26">
        <f>IFERROR(AVERAGE('📊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>120</v>
      </c>
      <c r="G61" s="26">
        <f>IFERROR(MEDIAN('📊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>120</v>
      </c>
      <c r="H61" s="26">
        <f>IFERROR(MIN('📊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>120</v>
      </c>
      <c r="I61" s="26">
        <f>IFERROR(MAX('📊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>120</v>
      </c>
      <c r="J61" s="27">
        <f t="shared" si="62"/>
        <v>4.1666666666666664E-2</v>
      </c>
      <c r="K61" s="27">
        <f t="shared" si="63"/>
        <v>4.1666666666666664E-2</v>
      </c>
      <c r="L61" s="27">
        <f t="shared" si="64"/>
        <v>4.1666666666666664E-2</v>
      </c>
      <c r="M61" s="28" t="str">
        <f>IFERROR(RANK(D61,('📊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данные'!K60)),"")</f>
        <v/>
      </c>
      <c r="N61" s="25" t="str">
        <f t="shared" si="65"/>
        <v>—</v>
      </c>
      <c r="O61" s="27">
        <f t="shared" si="66"/>
        <v>0.26262626262626265</v>
      </c>
      <c r="P61" s="27">
        <f t="shared" si="67"/>
        <v>0.20799999999999999</v>
      </c>
      <c r="Q61" s="26">
        <f t="shared" si="68"/>
        <v>26</v>
      </c>
      <c r="R61" s="25" t="str">
        <f t="shared" si="69"/>
        <v>🟢 Хорошая(&gt;20%)</v>
      </c>
      <c r="S61" s="25" t="str">
        <f t="shared" si="70"/>
        <v>🟢 НИЗКИЙ</v>
      </c>
      <c r="T61" s="29"/>
      <c r="U61" s="26" t="str">
        <f t="shared" si="71"/>
        <v/>
      </c>
      <c r="V61" s="26" t="str">
        <f t="shared" si="72"/>
        <v/>
      </c>
      <c r="W61" s="27" t="e">
        <f t="shared" si="73"/>
        <v>#VALUE!</v>
      </c>
      <c r="X61" s="26">
        <f t="shared" si="74"/>
        <v>120</v>
      </c>
      <c r="Y61" s="27">
        <f t="shared" si="75"/>
        <v>0.21212121212121213</v>
      </c>
      <c r="Z61" s="27">
        <f t="shared" si="76"/>
        <v>0.17499999999999999</v>
      </c>
      <c r="AA61" s="26">
        <f t="shared" si="77"/>
        <v>21</v>
      </c>
      <c r="AB61" s="27">
        <f t="shared" si="78"/>
        <v>-0.04</v>
      </c>
      <c r="AC61" s="27">
        <f t="shared" si="79"/>
        <v>-0.15865384615384617</v>
      </c>
      <c r="AD61" s="26">
        <f t="shared" si="80"/>
        <v>-5</v>
      </c>
      <c r="AE61" s="26">
        <f t="shared" si="81"/>
        <v>120</v>
      </c>
      <c r="AF61" s="27">
        <f t="shared" si="82"/>
        <v>0.21212121212121213</v>
      </c>
      <c r="AG61" s="27">
        <f t="shared" si="83"/>
        <v>0.17499999999999999</v>
      </c>
      <c r="AH61" s="26">
        <f t="shared" si="84"/>
        <v>21</v>
      </c>
      <c r="AI61" s="27">
        <f t="shared" si="85"/>
        <v>-0.04</v>
      </c>
      <c r="AJ61" s="27">
        <f t="shared" si="86"/>
        <v>-0.15865384615384617</v>
      </c>
      <c r="AK61" s="26">
        <f t="shared" si="87"/>
        <v>-5</v>
      </c>
      <c r="AL61" s="26">
        <f t="shared" si="88"/>
        <v>120</v>
      </c>
      <c r="AM61" s="27">
        <f t="shared" si="89"/>
        <v>0.21212121212121213</v>
      </c>
      <c r="AN61" s="27">
        <f t="shared" si="90"/>
        <v>0.17499999999999999</v>
      </c>
      <c r="AO61" s="26">
        <f t="shared" si="91"/>
        <v>21</v>
      </c>
      <c r="AP61" s="27">
        <f t="shared" si="92"/>
        <v>-0.04</v>
      </c>
      <c r="AQ61" s="27">
        <f t="shared" si="93"/>
        <v>-0.15865384615384617</v>
      </c>
      <c r="AR61" s="26">
        <f t="shared" si="94"/>
        <v>-5</v>
      </c>
      <c r="AS61" s="30"/>
      <c r="AT61" s="27" t="str">
        <f t="shared" si="95"/>
        <v/>
      </c>
      <c r="AU61" s="27" t="str">
        <f t="shared" si="96"/>
        <v/>
      </c>
      <c r="AV61" s="26" t="str">
        <f t="shared" si="97"/>
        <v/>
      </c>
      <c r="AW61" s="27" t="str">
        <f t="shared" si="98"/>
        <v/>
      </c>
      <c r="AX61" s="27" t="str">
        <f t="shared" si="99"/>
        <v/>
      </c>
      <c r="AY61" s="26" t="str">
        <f t="shared" si="100"/>
        <v/>
      </c>
      <c r="AZ61" s="31"/>
      <c r="BA61" s="26" t="str">
        <f t="shared" si="101"/>
        <v/>
      </c>
      <c r="BB61" s="27" t="str">
        <f t="shared" si="102"/>
        <v/>
      </c>
      <c r="BC61" s="27" t="str">
        <f t="shared" si="103"/>
        <v/>
      </c>
      <c r="BD61" s="26" t="str">
        <f t="shared" si="104"/>
        <v/>
      </c>
      <c r="BE61" s="27" t="str">
        <f t="shared" si="105"/>
        <v/>
      </c>
      <c r="BF61" s="27" t="str">
        <f t="shared" si="106"/>
        <v/>
      </c>
      <c r="BG61" s="26" t="str">
        <f t="shared" si="107"/>
        <v/>
      </c>
      <c r="BH61" s="26" t="str">
        <f t="shared" si="108"/>
        <v/>
      </c>
      <c r="BI61" s="26" t="str">
        <f t="shared" si="109"/>
        <v/>
      </c>
      <c r="BJ61" s="26" t="str">
        <f t="shared" si="110"/>
        <v/>
      </c>
      <c r="BK61" s="26" t="str">
        <f t="shared" si="111"/>
        <v/>
      </c>
      <c r="BL61" s="26" t="str">
        <f t="shared" si="112"/>
        <v/>
      </c>
      <c r="BM61" s="26" t="str">
        <f t="shared" si="113"/>
        <v/>
      </c>
      <c r="BN61" s="26" t="str">
        <f t="shared" si="114"/>
        <v/>
      </c>
      <c r="BO61" s="26" t="str">
        <f t="shared" si="115"/>
        <v/>
      </c>
      <c r="BP61" s="26" t="str">
        <f t="shared" si="116"/>
        <v/>
      </c>
      <c r="BQ61" s="26" t="str">
        <f t="shared" si="117"/>
        <v/>
      </c>
      <c r="BR61" s="32" t="str">
        <f t="shared" si="118"/>
        <v/>
      </c>
      <c r="BS61" s="27" t="str">
        <f t="shared" si="119"/>
        <v/>
      </c>
      <c r="BT61" s="32" t="str">
        <f t="shared" si="120"/>
        <v/>
      </c>
      <c r="BU61" s="27" t="str">
        <f t="shared" si="121"/>
        <v/>
      </c>
    </row>
    <row r="62" spans="1:73" x14ac:dyDescent="0.3">
      <c r="A62" s="22" t="str">
        <f>'📊 Исходные данные'!A61</f>
        <v>Сок Вико 1л ананасовый</v>
      </c>
      <c r="B62" s="23" t="str">
        <f>'📊 Исходные данные'!B61</f>
        <v>4601248016332</v>
      </c>
      <c r="C62" s="24">
        <f>'📊 Исходные данные'!C61</f>
        <v>122.02</v>
      </c>
      <c r="D62" s="24">
        <f>'📊 Исходные данные'!D61</f>
        <v>149</v>
      </c>
      <c r="E62" s="25" t="str">
        <f t="shared" si="61"/>
        <v>🟡 На уровне</v>
      </c>
      <c r="F62" s="26">
        <f>IFERROR(AVERAGE('📊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>151.19999999999999</v>
      </c>
      <c r="G62" s="26">
        <f>IFERROR(MEDIAN('📊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>153</v>
      </c>
      <c r="H62" s="26">
        <f>IFERROR(MIN('📊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>140</v>
      </c>
      <c r="I62" s="26">
        <f>IFERROR(MAX('📊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>156</v>
      </c>
      <c r="J62" s="27">
        <f t="shared" si="62"/>
        <v>-1.4550264550264477E-2</v>
      </c>
      <c r="K62" s="27">
        <f t="shared" si="63"/>
        <v>-2.6143790849673203E-2</v>
      </c>
      <c r="L62" s="27">
        <f t="shared" si="64"/>
        <v>6.4285714285714279E-2</v>
      </c>
      <c r="M62" s="28" t="str">
        <f>IFERROR(RANK(D62,('📊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данные'!K61)),"")</f>
        <v/>
      </c>
      <c r="N62" s="25" t="str">
        <f t="shared" si="65"/>
        <v>—</v>
      </c>
      <c r="O62" s="27">
        <f t="shared" si="66"/>
        <v>0.22111129323061798</v>
      </c>
      <c r="P62" s="27">
        <f t="shared" si="67"/>
        <v>0.18107382550335574</v>
      </c>
      <c r="Q62" s="26">
        <f t="shared" si="68"/>
        <v>26.980000000000004</v>
      </c>
      <c r="R62" s="25" t="str">
        <f t="shared" si="69"/>
        <v>🟡 Средняя(10-20%)</v>
      </c>
      <c r="S62" s="25" t="str">
        <f t="shared" si="70"/>
        <v>🟡 УМЕРЕННЫЙ</v>
      </c>
      <c r="T62" s="29"/>
      <c r="U62" s="26" t="str">
        <f t="shared" si="71"/>
        <v/>
      </c>
      <c r="V62" s="26" t="str">
        <f t="shared" si="72"/>
        <v/>
      </c>
      <c r="W62" s="27" t="e">
        <f t="shared" si="73"/>
        <v>#VALUE!</v>
      </c>
      <c r="X62" s="26">
        <f t="shared" si="74"/>
        <v>151.19999999999999</v>
      </c>
      <c r="Y62" s="27">
        <f t="shared" si="75"/>
        <v>0.23914112440583504</v>
      </c>
      <c r="Z62" s="27">
        <f t="shared" si="76"/>
        <v>0.19298941798941796</v>
      </c>
      <c r="AA62" s="26">
        <f t="shared" si="77"/>
        <v>29.179999999999993</v>
      </c>
      <c r="AB62" s="27">
        <f t="shared" si="78"/>
        <v>1.4765100671140863E-2</v>
      </c>
      <c r="AC62" s="27">
        <f t="shared" si="79"/>
        <v>6.5805162358164221E-2</v>
      </c>
      <c r="AD62" s="26">
        <f t="shared" si="80"/>
        <v>2.1999999999999886</v>
      </c>
      <c r="AE62" s="26">
        <f t="shared" si="81"/>
        <v>153</v>
      </c>
      <c r="AF62" s="27">
        <f t="shared" si="82"/>
        <v>0.25389280445828555</v>
      </c>
      <c r="AG62" s="27">
        <f t="shared" si="83"/>
        <v>0.20248366013071897</v>
      </c>
      <c r="AH62" s="26">
        <f t="shared" si="84"/>
        <v>30.980000000000004</v>
      </c>
      <c r="AI62" s="27">
        <f t="shared" si="85"/>
        <v>2.6845637583892617E-2</v>
      </c>
      <c r="AJ62" s="27">
        <f t="shared" si="86"/>
        <v>0.11823815268632769</v>
      </c>
      <c r="AK62" s="26">
        <f t="shared" si="87"/>
        <v>4</v>
      </c>
      <c r="AL62" s="26">
        <f t="shared" si="88"/>
        <v>140</v>
      </c>
      <c r="AM62" s="27">
        <f t="shared" si="89"/>
        <v>0.14735289296836587</v>
      </c>
      <c r="AN62" s="27">
        <f t="shared" si="90"/>
        <v>0.12842857142857145</v>
      </c>
      <c r="AO62" s="26">
        <f t="shared" si="91"/>
        <v>17.980000000000004</v>
      </c>
      <c r="AP62" s="27">
        <f t="shared" si="92"/>
        <v>-6.0402684563758392E-2</v>
      </c>
      <c r="AQ62" s="27">
        <f t="shared" si="93"/>
        <v>-0.29073917187334536</v>
      </c>
      <c r="AR62" s="26">
        <f t="shared" si="94"/>
        <v>-9</v>
      </c>
      <c r="AS62" s="30"/>
      <c r="AT62" s="27" t="str">
        <f t="shared" si="95"/>
        <v/>
      </c>
      <c r="AU62" s="27" t="str">
        <f t="shared" si="96"/>
        <v/>
      </c>
      <c r="AV62" s="26" t="str">
        <f t="shared" si="97"/>
        <v/>
      </c>
      <c r="AW62" s="27" t="str">
        <f t="shared" si="98"/>
        <v/>
      </c>
      <c r="AX62" s="27" t="str">
        <f t="shared" si="99"/>
        <v/>
      </c>
      <c r="AY62" s="26" t="str">
        <f t="shared" si="100"/>
        <v/>
      </c>
      <c r="AZ62" s="31"/>
      <c r="BA62" s="26" t="str">
        <f t="shared" si="101"/>
        <v/>
      </c>
      <c r="BB62" s="27" t="str">
        <f t="shared" si="102"/>
        <v/>
      </c>
      <c r="BC62" s="27" t="str">
        <f t="shared" si="103"/>
        <v/>
      </c>
      <c r="BD62" s="26" t="str">
        <f t="shared" si="104"/>
        <v/>
      </c>
      <c r="BE62" s="27" t="str">
        <f t="shared" si="105"/>
        <v/>
      </c>
      <c r="BF62" s="27" t="str">
        <f t="shared" si="106"/>
        <v/>
      </c>
      <c r="BG62" s="26" t="str">
        <f t="shared" si="107"/>
        <v/>
      </c>
      <c r="BH62" s="26" t="str">
        <f t="shared" si="108"/>
        <v/>
      </c>
      <c r="BI62" s="26" t="str">
        <f t="shared" si="109"/>
        <v/>
      </c>
      <c r="BJ62" s="26" t="str">
        <f t="shared" si="110"/>
        <v/>
      </c>
      <c r="BK62" s="26" t="str">
        <f t="shared" si="111"/>
        <v/>
      </c>
      <c r="BL62" s="26" t="str">
        <f t="shared" si="112"/>
        <v/>
      </c>
      <c r="BM62" s="26" t="str">
        <f t="shared" si="113"/>
        <v/>
      </c>
      <c r="BN62" s="26" t="str">
        <f t="shared" si="114"/>
        <v/>
      </c>
      <c r="BO62" s="26" t="str">
        <f t="shared" si="115"/>
        <v/>
      </c>
      <c r="BP62" s="26" t="str">
        <f t="shared" si="116"/>
        <v/>
      </c>
      <c r="BQ62" s="26" t="str">
        <f t="shared" si="117"/>
        <v/>
      </c>
      <c r="BR62" s="32" t="str">
        <f t="shared" si="118"/>
        <v/>
      </c>
      <c r="BS62" s="27" t="str">
        <f t="shared" si="119"/>
        <v/>
      </c>
      <c r="BT62" s="32" t="str">
        <f t="shared" si="120"/>
        <v/>
      </c>
      <c r="BU62" s="27" t="str">
        <f t="shared" si="121"/>
        <v/>
      </c>
    </row>
    <row r="63" spans="1:73" x14ac:dyDescent="0.3">
      <c r="A63" s="22" t="str">
        <f>'📊 Исходные данные'!A62</f>
        <v>Сок Ириб ст/б 0,75л Апельсиновый 100%</v>
      </c>
      <c r="B63" s="23" t="str">
        <f>'📊 Исходные данные'!B62</f>
        <v>4607122945675</v>
      </c>
      <c r="C63" s="24">
        <f>'📊 Исходные данные'!C62</f>
        <v>118.32</v>
      </c>
      <c r="D63" s="24">
        <f>'📊 Исходные данные'!D62</f>
        <v>145</v>
      </c>
      <c r="E63" s="25" t="str">
        <f t="shared" si="61"/>
        <v>🟡 На уровне</v>
      </c>
      <c r="F63" s="26">
        <f>IFERROR(AVERAGE('📊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>139.4</v>
      </c>
      <c r="G63" s="26">
        <f>IFERROR(MEDIAN('📊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>145</v>
      </c>
      <c r="H63" s="26">
        <f>IFERROR(MIN('📊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>130</v>
      </c>
      <c r="I63" s="26">
        <f>IFERROR(MAX('📊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>147</v>
      </c>
      <c r="J63" s="27">
        <f t="shared" si="62"/>
        <v>4.0172166427546584E-2</v>
      </c>
      <c r="K63" s="27">
        <f t="shared" si="63"/>
        <v>0</v>
      </c>
      <c r="L63" s="27">
        <f t="shared" si="64"/>
        <v>0.11538461538461539</v>
      </c>
      <c r="M63" s="28">
        <f>IFERROR(RANK(D63,('📊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данные'!K62)),"")</f>
        <v>2</v>
      </c>
      <c r="N63" s="25" t="str">
        <f t="shared" si="65"/>
        <v>2️⃣ 2-й по цене</v>
      </c>
      <c r="O63" s="27">
        <f t="shared" si="66"/>
        <v>0.22549019607843143</v>
      </c>
      <c r="P63" s="27">
        <f t="shared" si="67"/>
        <v>0.18400000000000005</v>
      </c>
      <c r="Q63" s="26">
        <f t="shared" si="68"/>
        <v>26.680000000000007</v>
      </c>
      <c r="R63" s="25" t="str">
        <f t="shared" si="69"/>
        <v>🟡 Средняя(10-20%)</v>
      </c>
      <c r="S63" s="25" t="str">
        <f t="shared" si="70"/>
        <v>🟡 УМЕРЕННЫЙ</v>
      </c>
      <c r="T63" s="29"/>
      <c r="U63" s="26" t="str">
        <f t="shared" si="71"/>
        <v/>
      </c>
      <c r="V63" s="26" t="str">
        <f t="shared" si="72"/>
        <v/>
      </c>
      <c r="W63" s="27" t="e">
        <f t="shared" si="73"/>
        <v>#VALUE!</v>
      </c>
      <c r="X63" s="26">
        <f t="shared" si="74"/>
        <v>139.4</v>
      </c>
      <c r="Y63" s="27">
        <f t="shared" si="75"/>
        <v>0.17816091954023</v>
      </c>
      <c r="Z63" s="27">
        <f t="shared" si="76"/>
        <v>0.15121951219512203</v>
      </c>
      <c r="AA63" s="26">
        <f t="shared" si="77"/>
        <v>21.080000000000013</v>
      </c>
      <c r="AB63" s="27">
        <f t="shared" si="78"/>
        <v>-3.8620689655172374E-2</v>
      </c>
      <c r="AC63" s="27">
        <f t="shared" si="79"/>
        <v>-0.17815482502651095</v>
      </c>
      <c r="AD63" s="26">
        <f t="shared" si="80"/>
        <v>-5.5999999999999943</v>
      </c>
      <c r="AE63" s="26">
        <f t="shared" si="81"/>
        <v>145</v>
      </c>
      <c r="AF63" s="27">
        <f t="shared" si="82"/>
        <v>0.22549019607843143</v>
      </c>
      <c r="AG63" s="27">
        <f t="shared" si="83"/>
        <v>0.18400000000000005</v>
      </c>
      <c r="AH63" s="26">
        <f t="shared" si="84"/>
        <v>26.680000000000007</v>
      </c>
      <c r="AI63" s="27">
        <f t="shared" si="85"/>
        <v>0</v>
      </c>
      <c r="AJ63" s="27">
        <f t="shared" si="86"/>
        <v>0</v>
      </c>
      <c r="AK63" s="26">
        <f t="shared" si="87"/>
        <v>0</v>
      </c>
      <c r="AL63" s="26">
        <f t="shared" si="88"/>
        <v>130</v>
      </c>
      <c r="AM63" s="27">
        <f t="shared" si="89"/>
        <v>9.8715348208248885E-2</v>
      </c>
      <c r="AN63" s="27">
        <f t="shared" si="90"/>
        <v>8.9846153846153895E-2</v>
      </c>
      <c r="AO63" s="26">
        <f t="shared" si="91"/>
        <v>11.680000000000007</v>
      </c>
      <c r="AP63" s="27">
        <f t="shared" si="92"/>
        <v>-0.10344827586206896</v>
      </c>
      <c r="AQ63" s="27">
        <f t="shared" si="93"/>
        <v>-0.51170568561872898</v>
      </c>
      <c r="AR63" s="26">
        <f t="shared" si="94"/>
        <v>-15</v>
      </c>
      <c r="AS63" s="30"/>
      <c r="AT63" s="27" t="str">
        <f t="shared" si="95"/>
        <v/>
      </c>
      <c r="AU63" s="27" t="str">
        <f t="shared" si="96"/>
        <v/>
      </c>
      <c r="AV63" s="26" t="str">
        <f t="shared" si="97"/>
        <v/>
      </c>
      <c r="AW63" s="27" t="str">
        <f t="shared" si="98"/>
        <v/>
      </c>
      <c r="AX63" s="27" t="str">
        <f t="shared" si="99"/>
        <v/>
      </c>
      <c r="AY63" s="26" t="str">
        <f t="shared" si="100"/>
        <v/>
      </c>
      <c r="AZ63" s="31"/>
      <c r="BA63" s="26" t="str">
        <f t="shared" si="101"/>
        <v/>
      </c>
      <c r="BB63" s="27" t="str">
        <f t="shared" si="102"/>
        <v/>
      </c>
      <c r="BC63" s="27" t="str">
        <f t="shared" si="103"/>
        <v/>
      </c>
      <c r="BD63" s="26" t="str">
        <f t="shared" si="104"/>
        <v/>
      </c>
      <c r="BE63" s="27" t="str">
        <f t="shared" si="105"/>
        <v/>
      </c>
      <c r="BF63" s="27" t="str">
        <f t="shared" si="106"/>
        <v/>
      </c>
      <c r="BG63" s="26" t="str">
        <f t="shared" si="107"/>
        <v/>
      </c>
      <c r="BH63" s="26" t="str">
        <f t="shared" si="108"/>
        <v/>
      </c>
      <c r="BI63" s="26" t="str">
        <f t="shared" si="109"/>
        <v/>
      </c>
      <c r="BJ63" s="26" t="str">
        <f t="shared" si="110"/>
        <v/>
      </c>
      <c r="BK63" s="26" t="str">
        <f t="shared" si="111"/>
        <v/>
      </c>
      <c r="BL63" s="26" t="str">
        <f t="shared" si="112"/>
        <v/>
      </c>
      <c r="BM63" s="26" t="str">
        <f t="shared" si="113"/>
        <v/>
      </c>
      <c r="BN63" s="26" t="str">
        <f t="shared" si="114"/>
        <v/>
      </c>
      <c r="BO63" s="26" t="str">
        <f t="shared" si="115"/>
        <v/>
      </c>
      <c r="BP63" s="26" t="str">
        <f t="shared" si="116"/>
        <v/>
      </c>
      <c r="BQ63" s="26" t="str">
        <f t="shared" si="117"/>
        <v/>
      </c>
      <c r="BR63" s="32" t="str">
        <f t="shared" si="118"/>
        <v/>
      </c>
      <c r="BS63" s="27" t="str">
        <f t="shared" si="119"/>
        <v/>
      </c>
      <c r="BT63" s="32" t="str">
        <f t="shared" si="120"/>
        <v/>
      </c>
      <c r="BU63" s="27" t="str">
        <f t="shared" si="121"/>
        <v/>
      </c>
    </row>
    <row r="64" spans="1:73" x14ac:dyDescent="0.3">
      <c r="A64" s="22" t="str">
        <f>'📊 Исходные данные'!A63</f>
        <v>Чай холодный Липтон 0,5л Зеленый</v>
      </c>
      <c r="B64" s="23" t="str">
        <f>'📊 Исходные данные'!B63</f>
        <v>4600494600463</v>
      </c>
      <c r="C64" s="24">
        <f>'📊 Исходные данные'!C63</f>
        <v>76.2</v>
      </c>
      <c r="D64" s="24">
        <f>'📊 Исходные данные'!D63</f>
        <v>99</v>
      </c>
      <c r="E64" s="25" t="str">
        <f t="shared" si="61"/>
        <v>🟢 Ниже рынка</v>
      </c>
      <c r="F64" s="26">
        <f>IFERROR(AVERAGE('📊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>107</v>
      </c>
      <c r="G64" s="26">
        <f>IFERROR(MEDIAN('📊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>107.5</v>
      </c>
      <c r="H64" s="26">
        <f>IFERROR(MIN('📊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>104</v>
      </c>
      <c r="I64" s="26">
        <f>IFERROR(MAX('📊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>109</v>
      </c>
      <c r="J64" s="27">
        <f t="shared" si="62"/>
        <v>-7.476635514018691E-2</v>
      </c>
      <c r="K64" s="27">
        <f t="shared" si="63"/>
        <v>-7.9069767441860464E-2</v>
      </c>
      <c r="L64" s="27">
        <f t="shared" si="64"/>
        <v>-4.807692307692308E-2</v>
      </c>
      <c r="M64" s="28" t="str">
        <f>IFERROR(RANK(D64,('📊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данные'!K63)),"")</f>
        <v/>
      </c>
      <c r="N64" s="25" t="str">
        <f t="shared" si="65"/>
        <v>—</v>
      </c>
      <c r="O64" s="27">
        <f t="shared" si="66"/>
        <v>0.29921259842519682</v>
      </c>
      <c r="P64" s="27">
        <f t="shared" si="67"/>
        <v>0.23030303030303029</v>
      </c>
      <c r="Q64" s="26">
        <f t="shared" si="68"/>
        <v>22.799999999999997</v>
      </c>
      <c r="R64" s="25" t="str">
        <f t="shared" si="69"/>
        <v>🟢 Хорошая(&gt;20%)</v>
      </c>
      <c r="S64" s="25" t="str">
        <f t="shared" si="70"/>
        <v>🟢 НИЗКИЙ</v>
      </c>
      <c r="T64" s="29"/>
      <c r="U64" s="26" t="str">
        <f t="shared" si="71"/>
        <v/>
      </c>
      <c r="V64" s="26" t="str">
        <f t="shared" si="72"/>
        <v/>
      </c>
      <c r="W64" s="27" t="e">
        <f t="shared" si="73"/>
        <v>#VALUE!</v>
      </c>
      <c r="X64" s="26">
        <f t="shared" si="74"/>
        <v>107</v>
      </c>
      <c r="Y64" s="27">
        <f t="shared" si="75"/>
        <v>0.40419947506561676</v>
      </c>
      <c r="Z64" s="27">
        <f t="shared" si="76"/>
        <v>0.28785046728971958</v>
      </c>
      <c r="AA64" s="26">
        <f t="shared" si="77"/>
        <v>30.799999999999997</v>
      </c>
      <c r="AB64" s="27">
        <f t="shared" si="78"/>
        <v>8.0808080808080815E-2</v>
      </c>
      <c r="AC64" s="27">
        <f t="shared" si="79"/>
        <v>0.24987702902115089</v>
      </c>
      <c r="AD64" s="26">
        <f t="shared" si="80"/>
        <v>8</v>
      </c>
      <c r="AE64" s="26">
        <f t="shared" si="81"/>
        <v>107.5</v>
      </c>
      <c r="AF64" s="27">
        <f t="shared" si="82"/>
        <v>0.41076115485564302</v>
      </c>
      <c r="AG64" s="27">
        <f t="shared" si="83"/>
        <v>0.29116279069767437</v>
      </c>
      <c r="AH64" s="26">
        <f t="shared" si="84"/>
        <v>31.299999999999997</v>
      </c>
      <c r="AI64" s="27">
        <f t="shared" si="85"/>
        <v>8.5858585858585856E-2</v>
      </c>
      <c r="AJ64" s="27">
        <f t="shared" si="86"/>
        <v>0.26425948592411247</v>
      </c>
      <c r="AK64" s="26">
        <f t="shared" si="87"/>
        <v>8.5</v>
      </c>
      <c r="AL64" s="26">
        <f t="shared" si="88"/>
        <v>104</v>
      </c>
      <c r="AM64" s="27">
        <f t="shared" si="89"/>
        <v>0.36482939632545924</v>
      </c>
      <c r="AN64" s="27">
        <f t="shared" si="90"/>
        <v>0.2673076923076923</v>
      </c>
      <c r="AO64" s="26">
        <f t="shared" si="91"/>
        <v>27.799999999999997</v>
      </c>
      <c r="AP64" s="27">
        <f t="shared" si="92"/>
        <v>5.0505050505050504E-2</v>
      </c>
      <c r="AQ64" s="27">
        <f t="shared" si="93"/>
        <v>0.16067813765182193</v>
      </c>
      <c r="AR64" s="26">
        <f t="shared" si="94"/>
        <v>5</v>
      </c>
      <c r="AS64" s="30"/>
      <c r="AT64" s="27" t="str">
        <f t="shared" si="95"/>
        <v/>
      </c>
      <c r="AU64" s="27" t="str">
        <f t="shared" si="96"/>
        <v/>
      </c>
      <c r="AV64" s="26" t="str">
        <f t="shared" si="97"/>
        <v/>
      </c>
      <c r="AW64" s="27" t="str">
        <f t="shared" si="98"/>
        <v/>
      </c>
      <c r="AX64" s="27" t="str">
        <f t="shared" si="99"/>
        <v/>
      </c>
      <c r="AY64" s="26" t="str">
        <f t="shared" si="100"/>
        <v/>
      </c>
      <c r="AZ64" s="31"/>
      <c r="BA64" s="26" t="str">
        <f t="shared" si="101"/>
        <v/>
      </c>
      <c r="BB64" s="27" t="str">
        <f t="shared" si="102"/>
        <v/>
      </c>
      <c r="BC64" s="27" t="str">
        <f t="shared" si="103"/>
        <v/>
      </c>
      <c r="BD64" s="26" t="str">
        <f t="shared" si="104"/>
        <v/>
      </c>
      <c r="BE64" s="27" t="str">
        <f t="shared" si="105"/>
        <v/>
      </c>
      <c r="BF64" s="27" t="str">
        <f t="shared" si="106"/>
        <v/>
      </c>
      <c r="BG64" s="26" t="str">
        <f t="shared" si="107"/>
        <v/>
      </c>
      <c r="BH64" s="26" t="str">
        <f t="shared" si="108"/>
        <v/>
      </c>
      <c r="BI64" s="26" t="str">
        <f t="shared" si="109"/>
        <v/>
      </c>
      <c r="BJ64" s="26" t="str">
        <f t="shared" si="110"/>
        <v/>
      </c>
      <c r="BK64" s="26" t="str">
        <f t="shared" si="111"/>
        <v/>
      </c>
      <c r="BL64" s="26" t="str">
        <f t="shared" si="112"/>
        <v/>
      </c>
      <c r="BM64" s="26" t="str">
        <f t="shared" si="113"/>
        <v/>
      </c>
      <c r="BN64" s="26" t="str">
        <f t="shared" si="114"/>
        <v/>
      </c>
      <c r="BO64" s="26" t="str">
        <f t="shared" si="115"/>
        <v/>
      </c>
      <c r="BP64" s="26" t="str">
        <f t="shared" si="116"/>
        <v/>
      </c>
      <c r="BQ64" s="26" t="str">
        <f t="shared" si="117"/>
        <v/>
      </c>
      <c r="BR64" s="32" t="str">
        <f t="shared" si="118"/>
        <v/>
      </c>
      <c r="BS64" s="27" t="str">
        <f t="shared" si="119"/>
        <v/>
      </c>
      <c r="BT64" s="32" t="str">
        <f t="shared" si="120"/>
        <v/>
      </c>
      <c r="BU64" s="27" t="str">
        <f t="shared" si="121"/>
        <v/>
      </c>
    </row>
    <row r="65" spans="1:73" x14ac:dyDescent="0.3">
      <c r="A65" s="22" t="str">
        <f>'📊 Исходные данные'!A64</f>
        <v>Чай холодный Менди пл/б 1,25л Лесная ягода</v>
      </c>
      <c r="B65" s="23" t="str">
        <f>'📊 Исходные данные'!B64</f>
        <v>4606592001362</v>
      </c>
      <c r="C65" s="24">
        <f>'📊 Исходные данные'!C64</f>
        <v>84.48</v>
      </c>
      <c r="D65" s="24">
        <f>'📊 Исходные данные'!D64</f>
        <v>109</v>
      </c>
      <c r="E65" s="25" t="str">
        <f t="shared" si="61"/>
        <v>🟢 Ниже рынка</v>
      </c>
      <c r="F65" s="26">
        <f>IFERROR(AVERAGE('📊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>115.75</v>
      </c>
      <c r="G65" s="26">
        <f>IFERROR(MEDIAN('📊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>112.5</v>
      </c>
      <c r="H65" s="26">
        <f>IFERROR(MIN('📊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>105</v>
      </c>
      <c r="I65" s="26">
        <f>IFERROR(MAX('📊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>133</v>
      </c>
      <c r="J65" s="27">
        <f t="shared" si="62"/>
        <v>-5.8315334773218146E-2</v>
      </c>
      <c r="K65" s="27">
        <f t="shared" si="63"/>
        <v>-3.111111111111111E-2</v>
      </c>
      <c r="L65" s="27">
        <f t="shared" si="64"/>
        <v>3.8095238095238099E-2</v>
      </c>
      <c r="M65" s="28" t="str">
        <f>IFERROR(RANK(D65,('📊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данные'!K64)),"")</f>
        <v/>
      </c>
      <c r="N65" s="25" t="str">
        <f t="shared" si="65"/>
        <v>—</v>
      </c>
      <c r="O65" s="27">
        <f t="shared" si="66"/>
        <v>0.29024621212121204</v>
      </c>
      <c r="P65" s="27">
        <f t="shared" si="67"/>
        <v>0.22495412844036694</v>
      </c>
      <c r="Q65" s="26">
        <f t="shared" si="68"/>
        <v>24.519999999999996</v>
      </c>
      <c r="R65" s="25" t="str">
        <f t="shared" si="69"/>
        <v>🟢 Хорошая(&gt;20%)</v>
      </c>
      <c r="S65" s="25" t="str">
        <f t="shared" si="70"/>
        <v>🟢 НИЗКИЙ</v>
      </c>
      <c r="T65" s="29"/>
      <c r="U65" s="26" t="str">
        <f t="shared" si="71"/>
        <v/>
      </c>
      <c r="V65" s="26" t="str">
        <f t="shared" si="72"/>
        <v/>
      </c>
      <c r="W65" s="27" t="e">
        <f t="shared" si="73"/>
        <v>#VALUE!</v>
      </c>
      <c r="X65" s="26">
        <f t="shared" si="74"/>
        <v>115.75</v>
      </c>
      <c r="Y65" s="27">
        <f t="shared" si="75"/>
        <v>0.37014678030303022</v>
      </c>
      <c r="Z65" s="27">
        <f t="shared" si="76"/>
        <v>0.27015118790496756</v>
      </c>
      <c r="AA65" s="26">
        <f t="shared" si="77"/>
        <v>31.269999999999996</v>
      </c>
      <c r="AB65" s="27">
        <f t="shared" si="78"/>
        <v>6.1926605504587159E-2</v>
      </c>
      <c r="AC65" s="27">
        <f t="shared" si="79"/>
        <v>0.20091678146988043</v>
      </c>
      <c r="AD65" s="26">
        <f t="shared" si="80"/>
        <v>6.75</v>
      </c>
      <c r="AE65" s="26">
        <f t="shared" si="81"/>
        <v>112.5</v>
      </c>
      <c r="AF65" s="27">
        <f t="shared" si="82"/>
        <v>0.3316761363636363</v>
      </c>
      <c r="AG65" s="27">
        <f t="shared" si="83"/>
        <v>0.24906666666666663</v>
      </c>
      <c r="AH65" s="26">
        <f t="shared" si="84"/>
        <v>28.019999999999996</v>
      </c>
      <c r="AI65" s="27">
        <f t="shared" si="85"/>
        <v>3.2110091743119268E-2</v>
      </c>
      <c r="AJ65" s="27">
        <f t="shared" si="86"/>
        <v>0.10718868950516584</v>
      </c>
      <c r="AK65" s="26">
        <f t="shared" si="87"/>
        <v>3.5</v>
      </c>
      <c r="AL65" s="26">
        <f t="shared" si="88"/>
        <v>105</v>
      </c>
      <c r="AM65" s="27">
        <f t="shared" si="89"/>
        <v>0.24289772727272721</v>
      </c>
      <c r="AN65" s="27">
        <f t="shared" si="90"/>
        <v>0.1954285714285714</v>
      </c>
      <c r="AO65" s="26">
        <f t="shared" si="91"/>
        <v>20.519999999999996</v>
      </c>
      <c r="AP65" s="27">
        <f t="shared" si="92"/>
        <v>-3.669724770642202E-2</v>
      </c>
      <c r="AQ65" s="27">
        <f t="shared" si="93"/>
        <v>-0.13125145653693779</v>
      </c>
      <c r="AR65" s="26">
        <f t="shared" si="94"/>
        <v>-4</v>
      </c>
      <c r="AS65" s="30"/>
      <c r="AT65" s="27" t="str">
        <f t="shared" si="95"/>
        <v/>
      </c>
      <c r="AU65" s="27" t="str">
        <f t="shared" si="96"/>
        <v/>
      </c>
      <c r="AV65" s="26" t="str">
        <f t="shared" si="97"/>
        <v/>
      </c>
      <c r="AW65" s="27" t="str">
        <f t="shared" si="98"/>
        <v/>
      </c>
      <c r="AX65" s="27" t="str">
        <f t="shared" si="99"/>
        <v/>
      </c>
      <c r="AY65" s="26" t="str">
        <f t="shared" si="100"/>
        <v/>
      </c>
      <c r="AZ65" s="31"/>
      <c r="BA65" s="26" t="str">
        <f t="shared" si="101"/>
        <v/>
      </c>
      <c r="BB65" s="27" t="str">
        <f t="shared" si="102"/>
        <v/>
      </c>
      <c r="BC65" s="27" t="str">
        <f t="shared" si="103"/>
        <v/>
      </c>
      <c r="BD65" s="26" t="str">
        <f t="shared" si="104"/>
        <v/>
      </c>
      <c r="BE65" s="27" t="str">
        <f t="shared" si="105"/>
        <v/>
      </c>
      <c r="BF65" s="27" t="str">
        <f t="shared" si="106"/>
        <v/>
      </c>
      <c r="BG65" s="26" t="str">
        <f t="shared" si="107"/>
        <v/>
      </c>
      <c r="BH65" s="26" t="str">
        <f t="shared" si="108"/>
        <v/>
      </c>
      <c r="BI65" s="26" t="str">
        <f t="shared" si="109"/>
        <v/>
      </c>
      <c r="BJ65" s="26" t="str">
        <f t="shared" si="110"/>
        <v/>
      </c>
      <c r="BK65" s="26" t="str">
        <f t="shared" si="111"/>
        <v/>
      </c>
      <c r="BL65" s="26" t="str">
        <f t="shared" si="112"/>
        <v/>
      </c>
      <c r="BM65" s="26" t="str">
        <f t="shared" si="113"/>
        <v/>
      </c>
      <c r="BN65" s="26" t="str">
        <f t="shared" si="114"/>
        <v/>
      </c>
      <c r="BO65" s="26" t="str">
        <f t="shared" si="115"/>
        <v/>
      </c>
      <c r="BP65" s="26" t="str">
        <f t="shared" si="116"/>
        <v/>
      </c>
      <c r="BQ65" s="26" t="str">
        <f t="shared" si="117"/>
        <v/>
      </c>
      <c r="BR65" s="32" t="str">
        <f t="shared" si="118"/>
        <v/>
      </c>
      <c r="BS65" s="27" t="str">
        <f t="shared" si="119"/>
        <v/>
      </c>
      <c r="BT65" s="32" t="str">
        <f t="shared" si="120"/>
        <v/>
      </c>
      <c r="BU65" s="27" t="str">
        <f t="shared" si="121"/>
        <v/>
      </c>
    </row>
    <row r="66" spans="1:73" x14ac:dyDescent="0.3">
      <c r="A66" s="22" t="str">
        <f>'📊 Исходные данные'!A65</f>
        <v>Семечки Джинн великан 100г</v>
      </c>
      <c r="B66" s="23" t="str">
        <f>'📊 Исходные данные'!B65</f>
        <v>4630007400990</v>
      </c>
      <c r="C66" s="24">
        <f>'📊 Исходные данные'!C65</f>
        <v>62.8</v>
      </c>
      <c r="D66" s="24">
        <f>'📊 Исходные данные'!D65</f>
        <v>79</v>
      </c>
      <c r="E66" s="25" t="str">
        <f t="shared" si="61"/>
        <v>🟡 На уровне</v>
      </c>
      <c r="F66" s="26">
        <f>IFERROR(AVERAGE('📊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>80.8</v>
      </c>
      <c r="G66" s="26">
        <f>IFERROR(MEDIAN('📊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>77</v>
      </c>
      <c r="H66" s="26">
        <f>IFERROR(MIN('📊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>73</v>
      </c>
      <c r="I66" s="26">
        <f>IFERROR(MAX('📊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>100</v>
      </c>
      <c r="J66" s="27">
        <f t="shared" si="62"/>
        <v>-2.2277227722772242E-2</v>
      </c>
      <c r="K66" s="27">
        <f t="shared" si="63"/>
        <v>2.5974025974025976E-2</v>
      </c>
      <c r="L66" s="27">
        <f t="shared" si="64"/>
        <v>8.2191780821917804E-2</v>
      </c>
      <c r="M66" s="28">
        <f>IFERROR(RANK(D66,('📊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данные'!K65)),"")</f>
        <v>2</v>
      </c>
      <c r="N66" s="25" t="str">
        <f t="shared" si="65"/>
        <v>2️⃣ 2-й по цене</v>
      </c>
      <c r="O66" s="27">
        <f t="shared" si="66"/>
        <v>0.2579617834394905</v>
      </c>
      <c r="P66" s="27">
        <f t="shared" si="67"/>
        <v>0.20506329113924054</v>
      </c>
      <c r="Q66" s="26">
        <f t="shared" si="68"/>
        <v>16.200000000000003</v>
      </c>
      <c r="R66" s="25" t="str">
        <f t="shared" si="69"/>
        <v>🟢 Хорошая(&gt;20%)</v>
      </c>
      <c r="S66" s="25" t="str">
        <f t="shared" si="70"/>
        <v>🟡 УМЕРЕННЫЙ</v>
      </c>
      <c r="T66" s="29"/>
      <c r="U66" s="26" t="str">
        <f t="shared" si="71"/>
        <v/>
      </c>
      <c r="V66" s="26" t="str">
        <f t="shared" si="72"/>
        <v/>
      </c>
      <c r="W66" s="27" t="e">
        <f t="shared" si="73"/>
        <v>#VALUE!</v>
      </c>
      <c r="X66" s="26">
        <f t="shared" si="74"/>
        <v>80.8</v>
      </c>
      <c r="Y66" s="27">
        <f t="shared" si="75"/>
        <v>0.28662420382165604</v>
      </c>
      <c r="Z66" s="27">
        <f t="shared" si="76"/>
        <v>0.22277227722772278</v>
      </c>
      <c r="AA66" s="26">
        <f t="shared" si="77"/>
        <v>18</v>
      </c>
      <c r="AB66" s="27">
        <f t="shared" si="78"/>
        <v>2.2784810126582244E-2</v>
      </c>
      <c r="AC66" s="27">
        <f t="shared" si="79"/>
        <v>8.6358635863586178E-2</v>
      </c>
      <c r="AD66" s="26">
        <f t="shared" si="80"/>
        <v>1.7999999999999972</v>
      </c>
      <c r="AE66" s="26">
        <f t="shared" si="81"/>
        <v>77</v>
      </c>
      <c r="AF66" s="27">
        <f t="shared" si="82"/>
        <v>0.22611464968152872</v>
      </c>
      <c r="AG66" s="27">
        <f t="shared" si="83"/>
        <v>0.18441558441558445</v>
      </c>
      <c r="AH66" s="26">
        <f t="shared" si="84"/>
        <v>14.200000000000003</v>
      </c>
      <c r="AI66" s="27">
        <f t="shared" si="85"/>
        <v>-2.5316455696202531E-2</v>
      </c>
      <c r="AJ66" s="27">
        <f t="shared" si="86"/>
        <v>-0.10068943402276737</v>
      </c>
      <c r="AK66" s="26">
        <f t="shared" si="87"/>
        <v>-2</v>
      </c>
      <c r="AL66" s="26">
        <f t="shared" si="88"/>
        <v>73</v>
      </c>
      <c r="AM66" s="27">
        <f t="shared" si="89"/>
        <v>0.16242038216560514</v>
      </c>
      <c r="AN66" s="27">
        <f t="shared" si="90"/>
        <v>0.13972602739726031</v>
      </c>
      <c r="AO66" s="26">
        <f t="shared" si="91"/>
        <v>10.200000000000003</v>
      </c>
      <c r="AP66" s="27">
        <f t="shared" si="92"/>
        <v>-7.5949367088607597E-2</v>
      </c>
      <c r="AQ66" s="27">
        <f t="shared" si="93"/>
        <v>-0.31861998985286649</v>
      </c>
      <c r="AR66" s="26">
        <f t="shared" si="94"/>
        <v>-6</v>
      </c>
      <c r="AS66" s="30"/>
      <c r="AT66" s="27" t="str">
        <f t="shared" si="95"/>
        <v/>
      </c>
      <c r="AU66" s="27" t="str">
        <f t="shared" si="96"/>
        <v/>
      </c>
      <c r="AV66" s="26" t="str">
        <f t="shared" si="97"/>
        <v/>
      </c>
      <c r="AW66" s="27" t="str">
        <f t="shared" si="98"/>
        <v/>
      </c>
      <c r="AX66" s="27" t="str">
        <f t="shared" si="99"/>
        <v/>
      </c>
      <c r="AY66" s="26" t="str">
        <f t="shared" si="100"/>
        <v/>
      </c>
      <c r="AZ66" s="31"/>
      <c r="BA66" s="26" t="str">
        <f t="shared" si="101"/>
        <v/>
      </c>
      <c r="BB66" s="27" t="str">
        <f t="shared" si="102"/>
        <v/>
      </c>
      <c r="BC66" s="27" t="str">
        <f t="shared" si="103"/>
        <v/>
      </c>
      <c r="BD66" s="26" t="str">
        <f t="shared" si="104"/>
        <v/>
      </c>
      <c r="BE66" s="27" t="str">
        <f t="shared" si="105"/>
        <v/>
      </c>
      <c r="BF66" s="27" t="str">
        <f t="shared" si="106"/>
        <v/>
      </c>
      <c r="BG66" s="26" t="str">
        <f t="shared" si="107"/>
        <v/>
      </c>
      <c r="BH66" s="26" t="str">
        <f t="shared" si="108"/>
        <v/>
      </c>
      <c r="BI66" s="26" t="str">
        <f t="shared" si="109"/>
        <v/>
      </c>
      <c r="BJ66" s="26" t="str">
        <f t="shared" si="110"/>
        <v/>
      </c>
      <c r="BK66" s="26" t="str">
        <f t="shared" si="111"/>
        <v/>
      </c>
      <c r="BL66" s="26" t="str">
        <f t="shared" si="112"/>
        <v/>
      </c>
      <c r="BM66" s="26" t="str">
        <f t="shared" si="113"/>
        <v/>
      </c>
      <c r="BN66" s="26" t="str">
        <f t="shared" si="114"/>
        <v/>
      </c>
      <c r="BO66" s="26" t="str">
        <f t="shared" si="115"/>
        <v/>
      </c>
      <c r="BP66" s="26" t="str">
        <f t="shared" si="116"/>
        <v/>
      </c>
      <c r="BQ66" s="26" t="str">
        <f t="shared" si="117"/>
        <v/>
      </c>
      <c r="BR66" s="32" t="str">
        <f t="shared" si="118"/>
        <v/>
      </c>
      <c r="BS66" s="27" t="str">
        <f t="shared" si="119"/>
        <v/>
      </c>
      <c r="BT66" s="32" t="str">
        <f t="shared" si="120"/>
        <v/>
      </c>
      <c r="BU66" s="27" t="str">
        <f t="shared" si="121"/>
        <v/>
      </c>
    </row>
    <row r="67" spans="1:73" x14ac:dyDescent="0.3">
      <c r="A67" s="22" t="str">
        <f>'📊 Исходные данные'!A66</f>
        <v>Семечки Джинн Солнечный Великан соленый 200г</v>
      </c>
      <c r="B67" s="23" t="str">
        <f>'📊 Исходные данные'!B66</f>
        <v>4630007401362</v>
      </c>
      <c r="C67" s="24">
        <f>'📊 Исходные данные'!C66</f>
        <v>122.3</v>
      </c>
      <c r="D67" s="24">
        <f>'📊 Исходные данные'!D66</f>
        <v>155</v>
      </c>
      <c r="E67" s="25" t="str">
        <f t="shared" ref="E67:E89" si="122">IF(OR(D67="",F67=""),"—",IF(D67&gt;F67*1.05,"🔴 Выше рынка",IF(D67&lt;F67*0.95,"🟢 Ниже рынка","🟡 На уровне")))</f>
        <v>🟡 На уровне</v>
      </c>
      <c r="F67" s="26">
        <f>IFERROR(AVERAGE('📊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>150</v>
      </c>
      <c r="G67" s="26">
        <f>IFERROR(MEDIAN('📊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>149</v>
      </c>
      <c r="H67" s="26">
        <f>IFERROR(MIN('📊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>143</v>
      </c>
      <c r="I67" s="26">
        <f>IFERROR(MAX('📊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>160</v>
      </c>
      <c r="J67" s="27">
        <f t="shared" ref="J67:J89" si="123">IF(AND(D67&lt;&gt;"",F67&lt;&gt;""),(D67-F67)/F67,"")</f>
        <v>3.3333333333333333E-2</v>
      </c>
      <c r="K67" s="27">
        <f t="shared" ref="K67:K89" si="124">IF(AND(D67&lt;&gt;"",G67&lt;&gt;""),(D67-G67)/G67,"")</f>
        <v>4.0268456375838924E-2</v>
      </c>
      <c r="L67" s="27">
        <f t="shared" ref="L67:L89" si="125">IF(AND(D67&lt;&gt;"",H67&lt;&gt;""),(D67-H67)/H67,"")</f>
        <v>8.3916083916083919E-2</v>
      </c>
      <c r="M67" s="28" t="str">
        <f>IFERROR(RANK(D67,('📊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данные'!K66)),"")</f>
        <v/>
      </c>
      <c r="N67" s="25" t="str">
        <f t="shared" ref="N67:N89" si="126">IF(M67="","—",IF(M67=1,"1️⃣ Дороже всех",IF(M67=2,"2️⃣ 2-й по цене",IF(M67&lt;=4,"🟡 Средний","🟢 Ниже конкурентов"))))</f>
        <v>—</v>
      </c>
      <c r="O67" s="27">
        <f t="shared" ref="O67:O89" si="127">IF(AND(C67&gt;0,D67&gt;0),(D67-C67)/C67,"")</f>
        <v>0.26737530662305808</v>
      </c>
      <c r="P67" s="27">
        <f t="shared" ref="P67:P89" si="128">IF(AND(C67&gt;0,D67&gt;0),(D67-C67)/D67,"")</f>
        <v>0.2109677419354839</v>
      </c>
      <c r="Q67" s="26">
        <f t="shared" ref="Q67:Q89" si="129">IF(AND(C67&gt;0,D67&gt;0),D67-C67,"")</f>
        <v>32.700000000000003</v>
      </c>
      <c r="R67" s="25" t="str">
        <f t="shared" ref="R67:R89" si="130">IF(P67="","—",IF(P67&lt;0.1,"🔴 Низкая(&lt;10%)",IF(P67&lt;0.2,"🟡 Средняя(10-20%)","🟢 Хорошая(&gt;20%)")))</f>
        <v>🟢 Хорошая(&gt;20%)</v>
      </c>
      <c r="S67" s="25" t="str">
        <f t="shared" ref="S67:S89" si="131">IF(OR(H67="",C67=""),"—",IF((H67-C67)/H67&lt;0.05,"🔴 КРИТИЧНО",IF((H67-C67)/H67&lt;0.15,"🟡 УМЕРЕННЫЙ","🟢 НИЗКИЙ")))</f>
        <v>🟡 УМЕРЕННЫЙ</v>
      </c>
      <c r="T67" s="29"/>
      <c r="U67" s="26" t="str">
        <f t="shared" ref="U67:U89" si="132">IF(T67&gt;0,T67*D67,"")</f>
        <v/>
      </c>
      <c r="V67" s="26" t="str">
        <f t="shared" ref="V67:V89" si="133">IF(T67&gt;0,T67*Q67,"")</f>
        <v/>
      </c>
      <c r="W67" s="27" t="e">
        <f t="shared" ref="W67:W89" si="134">IF(U67&gt;0,V67/U67,"")</f>
        <v>#VALUE!</v>
      </c>
      <c r="X67" s="26">
        <f t="shared" ref="X67:X89" si="135">IF(F67&lt;&gt;"",F67,"")</f>
        <v>150</v>
      </c>
      <c r="Y67" s="27">
        <f t="shared" ref="Y67:Y89" si="136">IF(AND(X67&lt;&gt;"",C67&gt;0),(X67-C67)/C67,"")</f>
        <v>0.22649223221586265</v>
      </c>
      <c r="Z67" s="27">
        <f t="shared" ref="Z67:Z89" si="137">IF(AND(X67&lt;&gt;"",X67&gt;0),(X67-C67)/X67,"")</f>
        <v>0.18466666666666667</v>
      </c>
      <c r="AA67" s="26">
        <f t="shared" ref="AA67:AA89" si="138">IF(AND(X67&lt;&gt;"",C67&gt;0),X67-C67,"")</f>
        <v>27.700000000000003</v>
      </c>
      <c r="AB67" s="27">
        <f t="shared" ref="AB67:AB89" si="139">IF(AND(X67&lt;&gt;"",D67&gt;0),(X67-D67)/D67,"")</f>
        <v>-3.2258064516129031E-2</v>
      </c>
      <c r="AC67" s="27">
        <f t="shared" ref="AC67:AC89" si="140">IF(AND(Z67&lt;&gt;"",P67&lt;&gt;""),(Z67-P67)/ABS(IF(P67=0,1,P67)),"")</f>
        <v>-0.12466870540265045</v>
      </c>
      <c r="AD67" s="26">
        <f t="shared" ref="AD67:AD89" si="141">IF(AND(AA67&lt;&gt;"",Q67&lt;&gt;""),AA67-Q67,"")</f>
        <v>-5</v>
      </c>
      <c r="AE67" s="26">
        <f t="shared" ref="AE67:AE89" si="142">IF(G67&lt;&gt;"",G67,"")</f>
        <v>149</v>
      </c>
      <c r="AF67" s="27">
        <f t="shared" ref="AF67:AF89" si="143">IF(AND(AE67&lt;&gt;"",C67&gt;0),(AE67-C67)/C67,"")</f>
        <v>0.21831561733442359</v>
      </c>
      <c r="AG67" s="27">
        <f t="shared" ref="AG67:AG89" si="144">IF(AND(AE67&lt;&gt;"",AE67&gt;0),(AE67-C67)/AE67,"")</f>
        <v>0.17919463087248325</v>
      </c>
      <c r="AH67" s="26">
        <f t="shared" ref="AH67:AH89" si="145">IF(AND(AE67&lt;&gt;"",C67&gt;0),AE67-C67,"")</f>
        <v>26.700000000000003</v>
      </c>
      <c r="AI67" s="27">
        <f t="shared" ref="AI67:AI89" si="146">IF(AND(AE67&lt;&gt;"",D67&gt;0),(AE67-D67)/D67,"")</f>
        <v>-3.870967741935484E-2</v>
      </c>
      <c r="AJ67" s="27">
        <f t="shared" ref="AJ67:AJ89" si="147">IF(AND(AG67&lt;&gt;"",P67&lt;&gt;""),(AG67-P67)/ABS(IF(P67=0,1,P67)),"")</f>
        <v>-0.1506064897481682</v>
      </c>
      <c r="AK67" s="26">
        <f t="shared" ref="AK67:AK89" si="148">IF(AND(AH67&lt;&gt;"",Q67&lt;&gt;""),AH67-Q67,"")</f>
        <v>-6</v>
      </c>
      <c r="AL67" s="26">
        <f t="shared" ref="AL67:AL89" si="149">IF(H67&lt;&gt;"",H67,"")</f>
        <v>143</v>
      </c>
      <c r="AM67" s="27">
        <f t="shared" ref="AM67:AM89" si="150">IF(AND(AL67&lt;&gt;"",C67&gt;0),(AL67-C67)/C67,"")</f>
        <v>0.16925592804578907</v>
      </c>
      <c r="AN67" s="27">
        <f t="shared" ref="AN67:AN89" si="151">IF(AND(AL67&lt;&gt;"",AL67&gt;0),(AL67-C67)/AL67,"")</f>
        <v>0.14475524475524479</v>
      </c>
      <c r="AO67" s="26">
        <f t="shared" ref="AO67:AO89" si="152">IF(AND(AL67&lt;&gt;"",C67&gt;0),AL67-C67,"")</f>
        <v>20.700000000000003</v>
      </c>
      <c r="AP67" s="27">
        <f t="shared" ref="AP67:AP89" si="153">IF(AND(AL67&lt;&gt;"",D67&gt;0),(AL67-D67)/D67,"")</f>
        <v>-7.7419354838709681E-2</v>
      </c>
      <c r="AQ67" s="27">
        <f t="shared" ref="AQ67:AQ89" si="154">IF(AND(AN67&lt;&gt;"",P67&lt;&gt;""),(AN67-P67)/ABS(IF(P67=0,1,P67)),"")</f>
        <v>-0.31385128632835047</v>
      </c>
      <c r="AR67" s="26">
        <f t="shared" ref="AR67:AR89" si="155">IF(AND(AO67&lt;&gt;"",Q67&lt;&gt;""),AO67-Q67,"")</f>
        <v>-12</v>
      </c>
      <c r="AS67" s="30"/>
      <c r="AT67" s="27" t="str">
        <f t="shared" ref="AT67:AT89" si="156">IF(AND(AS67&gt;0,C67&gt;0),(AS67-C67)/C67,"")</f>
        <v/>
      </c>
      <c r="AU67" s="27" t="str">
        <f t="shared" ref="AU67:AU89" si="157">IF(AND(AS67&gt;0,AS67&gt;0),(AS67-C67)/AS67,"")</f>
        <v/>
      </c>
      <c r="AV67" s="26" t="str">
        <f t="shared" ref="AV67:AV89" si="158">IF(AND(AS67&gt;0,C67&gt;0),AS67-C67,"")</f>
        <v/>
      </c>
      <c r="AW67" s="27" t="str">
        <f t="shared" ref="AW67:AW89" si="159">IF(AND(AS67&gt;0,D67&gt;0),(AS67-D67)/D67,"")</f>
        <v/>
      </c>
      <c r="AX67" s="27" t="str">
        <f t="shared" ref="AX67:AX89" si="160">IF(AND(AU67&lt;&gt;"",P67&lt;&gt;""),(AU67-P67)/ABS(IF(P67=0,1,P67)),"")</f>
        <v/>
      </c>
      <c r="AY67" s="26" t="str">
        <f t="shared" ref="AY67:AY89" si="161">IF(AND(AV67&lt;&gt;"",Q67&lt;&gt;""),AV67-Q67,"")</f>
        <v/>
      </c>
      <c r="AZ67" s="31"/>
      <c r="BA67" s="26" t="str">
        <f t="shared" ref="BA67:BA89" si="162">IF(AND(AZ67&gt;0,C67&gt;0),C67/(1-AZ67),"")</f>
        <v/>
      </c>
      <c r="BB67" s="27" t="str">
        <f t="shared" ref="BB67:BB89" si="163">IF(AND(BA67&lt;&gt;"",C67&gt;0),(BA67-C67)/C67,"")</f>
        <v/>
      </c>
      <c r="BC67" s="27" t="str">
        <f t="shared" ref="BC67:BC89" si="164">IF(BA67&lt;&gt;"",AZ67,"")</f>
        <v/>
      </c>
      <c r="BD67" s="26" t="str">
        <f t="shared" ref="BD67:BD89" si="165">IF(AND(BA67&lt;&gt;"",C67&gt;0),BA67-C67,"")</f>
        <v/>
      </c>
      <c r="BE67" s="27" t="str">
        <f t="shared" ref="BE67:BE89" si="166">IF(AND(BA67&lt;&gt;"",D67&gt;0),(BA67-D67)/D67,"")</f>
        <v/>
      </c>
      <c r="BF67" s="27" t="str">
        <f t="shared" ref="BF67:BF89" si="167">IF(AND(BC67&lt;&gt;"",P67&lt;&gt;""),(BC67-P67)/ABS(IF(P67=0,1,P67)),"")</f>
        <v/>
      </c>
      <c r="BG67" s="26" t="str">
        <f t="shared" ref="BG67:BG89" si="168">IF(AND(BD67&lt;&gt;"",Q67&lt;&gt;""),BD67-Q67,"")</f>
        <v/>
      </c>
      <c r="BH67" s="26" t="str">
        <f t="shared" ref="BH67:BH89" si="169">IF(AND(T67&gt;0,X67&lt;&gt;""),T67*X67,"")</f>
        <v/>
      </c>
      <c r="BI67" s="26" t="str">
        <f t="shared" ref="BI67:BI89" si="170">IF(AND(T67&gt;0,AA67&lt;&gt;""),T67*AA67,"")</f>
        <v/>
      </c>
      <c r="BJ67" s="26" t="str">
        <f t="shared" ref="BJ67:BJ89" si="171">IF(AND(T67&gt;0,AE67&lt;&gt;""),T67*AE67,"")</f>
        <v/>
      </c>
      <c r="BK67" s="26" t="str">
        <f t="shared" ref="BK67:BK89" si="172">IF(AND(T67&gt;0,AH67&lt;&gt;""),T67*AH67,"")</f>
        <v/>
      </c>
      <c r="BL67" s="26" t="str">
        <f t="shared" ref="BL67:BL89" si="173">IF(AND(T67&gt;0,AL67&lt;&gt;""),T67*AL67,"")</f>
        <v/>
      </c>
      <c r="BM67" s="26" t="str">
        <f t="shared" ref="BM67:BM89" si="174">IF(AND(T67&gt;0,AO67&lt;&gt;""),T67*AO67,"")</f>
        <v/>
      </c>
      <c r="BN67" s="26" t="str">
        <f t="shared" ref="BN67:BN89" si="175">IF(AND(T67&gt;0,AS67&gt;0),T67*AS67,"")</f>
        <v/>
      </c>
      <c r="BO67" s="26" t="str">
        <f t="shared" ref="BO67:BO89" si="176">IF(AND(T67&gt;0,AV67&lt;&gt;""),T67*AV67,"")</f>
        <v/>
      </c>
      <c r="BP67" s="26" t="str">
        <f t="shared" ref="BP67:BP89" si="177">IF(AND(T67&gt;0,BA67&lt;&gt;""),T67*BA67,"")</f>
        <v/>
      </c>
      <c r="BQ67" s="26" t="str">
        <f t="shared" ref="BQ67:BQ89" si="178">IF(AND(T67&gt;0,BD67&lt;&gt;""),T67*BD67,"")</f>
        <v/>
      </c>
      <c r="BR67" s="32" t="str">
        <f t="shared" ref="BR67:BR89" si="179">IF(AND(T67&gt;0,V67&gt;0,AA67&lt;&gt;0),V67/AA67-T67,"")</f>
        <v/>
      </c>
      <c r="BS67" s="27" t="str">
        <f t="shared" ref="BS67:BS89" si="180">IF(AND(BR67&lt;&gt;"",T67&gt;0),BR67/T67,"")</f>
        <v/>
      </c>
      <c r="BT67" s="32" t="str">
        <f t="shared" ref="BT67:BT89" si="181">IF(AND(T67&gt;0,V67&gt;0,AO67&lt;&gt;0),V67/AO67-T67,"")</f>
        <v/>
      </c>
      <c r="BU67" s="27" t="str">
        <f t="shared" ref="BU67:BU89" si="182">IF(AND(BT67&lt;&gt;"",T67&gt;0),BT67/T67,"")</f>
        <v/>
      </c>
    </row>
    <row r="68" spans="1:73" x14ac:dyDescent="0.3">
      <c r="A68" s="22" t="str">
        <f>'📊 Исходные данные'!A67</f>
        <v>Чипсы LIT ENERGY 120г Паприка</v>
      </c>
      <c r="B68" s="23" t="str">
        <f>'📊 Исходные данные'!B67</f>
        <v>4680232931127</v>
      </c>
      <c r="C68" s="24">
        <f>'📊 Исходные данные'!C67</f>
        <v>97</v>
      </c>
      <c r="D68" s="24">
        <f>'📊 Исходные данные'!D67</f>
        <v>129</v>
      </c>
      <c r="E68" s="25" t="str">
        <f t="shared" si="122"/>
        <v>🟢 Ниже рынка</v>
      </c>
      <c r="F68" s="26">
        <f>IFERROR(AVERAGE('📊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>137</v>
      </c>
      <c r="G68" s="26">
        <f>IFERROR(MEDIAN('📊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>137</v>
      </c>
      <c r="H68" s="26">
        <f>IFERROR(MIN('📊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>134</v>
      </c>
      <c r="I68" s="26">
        <f>IFERROR(MAX('📊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>140</v>
      </c>
      <c r="J68" s="27">
        <f t="shared" si="123"/>
        <v>-5.8394160583941604E-2</v>
      </c>
      <c r="K68" s="27">
        <f t="shared" si="124"/>
        <v>-5.8394160583941604E-2</v>
      </c>
      <c r="L68" s="27">
        <f t="shared" si="125"/>
        <v>-3.7313432835820892E-2</v>
      </c>
      <c r="M68" s="28" t="str">
        <f>IFERROR(RANK(D68,('📊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данные'!K67)),"")</f>
        <v/>
      </c>
      <c r="N68" s="25" t="str">
        <f t="shared" si="126"/>
        <v>—</v>
      </c>
      <c r="O68" s="27">
        <f t="shared" si="127"/>
        <v>0.32989690721649484</v>
      </c>
      <c r="P68" s="27">
        <f t="shared" si="128"/>
        <v>0.24806201550387597</v>
      </c>
      <c r="Q68" s="26">
        <f t="shared" si="129"/>
        <v>32</v>
      </c>
      <c r="R68" s="25" t="str">
        <f t="shared" si="130"/>
        <v>🟢 Хорошая(&gt;20%)</v>
      </c>
      <c r="S68" s="25" t="str">
        <f t="shared" si="131"/>
        <v>🟢 НИЗКИЙ</v>
      </c>
      <c r="T68" s="29"/>
      <c r="U68" s="26" t="str">
        <f t="shared" si="132"/>
        <v/>
      </c>
      <c r="V68" s="26" t="str">
        <f t="shared" si="133"/>
        <v/>
      </c>
      <c r="W68" s="27" t="e">
        <f t="shared" si="134"/>
        <v>#VALUE!</v>
      </c>
      <c r="X68" s="26">
        <f t="shared" si="135"/>
        <v>137</v>
      </c>
      <c r="Y68" s="27">
        <f t="shared" si="136"/>
        <v>0.41237113402061853</v>
      </c>
      <c r="Z68" s="27">
        <f t="shared" si="137"/>
        <v>0.29197080291970801</v>
      </c>
      <c r="AA68" s="26">
        <f t="shared" si="138"/>
        <v>40</v>
      </c>
      <c r="AB68" s="27">
        <f t="shared" si="139"/>
        <v>6.2015503875968991E-2</v>
      </c>
      <c r="AC68" s="27">
        <f t="shared" si="140"/>
        <v>0.17700729927007292</v>
      </c>
      <c r="AD68" s="26">
        <f t="shared" si="141"/>
        <v>8</v>
      </c>
      <c r="AE68" s="26">
        <f t="shared" si="142"/>
        <v>137</v>
      </c>
      <c r="AF68" s="27">
        <f t="shared" si="143"/>
        <v>0.41237113402061853</v>
      </c>
      <c r="AG68" s="27">
        <f t="shared" si="144"/>
        <v>0.29197080291970801</v>
      </c>
      <c r="AH68" s="26">
        <f t="shared" si="145"/>
        <v>40</v>
      </c>
      <c r="AI68" s="27">
        <f t="shared" si="146"/>
        <v>6.2015503875968991E-2</v>
      </c>
      <c r="AJ68" s="27">
        <f t="shared" si="147"/>
        <v>0.17700729927007292</v>
      </c>
      <c r="AK68" s="26">
        <f t="shared" si="148"/>
        <v>8</v>
      </c>
      <c r="AL68" s="26">
        <f t="shared" si="149"/>
        <v>134</v>
      </c>
      <c r="AM68" s="27">
        <f t="shared" si="150"/>
        <v>0.38144329896907214</v>
      </c>
      <c r="AN68" s="27">
        <f t="shared" si="151"/>
        <v>0.27611940298507465</v>
      </c>
      <c r="AO68" s="26">
        <f t="shared" si="152"/>
        <v>37</v>
      </c>
      <c r="AP68" s="27">
        <f t="shared" si="153"/>
        <v>3.875968992248062E-2</v>
      </c>
      <c r="AQ68" s="27">
        <f t="shared" si="154"/>
        <v>0.11310634328358218</v>
      </c>
      <c r="AR68" s="26">
        <f t="shared" si="155"/>
        <v>5</v>
      </c>
      <c r="AS68" s="30"/>
      <c r="AT68" s="27" t="str">
        <f t="shared" si="156"/>
        <v/>
      </c>
      <c r="AU68" s="27" t="str">
        <f t="shared" si="157"/>
        <v/>
      </c>
      <c r="AV68" s="26" t="str">
        <f t="shared" si="158"/>
        <v/>
      </c>
      <c r="AW68" s="27" t="str">
        <f t="shared" si="159"/>
        <v/>
      </c>
      <c r="AX68" s="27" t="str">
        <f t="shared" si="160"/>
        <v/>
      </c>
      <c r="AY68" s="26" t="str">
        <f t="shared" si="161"/>
        <v/>
      </c>
      <c r="AZ68" s="31"/>
      <c r="BA68" s="26" t="str">
        <f t="shared" si="162"/>
        <v/>
      </c>
      <c r="BB68" s="27" t="str">
        <f t="shared" si="163"/>
        <v/>
      </c>
      <c r="BC68" s="27" t="str">
        <f t="shared" si="164"/>
        <v/>
      </c>
      <c r="BD68" s="26" t="str">
        <f t="shared" si="165"/>
        <v/>
      </c>
      <c r="BE68" s="27" t="str">
        <f t="shared" si="166"/>
        <v/>
      </c>
      <c r="BF68" s="27" t="str">
        <f t="shared" si="167"/>
        <v/>
      </c>
      <c r="BG68" s="26" t="str">
        <f t="shared" si="168"/>
        <v/>
      </c>
      <c r="BH68" s="26" t="str">
        <f t="shared" si="169"/>
        <v/>
      </c>
      <c r="BI68" s="26" t="str">
        <f t="shared" si="170"/>
        <v/>
      </c>
      <c r="BJ68" s="26" t="str">
        <f t="shared" si="171"/>
        <v/>
      </c>
      <c r="BK68" s="26" t="str">
        <f t="shared" si="172"/>
        <v/>
      </c>
      <c r="BL68" s="26" t="str">
        <f t="shared" si="173"/>
        <v/>
      </c>
      <c r="BM68" s="26" t="str">
        <f t="shared" si="174"/>
        <v/>
      </c>
      <c r="BN68" s="26" t="str">
        <f t="shared" si="175"/>
        <v/>
      </c>
      <c r="BO68" s="26" t="str">
        <f t="shared" si="176"/>
        <v/>
      </c>
      <c r="BP68" s="26" t="str">
        <f t="shared" si="177"/>
        <v/>
      </c>
      <c r="BQ68" s="26" t="str">
        <f t="shared" si="178"/>
        <v/>
      </c>
      <c r="BR68" s="32" t="str">
        <f t="shared" si="179"/>
        <v/>
      </c>
      <c r="BS68" s="27" t="str">
        <f t="shared" si="180"/>
        <v/>
      </c>
      <c r="BT68" s="32" t="str">
        <f t="shared" si="181"/>
        <v/>
      </c>
      <c r="BU68" s="27" t="str">
        <f t="shared" si="182"/>
        <v/>
      </c>
    </row>
    <row r="69" spans="1:73" x14ac:dyDescent="0.3">
      <c r="A69" s="22" t="str">
        <f>'📊 Исходные данные'!A68</f>
        <v>Чипсы Лейс 140г Сыр</v>
      </c>
      <c r="B69" s="23" t="str">
        <f>'📊 Исходные данные'!B68</f>
        <v>4690388111359</v>
      </c>
      <c r="C69" s="24">
        <f>'📊 Исходные данные'!C68</f>
        <v>152.09</v>
      </c>
      <c r="D69" s="24">
        <f>'📊 Исходные данные'!D68</f>
        <v>189</v>
      </c>
      <c r="E69" s="25" t="str">
        <f t="shared" si="122"/>
        <v>🔴 Выше рынка</v>
      </c>
      <c r="F69" s="26">
        <f>IFERROR(AVERAGE('📊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>167</v>
      </c>
      <c r="G69" s="26">
        <f>IFERROR(MEDIAN('📊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>170</v>
      </c>
      <c r="H69" s="26">
        <f>IFERROR(MIN('📊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>155</v>
      </c>
      <c r="I69" s="26">
        <f>IFERROR(MAX('📊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>173</v>
      </c>
      <c r="J69" s="27">
        <f t="shared" si="123"/>
        <v>0.1317365269461078</v>
      </c>
      <c r="K69" s="27">
        <f t="shared" si="124"/>
        <v>0.11176470588235295</v>
      </c>
      <c r="L69" s="27">
        <f t="shared" si="125"/>
        <v>0.21935483870967742</v>
      </c>
      <c r="M69" s="28" t="str">
        <f>IFERROR(RANK(D69,('📊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данные'!K68)),"")</f>
        <v/>
      </c>
      <c r="N69" s="25" t="str">
        <f t="shared" si="126"/>
        <v>—</v>
      </c>
      <c r="O69" s="27">
        <f t="shared" si="127"/>
        <v>0.24268525215333023</v>
      </c>
      <c r="P69" s="27">
        <f t="shared" si="128"/>
        <v>0.19529100529100527</v>
      </c>
      <c r="Q69" s="26">
        <f t="shared" si="129"/>
        <v>36.909999999999997</v>
      </c>
      <c r="R69" s="25" t="str">
        <f t="shared" si="130"/>
        <v>🟡 Средняя(10-20%)</v>
      </c>
      <c r="S69" s="25" t="str">
        <f t="shared" si="131"/>
        <v>🔴 КРИТИЧНО</v>
      </c>
      <c r="T69" s="29"/>
      <c r="U69" s="26" t="str">
        <f t="shared" si="132"/>
        <v/>
      </c>
      <c r="V69" s="26" t="str">
        <f t="shared" si="133"/>
        <v/>
      </c>
      <c r="W69" s="27" t="e">
        <f t="shared" si="134"/>
        <v>#VALUE!</v>
      </c>
      <c r="X69" s="26">
        <f t="shared" si="135"/>
        <v>167</v>
      </c>
      <c r="Y69" s="27">
        <f t="shared" si="136"/>
        <v>9.8034058780984923E-2</v>
      </c>
      <c r="Z69" s="27">
        <f t="shared" si="137"/>
        <v>8.9281437125748486E-2</v>
      </c>
      <c r="AA69" s="26">
        <f t="shared" si="138"/>
        <v>14.909999999999997</v>
      </c>
      <c r="AB69" s="27">
        <f t="shared" si="139"/>
        <v>-0.1164021164021164</v>
      </c>
      <c r="AC69" s="27">
        <f t="shared" si="140"/>
        <v>-0.5428287288873892</v>
      </c>
      <c r="AD69" s="26">
        <f t="shared" si="141"/>
        <v>-22</v>
      </c>
      <c r="AE69" s="26">
        <f t="shared" si="142"/>
        <v>170</v>
      </c>
      <c r="AF69" s="27">
        <f t="shared" si="143"/>
        <v>0.11775922151357746</v>
      </c>
      <c r="AG69" s="27">
        <f t="shared" si="144"/>
        <v>0.10535294117647057</v>
      </c>
      <c r="AH69" s="26">
        <f t="shared" si="145"/>
        <v>17.909999999999997</v>
      </c>
      <c r="AI69" s="27">
        <f t="shared" si="146"/>
        <v>-0.10052910052910052</v>
      </c>
      <c r="AJ69" s="27">
        <f t="shared" si="147"/>
        <v>-0.46053357132611922</v>
      </c>
      <c r="AK69" s="26">
        <f t="shared" si="148"/>
        <v>-19</v>
      </c>
      <c r="AL69" s="26">
        <f t="shared" si="149"/>
        <v>155</v>
      </c>
      <c r="AM69" s="27">
        <f t="shared" si="150"/>
        <v>1.9133407850614743E-2</v>
      </c>
      <c r="AN69" s="27">
        <f t="shared" si="151"/>
        <v>1.8774193548387073E-2</v>
      </c>
      <c r="AO69" s="26">
        <f t="shared" si="152"/>
        <v>2.9099999999999966</v>
      </c>
      <c r="AP69" s="27">
        <f t="shared" si="153"/>
        <v>-0.17989417989417988</v>
      </c>
      <c r="AQ69" s="27">
        <f t="shared" si="154"/>
        <v>-0.90386554915618644</v>
      </c>
      <c r="AR69" s="26">
        <f t="shared" si="155"/>
        <v>-34</v>
      </c>
      <c r="AS69" s="30"/>
      <c r="AT69" s="27" t="str">
        <f t="shared" si="156"/>
        <v/>
      </c>
      <c r="AU69" s="27" t="str">
        <f t="shared" si="157"/>
        <v/>
      </c>
      <c r="AV69" s="26" t="str">
        <f t="shared" si="158"/>
        <v/>
      </c>
      <c r="AW69" s="27" t="str">
        <f t="shared" si="159"/>
        <v/>
      </c>
      <c r="AX69" s="27" t="str">
        <f t="shared" si="160"/>
        <v/>
      </c>
      <c r="AY69" s="26" t="str">
        <f t="shared" si="161"/>
        <v/>
      </c>
      <c r="AZ69" s="31"/>
      <c r="BA69" s="26" t="str">
        <f t="shared" si="162"/>
        <v/>
      </c>
      <c r="BB69" s="27" t="str">
        <f t="shared" si="163"/>
        <v/>
      </c>
      <c r="BC69" s="27" t="str">
        <f t="shared" si="164"/>
        <v/>
      </c>
      <c r="BD69" s="26" t="str">
        <f t="shared" si="165"/>
        <v/>
      </c>
      <c r="BE69" s="27" t="str">
        <f t="shared" si="166"/>
        <v/>
      </c>
      <c r="BF69" s="27" t="str">
        <f t="shared" si="167"/>
        <v/>
      </c>
      <c r="BG69" s="26" t="str">
        <f t="shared" si="168"/>
        <v/>
      </c>
      <c r="BH69" s="26" t="str">
        <f t="shared" si="169"/>
        <v/>
      </c>
      <c r="BI69" s="26" t="str">
        <f t="shared" si="170"/>
        <v/>
      </c>
      <c r="BJ69" s="26" t="str">
        <f t="shared" si="171"/>
        <v/>
      </c>
      <c r="BK69" s="26" t="str">
        <f t="shared" si="172"/>
        <v/>
      </c>
      <c r="BL69" s="26" t="str">
        <f t="shared" si="173"/>
        <v/>
      </c>
      <c r="BM69" s="26" t="str">
        <f t="shared" si="174"/>
        <v/>
      </c>
      <c r="BN69" s="26" t="str">
        <f t="shared" si="175"/>
        <v/>
      </c>
      <c r="BO69" s="26" t="str">
        <f t="shared" si="176"/>
        <v/>
      </c>
      <c r="BP69" s="26" t="str">
        <f t="shared" si="177"/>
        <v/>
      </c>
      <c r="BQ69" s="26" t="str">
        <f t="shared" si="178"/>
        <v/>
      </c>
      <c r="BR69" s="32" t="str">
        <f t="shared" si="179"/>
        <v/>
      </c>
      <c r="BS69" s="27" t="str">
        <f t="shared" si="180"/>
        <v/>
      </c>
      <c r="BT69" s="32" t="str">
        <f t="shared" si="181"/>
        <v/>
      </c>
      <c r="BU69" s="27" t="str">
        <f t="shared" si="182"/>
        <v/>
      </c>
    </row>
    <row r="70" spans="1:73" x14ac:dyDescent="0.3">
      <c r="A70" s="22" t="str">
        <f>'📊 Исходные данные'!A69</f>
        <v>Грецкий орех очищенный половинки вес</v>
      </c>
      <c r="B70" s="23" t="str">
        <f>'📊 Исходные данные'!B69</f>
        <v>2184638</v>
      </c>
      <c r="C70" s="24">
        <f>'📊 Исходные данные'!C69</f>
        <v>546</v>
      </c>
      <c r="D70" s="24">
        <f>'📊 Исходные данные'!D69</f>
        <v>690</v>
      </c>
      <c r="E70" s="25" t="str">
        <f t="shared" si="122"/>
        <v>🟢 Ниже рынка</v>
      </c>
      <c r="F70" s="26">
        <f>IFERROR(AVERAGE('📊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>745.75</v>
      </c>
      <c r="G70" s="26">
        <f>IFERROR(MEDIAN('📊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>759</v>
      </c>
      <c r="H70" s="26">
        <f>IFERROR(MIN('📊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>685</v>
      </c>
      <c r="I70" s="26">
        <f>IFERROR(MAX('📊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>780</v>
      </c>
      <c r="J70" s="27">
        <f t="shared" si="123"/>
        <v>-7.4756956084478715E-2</v>
      </c>
      <c r="K70" s="27">
        <f t="shared" si="124"/>
        <v>-9.0909090909090912E-2</v>
      </c>
      <c r="L70" s="27">
        <f t="shared" si="125"/>
        <v>7.2992700729927005E-3</v>
      </c>
      <c r="M70" s="28" t="str">
        <f>IFERROR(RANK(D70,('📊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данные'!K69)),"")</f>
        <v/>
      </c>
      <c r="N70" s="25" t="str">
        <f t="shared" si="126"/>
        <v>—</v>
      </c>
      <c r="O70" s="27">
        <f t="shared" si="127"/>
        <v>0.26373626373626374</v>
      </c>
      <c r="P70" s="27">
        <f t="shared" si="128"/>
        <v>0.20869565217391303</v>
      </c>
      <c r="Q70" s="26">
        <f t="shared" si="129"/>
        <v>144</v>
      </c>
      <c r="R70" s="25" t="str">
        <f t="shared" si="130"/>
        <v>🟢 Хорошая(&gt;20%)</v>
      </c>
      <c r="S70" s="25" t="str">
        <f t="shared" si="131"/>
        <v>🟢 НИЗКИЙ</v>
      </c>
      <c r="T70" s="29"/>
      <c r="U70" s="26" t="str">
        <f t="shared" si="132"/>
        <v/>
      </c>
      <c r="V70" s="26" t="str">
        <f t="shared" si="133"/>
        <v/>
      </c>
      <c r="W70" s="27" t="e">
        <f t="shared" si="134"/>
        <v>#VALUE!</v>
      </c>
      <c r="X70" s="26">
        <f t="shared" si="135"/>
        <v>745.75</v>
      </c>
      <c r="Y70" s="27">
        <f t="shared" si="136"/>
        <v>0.36584249084249082</v>
      </c>
      <c r="Z70" s="27">
        <f t="shared" si="137"/>
        <v>0.26785115655380487</v>
      </c>
      <c r="AA70" s="26">
        <f t="shared" si="138"/>
        <v>199.75</v>
      </c>
      <c r="AB70" s="27">
        <f t="shared" si="139"/>
        <v>8.0797101449275363E-2</v>
      </c>
      <c r="AC70" s="27">
        <f t="shared" si="140"/>
        <v>0.28345345848698172</v>
      </c>
      <c r="AD70" s="26">
        <f t="shared" si="141"/>
        <v>55.75</v>
      </c>
      <c r="AE70" s="26">
        <f t="shared" si="142"/>
        <v>759</v>
      </c>
      <c r="AF70" s="27">
        <f t="shared" si="143"/>
        <v>0.39010989010989011</v>
      </c>
      <c r="AG70" s="27">
        <f t="shared" si="144"/>
        <v>0.28063241106719367</v>
      </c>
      <c r="AH70" s="26">
        <f t="shared" si="145"/>
        <v>213</v>
      </c>
      <c r="AI70" s="27">
        <f t="shared" si="146"/>
        <v>0.1</v>
      </c>
      <c r="AJ70" s="27">
        <f t="shared" si="147"/>
        <v>0.34469696969696972</v>
      </c>
      <c r="AK70" s="26">
        <f t="shared" si="148"/>
        <v>69</v>
      </c>
      <c r="AL70" s="26">
        <f t="shared" si="149"/>
        <v>685</v>
      </c>
      <c r="AM70" s="27">
        <f t="shared" si="150"/>
        <v>0.25457875457875456</v>
      </c>
      <c r="AN70" s="27">
        <f t="shared" si="151"/>
        <v>0.20291970802919709</v>
      </c>
      <c r="AO70" s="26">
        <f t="shared" si="152"/>
        <v>139</v>
      </c>
      <c r="AP70" s="27">
        <f t="shared" si="153"/>
        <v>-7.246376811594203E-3</v>
      </c>
      <c r="AQ70" s="27">
        <f t="shared" si="154"/>
        <v>-2.7676399026763873E-2</v>
      </c>
      <c r="AR70" s="26">
        <f t="shared" si="155"/>
        <v>-5</v>
      </c>
      <c r="AS70" s="30"/>
      <c r="AT70" s="27" t="str">
        <f t="shared" si="156"/>
        <v/>
      </c>
      <c r="AU70" s="27" t="str">
        <f t="shared" si="157"/>
        <v/>
      </c>
      <c r="AV70" s="26" t="str">
        <f t="shared" si="158"/>
        <v/>
      </c>
      <c r="AW70" s="27" t="str">
        <f t="shared" si="159"/>
        <v/>
      </c>
      <c r="AX70" s="27" t="str">
        <f t="shared" si="160"/>
        <v/>
      </c>
      <c r="AY70" s="26" t="str">
        <f t="shared" si="161"/>
        <v/>
      </c>
      <c r="AZ70" s="31"/>
      <c r="BA70" s="26" t="str">
        <f t="shared" si="162"/>
        <v/>
      </c>
      <c r="BB70" s="27" t="str">
        <f t="shared" si="163"/>
        <v/>
      </c>
      <c r="BC70" s="27" t="str">
        <f t="shared" si="164"/>
        <v/>
      </c>
      <c r="BD70" s="26" t="str">
        <f t="shared" si="165"/>
        <v/>
      </c>
      <c r="BE70" s="27" t="str">
        <f t="shared" si="166"/>
        <v/>
      </c>
      <c r="BF70" s="27" t="str">
        <f t="shared" si="167"/>
        <v/>
      </c>
      <c r="BG70" s="26" t="str">
        <f t="shared" si="168"/>
        <v/>
      </c>
      <c r="BH70" s="26" t="str">
        <f t="shared" si="169"/>
        <v/>
      </c>
      <c r="BI70" s="26" t="str">
        <f t="shared" si="170"/>
        <v/>
      </c>
      <c r="BJ70" s="26" t="str">
        <f t="shared" si="171"/>
        <v/>
      </c>
      <c r="BK70" s="26" t="str">
        <f t="shared" si="172"/>
        <v/>
      </c>
      <c r="BL70" s="26" t="str">
        <f t="shared" si="173"/>
        <v/>
      </c>
      <c r="BM70" s="26" t="str">
        <f t="shared" si="174"/>
        <v/>
      </c>
      <c r="BN70" s="26" t="str">
        <f t="shared" si="175"/>
        <v/>
      </c>
      <c r="BO70" s="26" t="str">
        <f t="shared" si="176"/>
        <v/>
      </c>
      <c r="BP70" s="26" t="str">
        <f t="shared" si="177"/>
        <v/>
      </c>
      <c r="BQ70" s="26" t="str">
        <f t="shared" si="178"/>
        <v/>
      </c>
      <c r="BR70" s="32" t="str">
        <f t="shared" si="179"/>
        <v/>
      </c>
      <c r="BS70" s="27" t="str">
        <f t="shared" si="180"/>
        <v/>
      </c>
      <c r="BT70" s="32" t="str">
        <f t="shared" si="181"/>
        <v/>
      </c>
      <c r="BU70" s="27" t="str">
        <f t="shared" si="182"/>
        <v/>
      </c>
    </row>
    <row r="71" spans="1:73" x14ac:dyDescent="0.3">
      <c r="A71" s="22" t="str">
        <f>'📊 Исходные данные'!A70</f>
        <v>Кешью сырой вес</v>
      </c>
      <c r="B71" s="23" t="str">
        <f>'📊 Исходные данные'!B70</f>
        <v>2127426</v>
      </c>
      <c r="C71" s="24">
        <f>'📊 Исходные данные'!C70</f>
        <v>773</v>
      </c>
      <c r="D71" s="24">
        <f>'📊 Исходные данные'!D70</f>
        <v>1120</v>
      </c>
      <c r="E71" s="25" t="str">
        <f t="shared" si="122"/>
        <v>🔴 Выше рынка</v>
      </c>
      <c r="F71" s="26">
        <f>IFERROR(AVERAGE('📊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>974.33333333333337</v>
      </c>
      <c r="G71" s="26">
        <f>IFERROR(MEDIAN('📊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>960</v>
      </c>
      <c r="H71" s="26">
        <f>IFERROR(MIN('📊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>875</v>
      </c>
      <c r="I71" s="26">
        <f>IFERROR(MAX('📊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>1088</v>
      </c>
      <c r="J71" s="27">
        <f t="shared" si="123"/>
        <v>0.14950393431406084</v>
      </c>
      <c r="K71" s="27">
        <f t="shared" si="124"/>
        <v>0.16666666666666666</v>
      </c>
      <c r="L71" s="27">
        <f t="shared" si="125"/>
        <v>0.28000000000000003</v>
      </c>
      <c r="M71" s="28" t="str">
        <f>IFERROR(RANK(D71,('📊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данные'!K70)),"")</f>
        <v/>
      </c>
      <c r="N71" s="25" t="str">
        <f t="shared" si="126"/>
        <v>—</v>
      </c>
      <c r="O71" s="27">
        <f t="shared" si="127"/>
        <v>0.44890038809831823</v>
      </c>
      <c r="P71" s="27">
        <f t="shared" si="128"/>
        <v>0.30982142857142858</v>
      </c>
      <c r="Q71" s="26">
        <f t="shared" si="129"/>
        <v>347</v>
      </c>
      <c r="R71" s="25" t="str">
        <f t="shared" si="130"/>
        <v>🟢 Хорошая(&gt;20%)</v>
      </c>
      <c r="S71" s="25" t="str">
        <f t="shared" si="131"/>
        <v>🟡 УМЕРЕННЫЙ</v>
      </c>
      <c r="T71" s="29"/>
      <c r="U71" s="26" t="str">
        <f t="shared" si="132"/>
        <v/>
      </c>
      <c r="V71" s="26" t="str">
        <f t="shared" si="133"/>
        <v/>
      </c>
      <c r="W71" s="27" t="e">
        <f t="shared" si="134"/>
        <v>#VALUE!</v>
      </c>
      <c r="X71" s="26">
        <f t="shared" si="135"/>
        <v>974.33333333333337</v>
      </c>
      <c r="Y71" s="27">
        <f t="shared" si="136"/>
        <v>0.26045709357481678</v>
      </c>
      <c r="Z71" s="27">
        <f t="shared" si="137"/>
        <v>0.20663701676359908</v>
      </c>
      <c r="AA71" s="26">
        <f t="shared" si="138"/>
        <v>201.33333333333337</v>
      </c>
      <c r="AB71" s="27">
        <f t="shared" si="139"/>
        <v>-0.13005952380952376</v>
      </c>
      <c r="AC71" s="27">
        <f t="shared" si="140"/>
        <v>-0.33304478739126525</v>
      </c>
      <c r="AD71" s="26">
        <f t="shared" si="141"/>
        <v>-145.66666666666663</v>
      </c>
      <c r="AE71" s="26">
        <f t="shared" si="142"/>
        <v>960</v>
      </c>
      <c r="AF71" s="27">
        <f t="shared" si="143"/>
        <v>0.24191461836998707</v>
      </c>
      <c r="AG71" s="27">
        <f t="shared" si="144"/>
        <v>0.19479166666666667</v>
      </c>
      <c r="AH71" s="26">
        <f t="shared" si="145"/>
        <v>187</v>
      </c>
      <c r="AI71" s="27">
        <f t="shared" si="146"/>
        <v>-0.14285714285714285</v>
      </c>
      <c r="AJ71" s="27">
        <f t="shared" si="147"/>
        <v>-0.3712776176753122</v>
      </c>
      <c r="AK71" s="26">
        <f t="shared" si="148"/>
        <v>-160</v>
      </c>
      <c r="AL71" s="26">
        <f t="shared" si="149"/>
        <v>875</v>
      </c>
      <c r="AM71" s="27">
        <f t="shared" si="150"/>
        <v>0.13195342820181113</v>
      </c>
      <c r="AN71" s="27">
        <f t="shared" si="151"/>
        <v>0.11657142857142858</v>
      </c>
      <c r="AO71" s="26">
        <f t="shared" si="152"/>
        <v>102</v>
      </c>
      <c r="AP71" s="27">
        <f t="shared" si="153"/>
        <v>-0.21875</v>
      </c>
      <c r="AQ71" s="27">
        <f t="shared" si="154"/>
        <v>-0.62374639769452445</v>
      </c>
      <c r="AR71" s="26">
        <f t="shared" si="155"/>
        <v>-245</v>
      </c>
      <c r="AS71" s="30"/>
      <c r="AT71" s="27" t="str">
        <f t="shared" si="156"/>
        <v/>
      </c>
      <c r="AU71" s="27" t="str">
        <f t="shared" si="157"/>
        <v/>
      </c>
      <c r="AV71" s="26" t="str">
        <f t="shared" si="158"/>
        <v/>
      </c>
      <c r="AW71" s="27" t="str">
        <f t="shared" si="159"/>
        <v/>
      </c>
      <c r="AX71" s="27" t="str">
        <f t="shared" si="160"/>
        <v/>
      </c>
      <c r="AY71" s="26" t="str">
        <f t="shared" si="161"/>
        <v/>
      </c>
      <c r="AZ71" s="31"/>
      <c r="BA71" s="26" t="str">
        <f t="shared" si="162"/>
        <v/>
      </c>
      <c r="BB71" s="27" t="str">
        <f t="shared" si="163"/>
        <v/>
      </c>
      <c r="BC71" s="27" t="str">
        <f t="shared" si="164"/>
        <v/>
      </c>
      <c r="BD71" s="26" t="str">
        <f t="shared" si="165"/>
        <v/>
      </c>
      <c r="BE71" s="27" t="str">
        <f t="shared" si="166"/>
        <v/>
      </c>
      <c r="BF71" s="27" t="str">
        <f t="shared" si="167"/>
        <v/>
      </c>
      <c r="BG71" s="26" t="str">
        <f t="shared" si="168"/>
        <v/>
      </c>
      <c r="BH71" s="26" t="str">
        <f t="shared" si="169"/>
        <v/>
      </c>
      <c r="BI71" s="26" t="str">
        <f t="shared" si="170"/>
        <v/>
      </c>
      <c r="BJ71" s="26" t="str">
        <f t="shared" si="171"/>
        <v/>
      </c>
      <c r="BK71" s="26" t="str">
        <f t="shared" si="172"/>
        <v/>
      </c>
      <c r="BL71" s="26" t="str">
        <f t="shared" si="173"/>
        <v/>
      </c>
      <c r="BM71" s="26" t="str">
        <f t="shared" si="174"/>
        <v/>
      </c>
      <c r="BN71" s="26" t="str">
        <f t="shared" si="175"/>
        <v/>
      </c>
      <c r="BO71" s="26" t="str">
        <f t="shared" si="176"/>
        <v/>
      </c>
      <c r="BP71" s="26" t="str">
        <f t="shared" si="177"/>
        <v/>
      </c>
      <c r="BQ71" s="26" t="str">
        <f t="shared" si="178"/>
        <v/>
      </c>
      <c r="BR71" s="32" t="str">
        <f t="shared" si="179"/>
        <v/>
      </c>
      <c r="BS71" s="27" t="str">
        <f t="shared" si="180"/>
        <v/>
      </c>
      <c r="BT71" s="32" t="str">
        <f t="shared" si="181"/>
        <v/>
      </c>
      <c r="BU71" s="27" t="str">
        <f t="shared" si="182"/>
        <v/>
      </c>
    </row>
    <row r="72" spans="1:73" x14ac:dyDescent="0.3">
      <c r="A72" s="22" t="str">
        <f>'📊 Исходные данные'!A71</f>
        <v>Миндаль золотой вес</v>
      </c>
      <c r="B72" s="23" t="str">
        <f>'📊 Исходные данные'!B71</f>
        <v>2153304</v>
      </c>
      <c r="C72" s="24">
        <f>'📊 Исходные данные'!C71</f>
        <v>870</v>
      </c>
      <c r="D72" s="24">
        <f>'📊 Исходные данные'!D71</f>
        <v>990</v>
      </c>
      <c r="E72" s="25" t="str">
        <f t="shared" si="122"/>
        <v>🟡 На уровне</v>
      </c>
      <c r="F72" s="26">
        <f>IFERROR(AVERAGE('📊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>974.5</v>
      </c>
      <c r="G72" s="26">
        <f>IFERROR(MEDIAN('📊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>999</v>
      </c>
      <c r="H72" s="26">
        <f>IFERROR(MIN('📊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>850</v>
      </c>
      <c r="I72" s="26">
        <f>IFERROR(MAX('📊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>1050</v>
      </c>
      <c r="J72" s="27">
        <f t="shared" si="123"/>
        <v>1.590559261159569E-2</v>
      </c>
      <c r="K72" s="27">
        <f t="shared" si="124"/>
        <v>-9.0090090090090089E-3</v>
      </c>
      <c r="L72" s="27">
        <f t="shared" si="125"/>
        <v>0.16470588235294117</v>
      </c>
      <c r="M72" s="28" t="str">
        <f>IFERROR(RANK(D72,('📊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данные'!K71)),"")</f>
        <v/>
      </c>
      <c r="N72" s="25" t="str">
        <f t="shared" si="126"/>
        <v>—</v>
      </c>
      <c r="O72" s="27">
        <f t="shared" si="127"/>
        <v>0.13793103448275862</v>
      </c>
      <c r="P72" s="27">
        <f t="shared" si="128"/>
        <v>0.12121212121212122</v>
      </c>
      <c r="Q72" s="26">
        <f t="shared" si="129"/>
        <v>120</v>
      </c>
      <c r="R72" s="25" t="str">
        <f t="shared" si="130"/>
        <v>🟡 Средняя(10-20%)</v>
      </c>
      <c r="S72" s="25" t="str">
        <f t="shared" si="131"/>
        <v>🔴 КРИТИЧНО</v>
      </c>
      <c r="T72" s="29"/>
      <c r="U72" s="26" t="str">
        <f t="shared" si="132"/>
        <v/>
      </c>
      <c r="V72" s="26" t="str">
        <f t="shared" si="133"/>
        <v/>
      </c>
      <c r="W72" s="27" t="e">
        <f t="shared" si="134"/>
        <v>#VALUE!</v>
      </c>
      <c r="X72" s="26">
        <f t="shared" si="135"/>
        <v>974.5</v>
      </c>
      <c r="Y72" s="27">
        <f t="shared" si="136"/>
        <v>0.12011494252873563</v>
      </c>
      <c r="Z72" s="27">
        <f t="shared" si="137"/>
        <v>0.10723447922011288</v>
      </c>
      <c r="AA72" s="26">
        <f t="shared" si="138"/>
        <v>104.5</v>
      </c>
      <c r="AB72" s="27">
        <f t="shared" si="139"/>
        <v>-1.5656565656565657E-2</v>
      </c>
      <c r="AC72" s="27">
        <f t="shared" si="140"/>
        <v>-0.11531554643406877</v>
      </c>
      <c r="AD72" s="26">
        <f t="shared" si="141"/>
        <v>-15.5</v>
      </c>
      <c r="AE72" s="26">
        <f t="shared" si="142"/>
        <v>999</v>
      </c>
      <c r="AF72" s="27">
        <f t="shared" si="143"/>
        <v>0.14827586206896551</v>
      </c>
      <c r="AG72" s="27">
        <f t="shared" si="144"/>
        <v>0.12912912912912913</v>
      </c>
      <c r="AH72" s="26">
        <f t="shared" si="145"/>
        <v>129</v>
      </c>
      <c r="AI72" s="27">
        <f t="shared" si="146"/>
        <v>9.0909090909090905E-3</v>
      </c>
      <c r="AJ72" s="27">
        <f t="shared" si="147"/>
        <v>6.5315315315315314E-2</v>
      </c>
      <c r="AK72" s="26">
        <f t="shared" si="148"/>
        <v>9</v>
      </c>
      <c r="AL72" s="26">
        <f t="shared" si="149"/>
        <v>850</v>
      </c>
      <c r="AM72" s="27">
        <f t="shared" si="150"/>
        <v>-2.2988505747126436E-2</v>
      </c>
      <c r="AN72" s="27">
        <f t="shared" si="151"/>
        <v>-2.3529411764705882E-2</v>
      </c>
      <c r="AO72" s="26">
        <f t="shared" si="152"/>
        <v>-20</v>
      </c>
      <c r="AP72" s="27">
        <f t="shared" si="153"/>
        <v>-0.14141414141414141</v>
      </c>
      <c r="AQ72" s="27">
        <f t="shared" si="154"/>
        <v>-1.1941176470588235</v>
      </c>
      <c r="AR72" s="26">
        <f t="shared" si="155"/>
        <v>-140</v>
      </c>
      <c r="AS72" s="30"/>
      <c r="AT72" s="27" t="str">
        <f t="shared" si="156"/>
        <v/>
      </c>
      <c r="AU72" s="27" t="str">
        <f t="shared" si="157"/>
        <v/>
      </c>
      <c r="AV72" s="26" t="str">
        <f t="shared" si="158"/>
        <v/>
      </c>
      <c r="AW72" s="27" t="str">
        <f t="shared" si="159"/>
        <v/>
      </c>
      <c r="AX72" s="27" t="str">
        <f t="shared" si="160"/>
        <v/>
      </c>
      <c r="AY72" s="26" t="str">
        <f t="shared" si="161"/>
        <v/>
      </c>
      <c r="AZ72" s="31"/>
      <c r="BA72" s="26" t="str">
        <f t="shared" si="162"/>
        <v/>
      </c>
      <c r="BB72" s="27" t="str">
        <f t="shared" si="163"/>
        <v/>
      </c>
      <c r="BC72" s="27" t="str">
        <f t="shared" si="164"/>
        <v/>
      </c>
      <c r="BD72" s="26" t="str">
        <f t="shared" si="165"/>
        <v/>
      </c>
      <c r="BE72" s="27" t="str">
        <f t="shared" si="166"/>
        <v/>
      </c>
      <c r="BF72" s="27" t="str">
        <f t="shared" si="167"/>
        <v/>
      </c>
      <c r="BG72" s="26" t="str">
        <f t="shared" si="168"/>
        <v/>
      </c>
      <c r="BH72" s="26" t="str">
        <f t="shared" si="169"/>
        <v/>
      </c>
      <c r="BI72" s="26" t="str">
        <f t="shared" si="170"/>
        <v/>
      </c>
      <c r="BJ72" s="26" t="str">
        <f t="shared" si="171"/>
        <v/>
      </c>
      <c r="BK72" s="26" t="str">
        <f t="shared" si="172"/>
        <v/>
      </c>
      <c r="BL72" s="26" t="str">
        <f t="shared" si="173"/>
        <v/>
      </c>
      <c r="BM72" s="26" t="str">
        <f t="shared" si="174"/>
        <v/>
      </c>
      <c r="BN72" s="26" t="str">
        <f t="shared" si="175"/>
        <v/>
      </c>
      <c r="BO72" s="26" t="str">
        <f t="shared" si="176"/>
        <v/>
      </c>
      <c r="BP72" s="26" t="str">
        <f t="shared" si="177"/>
        <v/>
      </c>
      <c r="BQ72" s="26" t="str">
        <f t="shared" si="178"/>
        <v/>
      </c>
      <c r="BR72" s="32" t="str">
        <f t="shared" si="179"/>
        <v/>
      </c>
      <c r="BS72" s="27" t="str">
        <f t="shared" si="180"/>
        <v/>
      </c>
      <c r="BT72" s="32" t="str">
        <f t="shared" si="181"/>
        <v/>
      </c>
      <c r="BU72" s="27" t="str">
        <f t="shared" si="182"/>
        <v/>
      </c>
    </row>
    <row r="73" spans="1:73" x14ac:dyDescent="0.3">
      <c r="A73" s="22" t="str">
        <f>'📊 Исходные данные'!A72</f>
        <v>Финики королевские вес</v>
      </c>
      <c r="B73" s="23" t="str">
        <f>'📊 Исходные данные'!B72</f>
        <v>2170890</v>
      </c>
      <c r="C73" s="24">
        <f>'📊 Исходные данные'!C72</f>
        <v>897.8</v>
      </c>
      <c r="D73" s="24">
        <f>'📊 Исходные данные'!D72</f>
        <v>1099</v>
      </c>
      <c r="E73" s="25" t="str">
        <f t="shared" si="122"/>
        <v>🟡 На уровне</v>
      </c>
      <c r="F73" s="26">
        <f>IFERROR(AVERAGE('📊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>1126.6666666666667</v>
      </c>
      <c r="G73" s="26">
        <f>IFERROR(MEDIAN('📊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>1050</v>
      </c>
      <c r="H73" s="26">
        <f>IFERROR(MIN('📊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>1030</v>
      </c>
      <c r="I73" s="26">
        <f>IFERROR(MAX('📊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>1300</v>
      </c>
      <c r="J73" s="27">
        <f t="shared" si="123"/>
        <v>-2.4556213017751544E-2</v>
      </c>
      <c r="K73" s="27">
        <f t="shared" si="124"/>
        <v>4.6666666666666669E-2</v>
      </c>
      <c r="L73" s="27">
        <f t="shared" si="125"/>
        <v>6.6990291262135918E-2</v>
      </c>
      <c r="M73" s="28" t="str">
        <f>IFERROR(RANK(D73,('📊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данные'!K72)),"")</f>
        <v/>
      </c>
      <c r="N73" s="25" t="str">
        <f t="shared" si="126"/>
        <v>—</v>
      </c>
      <c r="O73" s="27">
        <f t="shared" si="127"/>
        <v>0.22410336377812437</v>
      </c>
      <c r="P73" s="27">
        <f t="shared" si="128"/>
        <v>0.18307552320291179</v>
      </c>
      <c r="Q73" s="26">
        <f t="shared" si="129"/>
        <v>201.20000000000005</v>
      </c>
      <c r="R73" s="25" t="str">
        <f t="shared" si="130"/>
        <v>🟡 Средняя(10-20%)</v>
      </c>
      <c r="S73" s="25" t="str">
        <f t="shared" si="131"/>
        <v>🟡 УМЕРЕННЫЙ</v>
      </c>
      <c r="T73" s="29"/>
      <c r="U73" s="26" t="str">
        <f t="shared" si="132"/>
        <v/>
      </c>
      <c r="V73" s="26" t="str">
        <f t="shared" si="133"/>
        <v/>
      </c>
      <c r="W73" s="27" t="e">
        <f t="shared" si="134"/>
        <v>#VALUE!</v>
      </c>
      <c r="X73" s="26">
        <f t="shared" si="135"/>
        <v>1126.6666666666667</v>
      </c>
      <c r="Y73" s="27">
        <f t="shared" si="136"/>
        <v>0.25491943268730988</v>
      </c>
      <c r="Z73" s="27">
        <f t="shared" si="137"/>
        <v>0.20313609467455632</v>
      </c>
      <c r="AA73" s="26">
        <f t="shared" si="138"/>
        <v>228.86666666666679</v>
      </c>
      <c r="AB73" s="27">
        <f t="shared" si="139"/>
        <v>2.5174400970579384E-2</v>
      </c>
      <c r="AC73" s="27">
        <f t="shared" si="140"/>
        <v>0.10957538790923127</v>
      </c>
      <c r="AD73" s="26">
        <f t="shared" si="141"/>
        <v>27.666666666666742</v>
      </c>
      <c r="AE73" s="26">
        <f t="shared" si="142"/>
        <v>1050</v>
      </c>
      <c r="AF73" s="27">
        <f t="shared" si="143"/>
        <v>0.16952550679438633</v>
      </c>
      <c r="AG73" s="27">
        <f t="shared" si="144"/>
        <v>0.144952380952381</v>
      </c>
      <c r="AH73" s="26">
        <f t="shared" si="145"/>
        <v>152.20000000000005</v>
      </c>
      <c r="AI73" s="27">
        <f t="shared" si="146"/>
        <v>-4.4585987261146494E-2</v>
      </c>
      <c r="AJ73" s="27">
        <f t="shared" si="147"/>
        <v>-0.2082372432074221</v>
      </c>
      <c r="AK73" s="26">
        <f t="shared" si="148"/>
        <v>-49</v>
      </c>
      <c r="AL73" s="26">
        <f t="shared" si="149"/>
        <v>1030</v>
      </c>
      <c r="AM73" s="27">
        <f t="shared" si="150"/>
        <v>0.14724883047449328</v>
      </c>
      <c r="AN73" s="27">
        <f t="shared" si="151"/>
        <v>0.12834951456310684</v>
      </c>
      <c r="AO73" s="26">
        <f t="shared" si="152"/>
        <v>132.20000000000005</v>
      </c>
      <c r="AP73" s="27">
        <f t="shared" si="153"/>
        <v>-6.2784349408553236E-2</v>
      </c>
      <c r="AQ73" s="27">
        <f t="shared" si="154"/>
        <v>-0.29892586230191664</v>
      </c>
      <c r="AR73" s="26">
        <f t="shared" si="155"/>
        <v>-69</v>
      </c>
      <c r="AS73" s="30"/>
      <c r="AT73" s="27" t="str">
        <f t="shared" si="156"/>
        <v/>
      </c>
      <c r="AU73" s="27" t="str">
        <f t="shared" si="157"/>
        <v/>
      </c>
      <c r="AV73" s="26" t="str">
        <f t="shared" si="158"/>
        <v/>
      </c>
      <c r="AW73" s="27" t="str">
        <f t="shared" si="159"/>
        <v/>
      </c>
      <c r="AX73" s="27" t="str">
        <f t="shared" si="160"/>
        <v/>
      </c>
      <c r="AY73" s="26" t="str">
        <f t="shared" si="161"/>
        <v/>
      </c>
      <c r="AZ73" s="31"/>
      <c r="BA73" s="26" t="str">
        <f t="shared" si="162"/>
        <v/>
      </c>
      <c r="BB73" s="27" t="str">
        <f t="shared" si="163"/>
        <v/>
      </c>
      <c r="BC73" s="27" t="str">
        <f t="shared" si="164"/>
        <v/>
      </c>
      <c r="BD73" s="26" t="str">
        <f t="shared" si="165"/>
        <v/>
      </c>
      <c r="BE73" s="27" t="str">
        <f t="shared" si="166"/>
        <v/>
      </c>
      <c r="BF73" s="27" t="str">
        <f t="shared" si="167"/>
        <v/>
      </c>
      <c r="BG73" s="26" t="str">
        <f t="shared" si="168"/>
        <v/>
      </c>
      <c r="BH73" s="26" t="str">
        <f t="shared" si="169"/>
        <v/>
      </c>
      <c r="BI73" s="26" t="str">
        <f t="shared" si="170"/>
        <v/>
      </c>
      <c r="BJ73" s="26" t="str">
        <f t="shared" si="171"/>
        <v/>
      </c>
      <c r="BK73" s="26" t="str">
        <f t="shared" si="172"/>
        <v/>
      </c>
      <c r="BL73" s="26" t="str">
        <f t="shared" si="173"/>
        <v/>
      </c>
      <c r="BM73" s="26" t="str">
        <f t="shared" si="174"/>
        <v/>
      </c>
      <c r="BN73" s="26" t="str">
        <f t="shared" si="175"/>
        <v/>
      </c>
      <c r="BO73" s="26" t="str">
        <f t="shared" si="176"/>
        <v/>
      </c>
      <c r="BP73" s="26" t="str">
        <f t="shared" si="177"/>
        <v/>
      </c>
      <c r="BQ73" s="26" t="str">
        <f t="shared" si="178"/>
        <v/>
      </c>
      <c r="BR73" s="32" t="str">
        <f t="shared" si="179"/>
        <v/>
      </c>
      <c r="BS73" s="27" t="str">
        <f t="shared" si="180"/>
        <v/>
      </c>
      <c r="BT73" s="32" t="str">
        <f t="shared" si="181"/>
        <v/>
      </c>
      <c r="BU73" s="27" t="str">
        <f t="shared" si="182"/>
        <v/>
      </c>
    </row>
    <row r="74" spans="1:73" x14ac:dyDescent="0.3">
      <c r="A74" s="22" t="str">
        <f>'📊 Исходные данные'!A73</f>
        <v>Фисташки Иран 1с</v>
      </c>
      <c r="B74" s="23" t="str">
        <f>'📊 Исходные данные'!B73</f>
        <v>2198321</v>
      </c>
      <c r="C74" s="24">
        <f>'📊 Исходные данные'!C73</f>
        <v>1000</v>
      </c>
      <c r="D74" s="24">
        <f>'📊 Исходные данные'!D73</f>
        <v>1250</v>
      </c>
      <c r="E74" s="25" t="str">
        <f t="shared" si="122"/>
        <v>🟢 Ниже рынка</v>
      </c>
      <c r="F74" s="26">
        <f>IFERROR(AVERAGE('📊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>1411.5</v>
      </c>
      <c r="G74" s="26">
        <f>IFERROR(MEDIAN('📊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>1398</v>
      </c>
      <c r="H74" s="26">
        <f>IFERROR(MIN('📊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>1250</v>
      </c>
      <c r="I74" s="26">
        <f>IFERROR(MAX('📊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>1600</v>
      </c>
      <c r="J74" s="27">
        <f t="shared" si="123"/>
        <v>-0.11441728657456607</v>
      </c>
      <c r="K74" s="27">
        <f t="shared" si="124"/>
        <v>-0.10586552217453506</v>
      </c>
      <c r="L74" s="27">
        <f t="shared" si="125"/>
        <v>0</v>
      </c>
      <c r="M74" s="28">
        <f>IFERROR(RANK(D74,('📊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данные'!K73)),"")</f>
        <v>4</v>
      </c>
      <c r="N74" s="25" t="str">
        <f t="shared" si="126"/>
        <v>🟡 Средний</v>
      </c>
      <c r="O74" s="27">
        <f t="shared" si="127"/>
        <v>0.25</v>
      </c>
      <c r="P74" s="27">
        <f t="shared" si="128"/>
        <v>0.2</v>
      </c>
      <c r="Q74" s="26">
        <f t="shared" si="129"/>
        <v>250</v>
      </c>
      <c r="R74" s="25" t="str">
        <f t="shared" si="130"/>
        <v>🟢 Хорошая(&gt;20%)</v>
      </c>
      <c r="S74" s="25" t="str">
        <f t="shared" si="131"/>
        <v>🟢 НИЗКИЙ</v>
      </c>
      <c r="T74" s="29"/>
      <c r="U74" s="26" t="str">
        <f t="shared" si="132"/>
        <v/>
      </c>
      <c r="V74" s="26" t="str">
        <f t="shared" si="133"/>
        <v/>
      </c>
      <c r="W74" s="27" t="e">
        <f t="shared" si="134"/>
        <v>#VALUE!</v>
      </c>
      <c r="X74" s="26">
        <f t="shared" si="135"/>
        <v>1411.5</v>
      </c>
      <c r="Y74" s="27">
        <f t="shared" si="136"/>
        <v>0.41149999999999998</v>
      </c>
      <c r="Z74" s="27">
        <f t="shared" si="137"/>
        <v>0.29153382925965288</v>
      </c>
      <c r="AA74" s="26">
        <f t="shared" si="138"/>
        <v>411.5</v>
      </c>
      <c r="AB74" s="27">
        <f t="shared" si="139"/>
        <v>0.12920000000000001</v>
      </c>
      <c r="AC74" s="27">
        <f t="shared" si="140"/>
        <v>0.45766914629826433</v>
      </c>
      <c r="AD74" s="26">
        <f t="shared" si="141"/>
        <v>161.5</v>
      </c>
      <c r="AE74" s="26">
        <f t="shared" si="142"/>
        <v>1398</v>
      </c>
      <c r="AF74" s="27">
        <f t="shared" si="143"/>
        <v>0.39800000000000002</v>
      </c>
      <c r="AG74" s="27">
        <f t="shared" si="144"/>
        <v>0.28469241773962806</v>
      </c>
      <c r="AH74" s="26">
        <f t="shared" si="145"/>
        <v>398</v>
      </c>
      <c r="AI74" s="27">
        <f t="shared" si="146"/>
        <v>0.11840000000000001</v>
      </c>
      <c r="AJ74" s="27">
        <f t="shared" si="147"/>
        <v>0.42346208869814023</v>
      </c>
      <c r="AK74" s="26">
        <f t="shared" si="148"/>
        <v>148</v>
      </c>
      <c r="AL74" s="26">
        <f t="shared" si="149"/>
        <v>1250</v>
      </c>
      <c r="AM74" s="27">
        <f t="shared" si="150"/>
        <v>0.25</v>
      </c>
      <c r="AN74" s="27">
        <f t="shared" si="151"/>
        <v>0.2</v>
      </c>
      <c r="AO74" s="26">
        <f t="shared" si="152"/>
        <v>250</v>
      </c>
      <c r="AP74" s="27">
        <f t="shared" si="153"/>
        <v>0</v>
      </c>
      <c r="AQ74" s="27">
        <f t="shared" si="154"/>
        <v>0</v>
      </c>
      <c r="AR74" s="26">
        <f t="shared" si="155"/>
        <v>0</v>
      </c>
      <c r="AS74" s="30"/>
      <c r="AT74" s="27" t="str">
        <f t="shared" si="156"/>
        <v/>
      </c>
      <c r="AU74" s="27" t="str">
        <f t="shared" si="157"/>
        <v/>
      </c>
      <c r="AV74" s="26" t="str">
        <f t="shared" si="158"/>
        <v/>
      </c>
      <c r="AW74" s="27" t="str">
        <f t="shared" si="159"/>
        <v/>
      </c>
      <c r="AX74" s="27" t="str">
        <f t="shared" si="160"/>
        <v/>
      </c>
      <c r="AY74" s="26" t="str">
        <f t="shared" si="161"/>
        <v/>
      </c>
      <c r="AZ74" s="31"/>
      <c r="BA74" s="26" t="str">
        <f t="shared" si="162"/>
        <v/>
      </c>
      <c r="BB74" s="27" t="str">
        <f t="shared" si="163"/>
        <v/>
      </c>
      <c r="BC74" s="27" t="str">
        <f t="shared" si="164"/>
        <v/>
      </c>
      <c r="BD74" s="26" t="str">
        <f t="shared" si="165"/>
        <v/>
      </c>
      <c r="BE74" s="27" t="str">
        <f t="shared" si="166"/>
        <v/>
      </c>
      <c r="BF74" s="27" t="str">
        <f t="shared" si="167"/>
        <v/>
      </c>
      <c r="BG74" s="26" t="str">
        <f t="shared" si="168"/>
        <v/>
      </c>
      <c r="BH74" s="26" t="str">
        <f t="shared" si="169"/>
        <v/>
      </c>
      <c r="BI74" s="26" t="str">
        <f t="shared" si="170"/>
        <v/>
      </c>
      <c r="BJ74" s="26" t="str">
        <f t="shared" si="171"/>
        <v/>
      </c>
      <c r="BK74" s="26" t="str">
        <f t="shared" si="172"/>
        <v/>
      </c>
      <c r="BL74" s="26" t="str">
        <f t="shared" si="173"/>
        <v/>
      </c>
      <c r="BM74" s="26" t="str">
        <f t="shared" si="174"/>
        <v/>
      </c>
      <c r="BN74" s="26" t="str">
        <f t="shared" si="175"/>
        <v/>
      </c>
      <c r="BO74" s="26" t="str">
        <f t="shared" si="176"/>
        <v/>
      </c>
      <c r="BP74" s="26" t="str">
        <f t="shared" si="177"/>
        <v/>
      </c>
      <c r="BQ74" s="26" t="str">
        <f t="shared" si="178"/>
        <v/>
      </c>
      <c r="BR74" s="32" t="str">
        <f t="shared" si="179"/>
        <v/>
      </c>
      <c r="BS74" s="27" t="str">
        <f t="shared" si="180"/>
        <v/>
      </c>
      <c r="BT74" s="32" t="str">
        <f t="shared" si="181"/>
        <v/>
      </c>
      <c r="BU74" s="27" t="str">
        <f t="shared" si="182"/>
        <v/>
      </c>
    </row>
    <row r="75" spans="1:73" x14ac:dyDescent="0.3">
      <c r="A75" s="22" t="str">
        <f>'📊 Исходные данные'!A74</f>
        <v>Фундук очищенный вес</v>
      </c>
      <c r="B75" s="23" t="str">
        <f>'📊 Исходные данные'!B74</f>
        <v>2109532</v>
      </c>
      <c r="C75" s="24">
        <f>'📊 Исходные данные'!C74</f>
        <v>1050</v>
      </c>
      <c r="D75" s="24">
        <f>'📊 Исходные данные'!D74</f>
        <v>1290</v>
      </c>
      <c r="E75" s="25" t="str">
        <f t="shared" si="122"/>
        <v>🟡 На уровне</v>
      </c>
      <c r="F75" s="26">
        <f>IFERROR(AVERAGE('📊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>1240.5</v>
      </c>
      <c r="G75" s="26">
        <f>IFERROR(MEDIAN('📊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>1261</v>
      </c>
      <c r="H75" s="26">
        <f>IFERROR(MIN('📊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>1140</v>
      </c>
      <c r="I75" s="26">
        <f>IFERROR(MAX('📊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>1300</v>
      </c>
      <c r="J75" s="27">
        <f t="shared" si="123"/>
        <v>3.9903264812575577E-2</v>
      </c>
      <c r="K75" s="27">
        <f t="shared" si="124"/>
        <v>2.2997620935765267E-2</v>
      </c>
      <c r="L75" s="27">
        <f t="shared" si="125"/>
        <v>0.13157894736842105</v>
      </c>
      <c r="M75" s="28" t="str">
        <f>IFERROR(RANK(D75,('📊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данные'!K74)),"")</f>
        <v/>
      </c>
      <c r="N75" s="25" t="str">
        <f t="shared" si="126"/>
        <v>—</v>
      </c>
      <c r="O75" s="27">
        <f t="shared" si="127"/>
        <v>0.22857142857142856</v>
      </c>
      <c r="P75" s="27">
        <f t="shared" si="128"/>
        <v>0.18604651162790697</v>
      </c>
      <c r="Q75" s="26">
        <f t="shared" si="129"/>
        <v>240</v>
      </c>
      <c r="R75" s="25" t="str">
        <f t="shared" si="130"/>
        <v>🟡 Средняя(10-20%)</v>
      </c>
      <c r="S75" s="25" t="str">
        <f t="shared" si="131"/>
        <v>🟡 УМЕРЕННЫЙ</v>
      </c>
      <c r="T75" s="29"/>
      <c r="U75" s="26" t="str">
        <f t="shared" si="132"/>
        <v/>
      </c>
      <c r="V75" s="26" t="str">
        <f t="shared" si="133"/>
        <v/>
      </c>
      <c r="W75" s="27" t="e">
        <f t="shared" si="134"/>
        <v>#VALUE!</v>
      </c>
      <c r="X75" s="26">
        <f t="shared" si="135"/>
        <v>1240.5</v>
      </c>
      <c r="Y75" s="27">
        <f t="shared" si="136"/>
        <v>0.18142857142857144</v>
      </c>
      <c r="Z75" s="27">
        <f t="shared" si="137"/>
        <v>0.15356711003627568</v>
      </c>
      <c r="AA75" s="26">
        <f t="shared" si="138"/>
        <v>190.5</v>
      </c>
      <c r="AB75" s="27">
        <f t="shared" si="139"/>
        <v>-3.8372093023255817E-2</v>
      </c>
      <c r="AC75" s="27">
        <f t="shared" si="140"/>
        <v>-0.17457678355501818</v>
      </c>
      <c r="AD75" s="26">
        <f t="shared" si="141"/>
        <v>-49.5</v>
      </c>
      <c r="AE75" s="26">
        <f t="shared" si="142"/>
        <v>1261</v>
      </c>
      <c r="AF75" s="27">
        <f t="shared" si="143"/>
        <v>0.20095238095238097</v>
      </c>
      <c r="AG75" s="27">
        <f t="shared" si="144"/>
        <v>0.16732751784298175</v>
      </c>
      <c r="AH75" s="26">
        <f t="shared" si="145"/>
        <v>211</v>
      </c>
      <c r="AI75" s="27">
        <f t="shared" si="146"/>
        <v>-2.2480620155038759E-2</v>
      </c>
      <c r="AJ75" s="27">
        <f t="shared" si="147"/>
        <v>-0.10061459159397308</v>
      </c>
      <c r="AK75" s="26">
        <f t="shared" si="148"/>
        <v>-29</v>
      </c>
      <c r="AL75" s="26">
        <f t="shared" si="149"/>
        <v>1140</v>
      </c>
      <c r="AM75" s="27">
        <f t="shared" si="150"/>
        <v>8.5714285714285715E-2</v>
      </c>
      <c r="AN75" s="27">
        <f t="shared" si="151"/>
        <v>7.8947368421052627E-2</v>
      </c>
      <c r="AO75" s="26">
        <f t="shared" si="152"/>
        <v>90</v>
      </c>
      <c r="AP75" s="27">
        <f t="shared" si="153"/>
        <v>-0.11627906976744186</v>
      </c>
      <c r="AQ75" s="27">
        <f t="shared" si="154"/>
        <v>-0.57565789473684215</v>
      </c>
      <c r="AR75" s="26">
        <f t="shared" si="155"/>
        <v>-150</v>
      </c>
      <c r="AS75" s="30"/>
      <c r="AT75" s="27" t="str">
        <f t="shared" si="156"/>
        <v/>
      </c>
      <c r="AU75" s="27" t="str">
        <f t="shared" si="157"/>
        <v/>
      </c>
      <c r="AV75" s="26" t="str">
        <f t="shared" si="158"/>
        <v/>
      </c>
      <c r="AW75" s="27" t="str">
        <f t="shared" si="159"/>
        <v/>
      </c>
      <c r="AX75" s="27" t="str">
        <f t="shared" si="160"/>
        <v/>
      </c>
      <c r="AY75" s="26" t="str">
        <f t="shared" si="161"/>
        <v/>
      </c>
      <c r="AZ75" s="31"/>
      <c r="BA75" s="26" t="str">
        <f t="shared" si="162"/>
        <v/>
      </c>
      <c r="BB75" s="27" t="str">
        <f t="shared" si="163"/>
        <v/>
      </c>
      <c r="BC75" s="27" t="str">
        <f t="shared" si="164"/>
        <v/>
      </c>
      <c r="BD75" s="26" t="str">
        <f t="shared" si="165"/>
        <v/>
      </c>
      <c r="BE75" s="27" t="str">
        <f t="shared" si="166"/>
        <v/>
      </c>
      <c r="BF75" s="27" t="str">
        <f t="shared" si="167"/>
        <v/>
      </c>
      <c r="BG75" s="26" t="str">
        <f t="shared" si="168"/>
        <v/>
      </c>
      <c r="BH75" s="26" t="str">
        <f t="shared" si="169"/>
        <v/>
      </c>
      <c r="BI75" s="26" t="str">
        <f t="shared" si="170"/>
        <v/>
      </c>
      <c r="BJ75" s="26" t="str">
        <f t="shared" si="171"/>
        <v/>
      </c>
      <c r="BK75" s="26" t="str">
        <f t="shared" si="172"/>
        <v/>
      </c>
      <c r="BL75" s="26" t="str">
        <f t="shared" si="173"/>
        <v/>
      </c>
      <c r="BM75" s="26" t="str">
        <f t="shared" si="174"/>
        <v/>
      </c>
      <c r="BN75" s="26" t="str">
        <f t="shared" si="175"/>
        <v/>
      </c>
      <c r="BO75" s="26" t="str">
        <f t="shared" si="176"/>
        <v/>
      </c>
      <c r="BP75" s="26" t="str">
        <f t="shared" si="177"/>
        <v/>
      </c>
      <c r="BQ75" s="26" t="str">
        <f t="shared" si="178"/>
        <v/>
      </c>
      <c r="BR75" s="32" t="str">
        <f t="shared" si="179"/>
        <v/>
      </c>
      <c r="BS75" s="27" t="str">
        <f t="shared" si="180"/>
        <v/>
      </c>
      <c r="BT75" s="32" t="str">
        <f t="shared" si="181"/>
        <v/>
      </c>
      <c r="BU75" s="27" t="str">
        <f t="shared" si="182"/>
        <v/>
      </c>
    </row>
    <row r="76" spans="1:73" x14ac:dyDescent="0.3">
      <c r="A76" s="22" t="str">
        <f>'📊 Исходные данные'!A75</f>
        <v>Крабовые палочки Русское море 200г</v>
      </c>
      <c r="B76" s="23" t="str">
        <f>'📊 Исходные данные'!B75</f>
        <v>4605561014204</v>
      </c>
      <c r="C76" s="24">
        <f>'📊 Исходные данные'!C75</f>
        <v>87</v>
      </c>
      <c r="D76" s="24">
        <f>'📊 Исходные данные'!D75</f>
        <v>125</v>
      </c>
      <c r="E76" s="25" t="str">
        <f t="shared" si="122"/>
        <v>🔴 Выше рынка</v>
      </c>
      <c r="F76" s="26">
        <f>IFERROR(AVERAGE('📊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>106.66666666666667</v>
      </c>
      <c r="G76" s="26">
        <f>IFERROR(MEDIAN('📊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>106</v>
      </c>
      <c r="H76" s="26">
        <f>IFERROR(MIN('📊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>100</v>
      </c>
      <c r="I76" s="26">
        <f>IFERROR(MAX('📊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>114</v>
      </c>
      <c r="J76" s="27">
        <f t="shared" si="123"/>
        <v>0.17187499999999994</v>
      </c>
      <c r="K76" s="27">
        <f t="shared" si="124"/>
        <v>0.17924528301886791</v>
      </c>
      <c r="L76" s="27">
        <f t="shared" si="125"/>
        <v>0.25</v>
      </c>
      <c r="M76" s="28" t="str">
        <f>IFERROR(RANK(D76,('📊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данные'!K75)),"")</f>
        <v/>
      </c>
      <c r="N76" s="25" t="str">
        <f t="shared" si="126"/>
        <v>—</v>
      </c>
      <c r="O76" s="27">
        <f t="shared" si="127"/>
        <v>0.43678160919540232</v>
      </c>
      <c r="P76" s="27">
        <f t="shared" si="128"/>
        <v>0.30399999999999999</v>
      </c>
      <c r="Q76" s="26">
        <f t="shared" si="129"/>
        <v>38</v>
      </c>
      <c r="R76" s="25" t="str">
        <f t="shared" si="130"/>
        <v>🟢 Хорошая(&gt;20%)</v>
      </c>
      <c r="S76" s="25" t="str">
        <f t="shared" si="131"/>
        <v>🟡 УМЕРЕННЫЙ</v>
      </c>
      <c r="T76" s="29"/>
      <c r="U76" s="26" t="str">
        <f t="shared" si="132"/>
        <v/>
      </c>
      <c r="V76" s="26" t="str">
        <f t="shared" si="133"/>
        <v/>
      </c>
      <c r="W76" s="27" t="e">
        <f t="shared" si="134"/>
        <v>#VALUE!</v>
      </c>
      <c r="X76" s="26">
        <f t="shared" si="135"/>
        <v>106.66666666666667</v>
      </c>
      <c r="Y76" s="27">
        <f t="shared" si="136"/>
        <v>0.22605363984674334</v>
      </c>
      <c r="Z76" s="27">
        <f t="shared" si="137"/>
        <v>0.18437500000000004</v>
      </c>
      <c r="AA76" s="26">
        <f t="shared" si="138"/>
        <v>19.666666666666671</v>
      </c>
      <c r="AB76" s="27">
        <f t="shared" si="139"/>
        <v>-0.14666666666666664</v>
      </c>
      <c r="AC76" s="27">
        <f t="shared" si="140"/>
        <v>-0.39350328947368407</v>
      </c>
      <c r="AD76" s="26">
        <f t="shared" si="141"/>
        <v>-18.333333333333329</v>
      </c>
      <c r="AE76" s="26">
        <f t="shared" si="142"/>
        <v>106</v>
      </c>
      <c r="AF76" s="27">
        <f t="shared" si="143"/>
        <v>0.21839080459770116</v>
      </c>
      <c r="AG76" s="27">
        <f t="shared" si="144"/>
        <v>0.17924528301886791</v>
      </c>
      <c r="AH76" s="26">
        <f t="shared" si="145"/>
        <v>19</v>
      </c>
      <c r="AI76" s="27">
        <f t="shared" si="146"/>
        <v>-0.152</v>
      </c>
      <c r="AJ76" s="27">
        <f t="shared" si="147"/>
        <v>-0.41037735849056606</v>
      </c>
      <c r="AK76" s="26">
        <f t="shared" si="148"/>
        <v>-19</v>
      </c>
      <c r="AL76" s="26">
        <f t="shared" si="149"/>
        <v>100</v>
      </c>
      <c r="AM76" s="27">
        <f t="shared" si="150"/>
        <v>0.14942528735632185</v>
      </c>
      <c r="AN76" s="27">
        <f t="shared" si="151"/>
        <v>0.13</v>
      </c>
      <c r="AO76" s="26">
        <f t="shared" si="152"/>
        <v>13</v>
      </c>
      <c r="AP76" s="27">
        <f t="shared" si="153"/>
        <v>-0.2</v>
      </c>
      <c r="AQ76" s="27">
        <f t="shared" si="154"/>
        <v>-0.57236842105263153</v>
      </c>
      <c r="AR76" s="26">
        <f t="shared" si="155"/>
        <v>-25</v>
      </c>
      <c r="AS76" s="30"/>
      <c r="AT76" s="27" t="str">
        <f t="shared" si="156"/>
        <v/>
      </c>
      <c r="AU76" s="27" t="str">
        <f t="shared" si="157"/>
        <v/>
      </c>
      <c r="AV76" s="26" t="str">
        <f t="shared" si="158"/>
        <v/>
      </c>
      <c r="AW76" s="27" t="str">
        <f t="shared" si="159"/>
        <v/>
      </c>
      <c r="AX76" s="27" t="str">
        <f t="shared" si="160"/>
        <v/>
      </c>
      <c r="AY76" s="26" t="str">
        <f t="shared" si="161"/>
        <v/>
      </c>
      <c r="AZ76" s="31"/>
      <c r="BA76" s="26" t="str">
        <f t="shared" si="162"/>
        <v/>
      </c>
      <c r="BB76" s="27" t="str">
        <f t="shared" si="163"/>
        <v/>
      </c>
      <c r="BC76" s="27" t="str">
        <f t="shared" si="164"/>
        <v/>
      </c>
      <c r="BD76" s="26" t="str">
        <f t="shared" si="165"/>
        <v/>
      </c>
      <c r="BE76" s="27" t="str">
        <f t="shared" si="166"/>
        <v/>
      </c>
      <c r="BF76" s="27" t="str">
        <f t="shared" si="167"/>
        <v/>
      </c>
      <c r="BG76" s="26" t="str">
        <f t="shared" si="168"/>
        <v/>
      </c>
      <c r="BH76" s="26" t="str">
        <f t="shared" si="169"/>
        <v/>
      </c>
      <c r="BI76" s="26" t="str">
        <f t="shared" si="170"/>
        <v/>
      </c>
      <c r="BJ76" s="26" t="str">
        <f t="shared" si="171"/>
        <v/>
      </c>
      <c r="BK76" s="26" t="str">
        <f t="shared" si="172"/>
        <v/>
      </c>
      <c r="BL76" s="26" t="str">
        <f t="shared" si="173"/>
        <v/>
      </c>
      <c r="BM76" s="26" t="str">
        <f t="shared" si="174"/>
        <v/>
      </c>
      <c r="BN76" s="26" t="str">
        <f t="shared" si="175"/>
        <v/>
      </c>
      <c r="BO76" s="26" t="str">
        <f t="shared" si="176"/>
        <v/>
      </c>
      <c r="BP76" s="26" t="str">
        <f t="shared" si="177"/>
        <v/>
      </c>
      <c r="BQ76" s="26" t="str">
        <f t="shared" si="178"/>
        <v/>
      </c>
      <c r="BR76" s="32" t="str">
        <f t="shared" si="179"/>
        <v/>
      </c>
      <c r="BS76" s="27" t="str">
        <f t="shared" si="180"/>
        <v/>
      </c>
      <c r="BT76" s="32" t="str">
        <f t="shared" si="181"/>
        <v/>
      </c>
      <c r="BU76" s="27" t="str">
        <f t="shared" si="182"/>
        <v/>
      </c>
    </row>
    <row r="77" spans="1:73" x14ac:dyDescent="0.3">
      <c r="A77" s="22" t="str">
        <f>'📊 Исходные данные'!A76</f>
        <v>Сельдь малосоленая Р</v>
      </c>
      <c r="B77" s="23" t="str">
        <f>'📊 Исходные данные'!B76</f>
        <v>2102019</v>
      </c>
      <c r="C77" s="24">
        <f>'📊 Исходные данные'!C76</f>
        <v>320</v>
      </c>
      <c r="D77" s="24">
        <f>'📊 Исходные данные'!D76</f>
        <v>385</v>
      </c>
      <c r="E77" s="25" t="str">
        <f t="shared" si="122"/>
        <v>—</v>
      </c>
      <c r="F77" s="26" t="str">
        <f>IFERROR(AVERAGE('📊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G77" s="26" t="str">
        <f>IFERROR(MEDIAN('📊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H77" s="26">
        <f>IFERROR(MIN('📊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>0</v>
      </c>
      <c r="I77" s="26">
        <f>IFERROR(MAX('📊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>0</v>
      </c>
      <c r="J77" s="27" t="str">
        <f t="shared" si="123"/>
        <v/>
      </c>
      <c r="K77" s="27" t="str">
        <f t="shared" si="124"/>
        <v/>
      </c>
      <c r="L77" s="27" t="e">
        <f t="shared" si="125"/>
        <v>#DIV/0!</v>
      </c>
      <c r="M77" s="28" t="str">
        <f>IFERROR(RANK(D77,('📊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данные'!K76)),"")</f>
        <v/>
      </c>
      <c r="N77" s="25" t="str">
        <f t="shared" si="126"/>
        <v>—</v>
      </c>
      <c r="O77" s="27">
        <f t="shared" si="127"/>
        <v>0.203125</v>
      </c>
      <c r="P77" s="27">
        <f t="shared" si="128"/>
        <v>0.16883116883116883</v>
      </c>
      <c r="Q77" s="26">
        <f t="shared" si="129"/>
        <v>65</v>
      </c>
      <c r="R77" s="25" t="str">
        <f t="shared" si="130"/>
        <v>🟡 Средняя(10-20%)</v>
      </c>
      <c r="S77" s="25" t="e">
        <f t="shared" si="131"/>
        <v>#DIV/0!</v>
      </c>
      <c r="T77" s="29"/>
      <c r="U77" s="26" t="str">
        <f t="shared" si="132"/>
        <v/>
      </c>
      <c r="V77" s="26" t="str">
        <f t="shared" si="133"/>
        <v/>
      </c>
      <c r="W77" s="27" t="e">
        <f t="shared" si="134"/>
        <v>#VALUE!</v>
      </c>
      <c r="X77" s="26" t="str">
        <f t="shared" si="135"/>
        <v/>
      </c>
      <c r="Y77" s="27" t="str">
        <f t="shared" si="136"/>
        <v/>
      </c>
      <c r="Z77" s="27" t="str">
        <f t="shared" si="137"/>
        <v/>
      </c>
      <c r="AA77" s="26" t="str">
        <f t="shared" si="138"/>
        <v/>
      </c>
      <c r="AB77" s="27" t="str">
        <f t="shared" si="139"/>
        <v/>
      </c>
      <c r="AC77" s="27" t="str">
        <f t="shared" si="140"/>
        <v/>
      </c>
      <c r="AD77" s="26" t="str">
        <f t="shared" si="141"/>
        <v/>
      </c>
      <c r="AE77" s="26" t="str">
        <f t="shared" si="142"/>
        <v/>
      </c>
      <c r="AF77" s="27" t="str">
        <f t="shared" si="143"/>
        <v/>
      </c>
      <c r="AG77" s="27" t="str">
        <f t="shared" si="144"/>
        <v/>
      </c>
      <c r="AH77" s="26" t="str">
        <f t="shared" si="145"/>
        <v/>
      </c>
      <c r="AI77" s="27" t="str">
        <f t="shared" si="146"/>
        <v/>
      </c>
      <c r="AJ77" s="27" t="str">
        <f t="shared" si="147"/>
        <v/>
      </c>
      <c r="AK77" s="26" t="str">
        <f t="shared" si="148"/>
        <v/>
      </c>
      <c r="AL77" s="26">
        <f t="shared" si="149"/>
        <v>0</v>
      </c>
      <c r="AM77" s="27">
        <f t="shared" si="150"/>
        <v>-1</v>
      </c>
      <c r="AN77" s="27" t="str">
        <f t="shared" si="151"/>
        <v/>
      </c>
      <c r="AO77" s="26">
        <f t="shared" si="152"/>
        <v>-320</v>
      </c>
      <c r="AP77" s="27">
        <f t="shared" si="153"/>
        <v>-1</v>
      </c>
      <c r="AQ77" s="27" t="str">
        <f t="shared" si="154"/>
        <v/>
      </c>
      <c r="AR77" s="26">
        <f t="shared" si="155"/>
        <v>-385</v>
      </c>
      <c r="AS77" s="30"/>
      <c r="AT77" s="27" t="str">
        <f t="shared" si="156"/>
        <v/>
      </c>
      <c r="AU77" s="27" t="str">
        <f t="shared" si="157"/>
        <v/>
      </c>
      <c r="AV77" s="26" t="str">
        <f t="shared" si="158"/>
        <v/>
      </c>
      <c r="AW77" s="27" t="str">
        <f t="shared" si="159"/>
        <v/>
      </c>
      <c r="AX77" s="27" t="str">
        <f t="shared" si="160"/>
        <v/>
      </c>
      <c r="AY77" s="26" t="str">
        <f t="shared" si="161"/>
        <v/>
      </c>
      <c r="AZ77" s="31"/>
      <c r="BA77" s="26" t="str">
        <f t="shared" si="162"/>
        <v/>
      </c>
      <c r="BB77" s="27" t="str">
        <f t="shared" si="163"/>
        <v/>
      </c>
      <c r="BC77" s="27" t="str">
        <f t="shared" si="164"/>
        <v/>
      </c>
      <c r="BD77" s="26" t="str">
        <f t="shared" si="165"/>
        <v/>
      </c>
      <c r="BE77" s="27" t="str">
        <f t="shared" si="166"/>
        <v/>
      </c>
      <c r="BF77" s="27" t="str">
        <f t="shared" si="167"/>
        <v/>
      </c>
      <c r="BG77" s="26" t="str">
        <f t="shared" si="168"/>
        <v/>
      </c>
      <c r="BH77" s="26" t="str">
        <f t="shared" si="169"/>
        <v/>
      </c>
      <c r="BI77" s="26" t="str">
        <f t="shared" si="170"/>
        <v/>
      </c>
      <c r="BJ77" s="26" t="str">
        <f t="shared" si="171"/>
        <v/>
      </c>
      <c r="BK77" s="26" t="str">
        <f t="shared" si="172"/>
        <v/>
      </c>
      <c r="BL77" s="26" t="str">
        <f t="shared" si="173"/>
        <v/>
      </c>
      <c r="BM77" s="26" t="str">
        <f t="shared" si="174"/>
        <v/>
      </c>
      <c r="BN77" s="26" t="str">
        <f t="shared" si="175"/>
        <v/>
      </c>
      <c r="BO77" s="26" t="str">
        <f t="shared" si="176"/>
        <v/>
      </c>
      <c r="BP77" s="26" t="str">
        <f t="shared" si="177"/>
        <v/>
      </c>
      <c r="BQ77" s="26" t="str">
        <f t="shared" si="178"/>
        <v/>
      </c>
      <c r="BR77" s="32" t="str">
        <f t="shared" si="179"/>
        <v/>
      </c>
      <c r="BS77" s="27" t="str">
        <f t="shared" si="180"/>
        <v/>
      </c>
      <c r="BT77" s="32" t="str">
        <f t="shared" si="181"/>
        <v/>
      </c>
      <c r="BU77" s="27" t="str">
        <f t="shared" si="182"/>
        <v/>
      </c>
    </row>
    <row r="78" spans="1:73" x14ac:dyDescent="0.3">
      <c r="A78" s="22" t="str">
        <f>'📊 Исходные данные'!A77</f>
        <v>Скумбрия х/к Р</v>
      </c>
      <c r="B78" s="23" t="str">
        <f>'📊 Исходные данные'!B77</f>
        <v>2193317</v>
      </c>
      <c r="C78" s="24">
        <f>'📊 Исходные данные'!C77</f>
        <v>590</v>
      </c>
      <c r="D78" s="24">
        <f>'📊 Исходные данные'!D77</f>
        <v>735</v>
      </c>
      <c r="E78" s="25" t="str">
        <f t="shared" si="122"/>
        <v>—</v>
      </c>
      <c r="F78" s="26" t="str">
        <f>IFERROR(AVERAGE('📊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G78" s="26" t="str">
        <f>IFERROR(MEDIAN('📊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H78" s="26">
        <f>IFERROR(MIN('📊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>0</v>
      </c>
      <c r="I78" s="26">
        <f>IFERROR(MAX('📊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>0</v>
      </c>
      <c r="J78" s="27" t="str">
        <f t="shared" si="123"/>
        <v/>
      </c>
      <c r="K78" s="27" t="str">
        <f t="shared" si="124"/>
        <v/>
      </c>
      <c r="L78" s="27" t="e">
        <f t="shared" si="125"/>
        <v>#DIV/0!</v>
      </c>
      <c r="M78" s="28" t="str">
        <f>IFERROR(RANK(D78,('📊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данные'!K77)),"")</f>
        <v/>
      </c>
      <c r="N78" s="25" t="str">
        <f t="shared" si="126"/>
        <v>—</v>
      </c>
      <c r="O78" s="27">
        <f t="shared" si="127"/>
        <v>0.24576271186440679</v>
      </c>
      <c r="P78" s="27">
        <f t="shared" si="128"/>
        <v>0.19727891156462585</v>
      </c>
      <c r="Q78" s="26">
        <f t="shared" si="129"/>
        <v>145</v>
      </c>
      <c r="R78" s="25" t="str">
        <f t="shared" si="130"/>
        <v>🟡 Средняя(10-20%)</v>
      </c>
      <c r="S78" s="25" t="e">
        <f t="shared" si="131"/>
        <v>#DIV/0!</v>
      </c>
      <c r="T78" s="29"/>
      <c r="U78" s="26" t="str">
        <f t="shared" si="132"/>
        <v/>
      </c>
      <c r="V78" s="26" t="str">
        <f t="shared" si="133"/>
        <v/>
      </c>
      <c r="W78" s="27" t="e">
        <f t="shared" si="134"/>
        <v>#VALUE!</v>
      </c>
      <c r="X78" s="26" t="str">
        <f t="shared" si="135"/>
        <v/>
      </c>
      <c r="Y78" s="27" t="str">
        <f t="shared" si="136"/>
        <v/>
      </c>
      <c r="Z78" s="27" t="str">
        <f t="shared" si="137"/>
        <v/>
      </c>
      <c r="AA78" s="26" t="str">
        <f t="shared" si="138"/>
        <v/>
      </c>
      <c r="AB78" s="27" t="str">
        <f t="shared" si="139"/>
        <v/>
      </c>
      <c r="AC78" s="27" t="str">
        <f t="shared" si="140"/>
        <v/>
      </c>
      <c r="AD78" s="26" t="str">
        <f t="shared" si="141"/>
        <v/>
      </c>
      <c r="AE78" s="26" t="str">
        <f t="shared" si="142"/>
        <v/>
      </c>
      <c r="AF78" s="27" t="str">
        <f t="shared" si="143"/>
        <v/>
      </c>
      <c r="AG78" s="27" t="str">
        <f t="shared" si="144"/>
        <v/>
      </c>
      <c r="AH78" s="26" t="str">
        <f t="shared" si="145"/>
        <v/>
      </c>
      <c r="AI78" s="27" t="str">
        <f t="shared" si="146"/>
        <v/>
      </c>
      <c r="AJ78" s="27" t="str">
        <f t="shared" si="147"/>
        <v/>
      </c>
      <c r="AK78" s="26" t="str">
        <f t="shared" si="148"/>
        <v/>
      </c>
      <c r="AL78" s="26">
        <f t="shared" si="149"/>
        <v>0</v>
      </c>
      <c r="AM78" s="27">
        <f t="shared" si="150"/>
        <v>-1</v>
      </c>
      <c r="AN78" s="27" t="str">
        <f t="shared" si="151"/>
        <v/>
      </c>
      <c r="AO78" s="26">
        <f t="shared" si="152"/>
        <v>-590</v>
      </c>
      <c r="AP78" s="27">
        <f t="shared" si="153"/>
        <v>-1</v>
      </c>
      <c r="AQ78" s="27" t="str">
        <f t="shared" si="154"/>
        <v/>
      </c>
      <c r="AR78" s="26">
        <f t="shared" si="155"/>
        <v>-735</v>
      </c>
      <c r="AS78" s="30"/>
      <c r="AT78" s="27" t="str">
        <f t="shared" si="156"/>
        <v/>
      </c>
      <c r="AU78" s="27" t="str">
        <f t="shared" si="157"/>
        <v/>
      </c>
      <c r="AV78" s="26" t="str">
        <f t="shared" si="158"/>
        <v/>
      </c>
      <c r="AW78" s="27" t="str">
        <f t="shared" si="159"/>
        <v/>
      </c>
      <c r="AX78" s="27" t="str">
        <f t="shared" si="160"/>
        <v/>
      </c>
      <c r="AY78" s="26" t="str">
        <f t="shared" si="161"/>
        <v/>
      </c>
      <c r="AZ78" s="31"/>
      <c r="BA78" s="26" t="str">
        <f t="shared" si="162"/>
        <v/>
      </c>
      <c r="BB78" s="27" t="str">
        <f t="shared" si="163"/>
        <v/>
      </c>
      <c r="BC78" s="27" t="str">
        <f t="shared" si="164"/>
        <v/>
      </c>
      <c r="BD78" s="26" t="str">
        <f t="shared" si="165"/>
        <v/>
      </c>
      <c r="BE78" s="27" t="str">
        <f t="shared" si="166"/>
        <v/>
      </c>
      <c r="BF78" s="27" t="str">
        <f t="shared" si="167"/>
        <v/>
      </c>
      <c r="BG78" s="26" t="str">
        <f t="shared" si="168"/>
        <v/>
      </c>
      <c r="BH78" s="26" t="str">
        <f t="shared" si="169"/>
        <v/>
      </c>
      <c r="BI78" s="26" t="str">
        <f t="shared" si="170"/>
        <v/>
      </c>
      <c r="BJ78" s="26" t="str">
        <f t="shared" si="171"/>
        <v/>
      </c>
      <c r="BK78" s="26" t="str">
        <f t="shared" si="172"/>
        <v/>
      </c>
      <c r="BL78" s="26" t="str">
        <f t="shared" si="173"/>
        <v/>
      </c>
      <c r="BM78" s="26" t="str">
        <f t="shared" si="174"/>
        <v/>
      </c>
      <c r="BN78" s="26" t="str">
        <f t="shared" si="175"/>
        <v/>
      </c>
      <c r="BO78" s="26" t="str">
        <f t="shared" si="176"/>
        <v/>
      </c>
      <c r="BP78" s="26" t="str">
        <f t="shared" si="177"/>
        <v/>
      </c>
      <c r="BQ78" s="26" t="str">
        <f t="shared" si="178"/>
        <v/>
      </c>
      <c r="BR78" s="32" t="str">
        <f t="shared" si="179"/>
        <v/>
      </c>
      <c r="BS78" s="27" t="str">
        <f t="shared" si="180"/>
        <v/>
      </c>
      <c r="BT78" s="32" t="str">
        <f t="shared" si="181"/>
        <v/>
      </c>
      <c r="BU78" s="27" t="str">
        <f t="shared" si="182"/>
        <v/>
      </c>
    </row>
    <row r="79" spans="1:73" x14ac:dyDescent="0.3">
      <c r="A79" s="22" t="str">
        <f>'📊 Исходные данные'!A78</f>
        <v>Малина Фрамбини в белом и молочном шоколаде 130г</v>
      </c>
      <c r="B79" s="23" t="str">
        <f>'📊 Исходные данные'!B78</f>
        <v>4620269170144</v>
      </c>
      <c r="C79" s="24">
        <f>'📊 Исходные данные'!C78</f>
        <v>530</v>
      </c>
      <c r="D79" s="24">
        <f>'📊 Исходные данные'!D78</f>
        <v>689</v>
      </c>
      <c r="E79" s="25" t="str">
        <f t="shared" si="122"/>
        <v>🟡 На уровне</v>
      </c>
      <c r="F79" s="26">
        <f>IFERROR(AVERAGE('📊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>664</v>
      </c>
      <c r="G79" s="26">
        <f>IFERROR(MEDIAN('📊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>664</v>
      </c>
      <c r="H79" s="26">
        <f>IFERROR(MIN('📊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>640</v>
      </c>
      <c r="I79" s="26">
        <f>IFERROR(MAX('📊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>688</v>
      </c>
      <c r="J79" s="27">
        <f t="shared" si="123"/>
        <v>3.7650602409638557E-2</v>
      </c>
      <c r="K79" s="27">
        <f t="shared" si="124"/>
        <v>3.7650602409638557E-2</v>
      </c>
      <c r="L79" s="27">
        <f t="shared" si="125"/>
        <v>7.6562500000000006E-2</v>
      </c>
      <c r="M79" s="28" t="str">
        <f>IFERROR(RANK(D79,('📊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данные'!K78)),"")</f>
        <v/>
      </c>
      <c r="N79" s="25" t="str">
        <f t="shared" si="126"/>
        <v>—</v>
      </c>
      <c r="O79" s="27">
        <f t="shared" si="127"/>
        <v>0.3</v>
      </c>
      <c r="P79" s="27">
        <f t="shared" si="128"/>
        <v>0.23076923076923078</v>
      </c>
      <c r="Q79" s="26">
        <f t="shared" si="129"/>
        <v>159</v>
      </c>
      <c r="R79" s="25" t="str">
        <f t="shared" si="130"/>
        <v>🟢 Хорошая(&gt;20%)</v>
      </c>
      <c r="S79" s="25" t="str">
        <f t="shared" si="131"/>
        <v>🟢 НИЗКИЙ</v>
      </c>
      <c r="T79" s="29"/>
      <c r="U79" s="26" t="str">
        <f t="shared" si="132"/>
        <v/>
      </c>
      <c r="V79" s="26" t="str">
        <f t="shared" si="133"/>
        <v/>
      </c>
      <c r="W79" s="27" t="e">
        <f t="shared" si="134"/>
        <v>#VALUE!</v>
      </c>
      <c r="X79" s="26">
        <f t="shared" si="135"/>
        <v>664</v>
      </c>
      <c r="Y79" s="27">
        <f t="shared" si="136"/>
        <v>0.25283018867924528</v>
      </c>
      <c r="Z79" s="27">
        <f t="shared" si="137"/>
        <v>0.20180722891566266</v>
      </c>
      <c r="AA79" s="26">
        <f t="shared" si="138"/>
        <v>134</v>
      </c>
      <c r="AB79" s="27">
        <f t="shared" si="139"/>
        <v>-3.6284470246734396E-2</v>
      </c>
      <c r="AC79" s="27">
        <f t="shared" si="140"/>
        <v>-0.12550200803212852</v>
      </c>
      <c r="AD79" s="26">
        <f t="shared" si="141"/>
        <v>-25</v>
      </c>
      <c r="AE79" s="26">
        <f t="shared" si="142"/>
        <v>664</v>
      </c>
      <c r="AF79" s="27">
        <f t="shared" si="143"/>
        <v>0.25283018867924528</v>
      </c>
      <c r="AG79" s="27">
        <f t="shared" si="144"/>
        <v>0.20180722891566266</v>
      </c>
      <c r="AH79" s="26">
        <f t="shared" si="145"/>
        <v>134</v>
      </c>
      <c r="AI79" s="27">
        <f t="shared" si="146"/>
        <v>-3.6284470246734396E-2</v>
      </c>
      <c r="AJ79" s="27">
        <f t="shared" si="147"/>
        <v>-0.12550200803212852</v>
      </c>
      <c r="AK79" s="26">
        <f t="shared" si="148"/>
        <v>-25</v>
      </c>
      <c r="AL79" s="26">
        <f t="shared" si="149"/>
        <v>640</v>
      </c>
      <c r="AM79" s="27">
        <f t="shared" si="150"/>
        <v>0.20754716981132076</v>
      </c>
      <c r="AN79" s="27">
        <f t="shared" si="151"/>
        <v>0.171875</v>
      </c>
      <c r="AO79" s="26">
        <f t="shared" si="152"/>
        <v>110</v>
      </c>
      <c r="AP79" s="27">
        <f t="shared" si="153"/>
        <v>-7.1117561683599423E-2</v>
      </c>
      <c r="AQ79" s="27">
        <f t="shared" si="154"/>
        <v>-0.25520833333333337</v>
      </c>
      <c r="AR79" s="26">
        <f t="shared" si="155"/>
        <v>-49</v>
      </c>
      <c r="AS79" s="30"/>
      <c r="AT79" s="27" t="str">
        <f t="shared" si="156"/>
        <v/>
      </c>
      <c r="AU79" s="27" t="str">
        <f t="shared" si="157"/>
        <v/>
      </c>
      <c r="AV79" s="26" t="str">
        <f t="shared" si="158"/>
        <v/>
      </c>
      <c r="AW79" s="27" t="str">
        <f t="shared" si="159"/>
        <v/>
      </c>
      <c r="AX79" s="27" t="str">
        <f t="shared" si="160"/>
        <v/>
      </c>
      <c r="AY79" s="26" t="str">
        <f t="shared" si="161"/>
        <v/>
      </c>
      <c r="AZ79" s="31"/>
      <c r="BA79" s="26" t="str">
        <f t="shared" si="162"/>
        <v/>
      </c>
      <c r="BB79" s="27" t="str">
        <f t="shared" si="163"/>
        <v/>
      </c>
      <c r="BC79" s="27" t="str">
        <f t="shared" si="164"/>
        <v/>
      </c>
      <c r="BD79" s="26" t="str">
        <f t="shared" si="165"/>
        <v/>
      </c>
      <c r="BE79" s="27" t="str">
        <f t="shared" si="166"/>
        <v/>
      </c>
      <c r="BF79" s="27" t="str">
        <f t="shared" si="167"/>
        <v/>
      </c>
      <c r="BG79" s="26" t="str">
        <f t="shared" si="168"/>
        <v/>
      </c>
      <c r="BH79" s="26" t="str">
        <f t="shared" si="169"/>
        <v/>
      </c>
      <c r="BI79" s="26" t="str">
        <f t="shared" si="170"/>
        <v/>
      </c>
      <c r="BJ79" s="26" t="str">
        <f t="shared" si="171"/>
        <v/>
      </c>
      <c r="BK79" s="26" t="str">
        <f t="shared" si="172"/>
        <v/>
      </c>
      <c r="BL79" s="26" t="str">
        <f t="shared" si="173"/>
        <v/>
      </c>
      <c r="BM79" s="26" t="str">
        <f t="shared" si="174"/>
        <v/>
      </c>
      <c r="BN79" s="26" t="str">
        <f t="shared" si="175"/>
        <v/>
      </c>
      <c r="BO79" s="26" t="str">
        <f t="shared" si="176"/>
        <v/>
      </c>
      <c r="BP79" s="26" t="str">
        <f t="shared" si="177"/>
        <v/>
      </c>
      <c r="BQ79" s="26" t="str">
        <f t="shared" si="178"/>
        <v/>
      </c>
      <c r="BR79" s="32" t="str">
        <f t="shared" si="179"/>
        <v/>
      </c>
      <c r="BS79" s="27" t="str">
        <f t="shared" si="180"/>
        <v/>
      </c>
      <c r="BT79" s="32" t="str">
        <f t="shared" si="181"/>
        <v/>
      </c>
      <c r="BU79" s="27" t="str">
        <f t="shared" si="182"/>
        <v/>
      </c>
    </row>
    <row r="80" spans="1:73" x14ac:dyDescent="0.3">
      <c r="A80" s="22" t="str">
        <f>'📊 Исходные данные'!A79</f>
        <v>Брокколи Хортекс 400г</v>
      </c>
      <c r="B80" s="23" t="str">
        <f>'📊 Исходные данные'!B79</f>
        <v>4610088414673</v>
      </c>
      <c r="C80" s="24">
        <f>'📊 Исходные данные'!C79</f>
        <v>155.1</v>
      </c>
      <c r="D80" s="24">
        <f>'📊 Исходные данные'!D79</f>
        <v>210</v>
      </c>
      <c r="E80" s="25" t="str">
        <f t="shared" si="122"/>
        <v>🟡 На уровне</v>
      </c>
      <c r="F80" s="26">
        <f>IFERROR(AVERAGE('📊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>205</v>
      </c>
      <c r="G80" s="26">
        <f>IFERROR(MEDIAN('📊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>205</v>
      </c>
      <c r="H80" s="26">
        <f>IFERROR(MIN('📊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>205</v>
      </c>
      <c r="I80" s="26">
        <f>IFERROR(MAX('📊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>205</v>
      </c>
      <c r="J80" s="27">
        <f t="shared" si="123"/>
        <v>2.4390243902439025E-2</v>
      </c>
      <c r="K80" s="27">
        <f t="shared" si="124"/>
        <v>2.4390243902439025E-2</v>
      </c>
      <c r="L80" s="27">
        <f t="shared" si="125"/>
        <v>2.4390243902439025E-2</v>
      </c>
      <c r="M80" s="28" t="str">
        <f>IFERROR(RANK(D80,('📊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данные'!K79)),"")</f>
        <v/>
      </c>
      <c r="N80" s="25" t="str">
        <f t="shared" si="126"/>
        <v>—</v>
      </c>
      <c r="O80" s="27">
        <f t="shared" si="127"/>
        <v>0.35396518375241787</v>
      </c>
      <c r="P80" s="27">
        <f t="shared" si="128"/>
        <v>0.26142857142857145</v>
      </c>
      <c r="Q80" s="26">
        <f t="shared" si="129"/>
        <v>54.900000000000006</v>
      </c>
      <c r="R80" s="25" t="str">
        <f t="shared" si="130"/>
        <v>🟢 Хорошая(&gt;20%)</v>
      </c>
      <c r="S80" s="25" t="str">
        <f t="shared" si="131"/>
        <v>🟢 НИЗКИЙ</v>
      </c>
      <c r="T80" s="29"/>
      <c r="U80" s="26" t="str">
        <f t="shared" si="132"/>
        <v/>
      </c>
      <c r="V80" s="26" t="str">
        <f t="shared" si="133"/>
        <v/>
      </c>
      <c r="W80" s="27" t="e">
        <f t="shared" si="134"/>
        <v>#VALUE!</v>
      </c>
      <c r="X80" s="26">
        <f t="shared" si="135"/>
        <v>205</v>
      </c>
      <c r="Y80" s="27">
        <f t="shared" si="136"/>
        <v>0.32172791747259838</v>
      </c>
      <c r="Z80" s="27">
        <f t="shared" si="137"/>
        <v>0.24341463414634149</v>
      </c>
      <c r="AA80" s="26">
        <f t="shared" si="138"/>
        <v>49.900000000000006</v>
      </c>
      <c r="AB80" s="27">
        <f t="shared" si="139"/>
        <v>-2.3809523809523808E-2</v>
      </c>
      <c r="AC80" s="27">
        <f t="shared" si="140"/>
        <v>-6.8905771024923373E-2</v>
      </c>
      <c r="AD80" s="26">
        <f t="shared" si="141"/>
        <v>-5</v>
      </c>
      <c r="AE80" s="26">
        <f t="shared" si="142"/>
        <v>205</v>
      </c>
      <c r="AF80" s="27">
        <f t="shared" si="143"/>
        <v>0.32172791747259838</v>
      </c>
      <c r="AG80" s="27">
        <f t="shared" si="144"/>
        <v>0.24341463414634149</v>
      </c>
      <c r="AH80" s="26">
        <f t="shared" si="145"/>
        <v>49.900000000000006</v>
      </c>
      <c r="AI80" s="27">
        <f t="shared" si="146"/>
        <v>-2.3809523809523808E-2</v>
      </c>
      <c r="AJ80" s="27">
        <f t="shared" si="147"/>
        <v>-6.8905771024923373E-2</v>
      </c>
      <c r="AK80" s="26">
        <f t="shared" si="148"/>
        <v>-5</v>
      </c>
      <c r="AL80" s="26">
        <f t="shared" si="149"/>
        <v>205</v>
      </c>
      <c r="AM80" s="27">
        <f t="shared" si="150"/>
        <v>0.32172791747259838</v>
      </c>
      <c r="AN80" s="27">
        <f t="shared" si="151"/>
        <v>0.24341463414634149</v>
      </c>
      <c r="AO80" s="26">
        <f t="shared" si="152"/>
        <v>49.900000000000006</v>
      </c>
      <c r="AP80" s="27">
        <f t="shared" si="153"/>
        <v>-2.3809523809523808E-2</v>
      </c>
      <c r="AQ80" s="27">
        <f t="shared" si="154"/>
        <v>-6.8905771024923373E-2</v>
      </c>
      <c r="AR80" s="26">
        <f t="shared" si="155"/>
        <v>-5</v>
      </c>
      <c r="AS80" s="30"/>
      <c r="AT80" s="27" t="str">
        <f t="shared" si="156"/>
        <v/>
      </c>
      <c r="AU80" s="27" t="str">
        <f t="shared" si="157"/>
        <v/>
      </c>
      <c r="AV80" s="26" t="str">
        <f t="shared" si="158"/>
        <v/>
      </c>
      <c r="AW80" s="27" t="str">
        <f t="shared" si="159"/>
        <v/>
      </c>
      <c r="AX80" s="27" t="str">
        <f t="shared" si="160"/>
        <v/>
      </c>
      <c r="AY80" s="26" t="str">
        <f t="shared" si="161"/>
        <v/>
      </c>
      <c r="AZ80" s="31"/>
      <c r="BA80" s="26" t="str">
        <f t="shared" si="162"/>
        <v/>
      </c>
      <c r="BB80" s="27" t="str">
        <f t="shared" si="163"/>
        <v/>
      </c>
      <c r="BC80" s="27" t="str">
        <f t="shared" si="164"/>
        <v/>
      </c>
      <c r="BD80" s="26" t="str">
        <f t="shared" si="165"/>
        <v/>
      </c>
      <c r="BE80" s="27" t="str">
        <f t="shared" si="166"/>
        <v/>
      </c>
      <c r="BF80" s="27" t="str">
        <f t="shared" si="167"/>
        <v/>
      </c>
      <c r="BG80" s="26" t="str">
        <f t="shared" si="168"/>
        <v/>
      </c>
      <c r="BH80" s="26" t="str">
        <f t="shared" si="169"/>
        <v/>
      </c>
      <c r="BI80" s="26" t="str">
        <f t="shared" si="170"/>
        <v/>
      </c>
      <c r="BJ80" s="26" t="str">
        <f t="shared" si="171"/>
        <v/>
      </c>
      <c r="BK80" s="26" t="str">
        <f t="shared" si="172"/>
        <v/>
      </c>
      <c r="BL80" s="26" t="str">
        <f t="shared" si="173"/>
        <v/>
      </c>
      <c r="BM80" s="26" t="str">
        <f t="shared" si="174"/>
        <v/>
      </c>
      <c r="BN80" s="26" t="str">
        <f t="shared" si="175"/>
        <v/>
      </c>
      <c r="BO80" s="26" t="str">
        <f t="shared" si="176"/>
        <v/>
      </c>
      <c r="BP80" s="26" t="str">
        <f t="shared" si="177"/>
        <v/>
      </c>
      <c r="BQ80" s="26" t="str">
        <f t="shared" si="178"/>
        <v/>
      </c>
      <c r="BR80" s="32" t="str">
        <f t="shared" si="179"/>
        <v/>
      </c>
      <c r="BS80" s="27" t="str">
        <f t="shared" si="180"/>
        <v/>
      </c>
      <c r="BT80" s="32" t="str">
        <f t="shared" si="181"/>
        <v/>
      </c>
      <c r="BU80" s="27" t="str">
        <f t="shared" si="182"/>
        <v/>
      </c>
    </row>
    <row r="81" spans="1:73" x14ac:dyDescent="0.3">
      <c r="A81" s="22" t="str">
        <f>'📊 Исходные данные'!A80</f>
        <v>Салат Vip Хортекс 400г</v>
      </c>
      <c r="B81" s="23" t="str">
        <f>'📊 Исходные данные'!B80</f>
        <v>4610088414710</v>
      </c>
      <c r="C81" s="24">
        <f>'📊 Исходные данные'!C80</f>
        <v>124.8</v>
      </c>
      <c r="D81" s="24">
        <f>'📊 Исходные данные'!D80</f>
        <v>169</v>
      </c>
      <c r="E81" s="25" t="str">
        <f t="shared" si="122"/>
        <v>—</v>
      </c>
      <c r="F81" s="26" t="str">
        <f>IFERROR(AVERAGE('📊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G81" s="26" t="str">
        <f>IFERROR(MEDIAN('📊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H81" s="26">
        <f>IFERROR(MIN('📊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>0</v>
      </c>
      <c r="I81" s="26">
        <f>IFERROR(MAX('📊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>0</v>
      </c>
      <c r="J81" s="27" t="str">
        <f t="shared" si="123"/>
        <v/>
      </c>
      <c r="K81" s="27" t="str">
        <f t="shared" si="124"/>
        <v/>
      </c>
      <c r="L81" s="27" t="e">
        <f t="shared" si="125"/>
        <v>#DIV/0!</v>
      </c>
      <c r="M81" s="28" t="str">
        <f>IFERROR(RANK(D81,('📊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данные'!K80)),"")</f>
        <v/>
      </c>
      <c r="N81" s="25" t="str">
        <f t="shared" si="126"/>
        <v>—</v>
      </c>
      <c r="O81" s="27">
        <f t="shared" si="127"/>
        <v>0.35416666666666669</v>
      </c>
      <c r="P81" s="27">
        <f t="shared" si="128"/>
        <v>0.26153846153846155</v>
      </c>
      <c r="Q81" s="26">
        <f t="shared" si="129"/>
        <v>44.2</v>
      </c>
      <c r="R81" s="25" t="str">
        <f t="shared" si="130"/>
        <v>🟢 Хорошая(&gt;20%)</v>
      </c>
      <c r="S81" s="25" t="e">
        <f t="shared" si="131"/>
        <v>#DIV/0!</v>
      </c>
      <c r="T81" s="29"/>
      <c r="U81" s="26" t="str">
        <f t="shared" si="132"/>
        <v/>
      </c>
      <c r="V81" s="26" t="str">
        <f t="shared" si="133"/>
        <v/>
      </c>
      <c r="W81" s="27" t="e">
        <f t="shared" si="134"/>
        <v>#VALUE!</v>
      </c>
      <c r="X81" s="26" t="str">
        <f t="shared" si="135"/>
        <v/>
      </c>
      <c r="Y81" s="27" t="str">
        <f t="shared" si="136"/>
        <v/>
      </c>
      <c r="Z81" s="27" t="str">
        <f t="shared" si="137"/>
        <v/>
      </c>
      <c r="AA81" s="26" t="str">
        <f t="shared" si="138"/>
        <v/>
      </c>
      <c r="AB81" s="27" t="str">
        <f t="shared" si="139"/>
        <v/>
      </c>
      <c r="AC81" s="27" t="str">
        <f t="shared" si="140"/>
        <v/>
      </c>
      <c r="AD81" s="26" t="str">
        <f t="shared" si="141"/>
        <v/>
      </c>
      <c r="AE81" s="26" t="str">
        <f t="shared" si="142"/>
        <v/>
      </c>
      <c r="AF81" s="27" t="str">
        <f t="shared" si="143"/>
        <v/>
      </c>
      <c r="AG81" s="27" t="str">
        <f t="shared" si="144"/>
        <v/>
      </c>
      <c r="AH81" s="26" t="str">
        <f t="shared" si="145"/>
        <v/>
      </c>
      <c r="AI81" s="27" t="str">
        <f t="shared" si="146"/>
        <v/>
      </c>
      <c r="AJ81" s="27" t="str">
        <f t="shared" si="147"/>
        <v/>
      </c>
      <c r="AK81" s="26" t="str">
        <f t="shared" si="148"/>
        <v/>
      </c>
      <c r="AL81" s="26">
        <f t="shared" si="149"/>
        <v>0</v>
      </c>
      <c r="AM81" s="27">
        <f t="shared" si="150"/>
        <v>-1</v>
      </c>
      <c r="AN81" s="27" t="str">
        <f t="shared" si="151"/>
        <v/>
      </c>
      <c r="AO81" s="26">
        <f t="shared" si="152"/>
        <v>-124.8</v>
      </c>
      <c r="AP81" s="27">
        <f t="shared" si="153"/>
        <v>-1</v>
      </c>
      <c r="AQ81" s="27" t="str">
        <f t="shared" si="154"/>
        <v/>
      </c>
      <c r="AR81" s="26">
        <f t="shared" si="155"/>
        <v>-169</v>
      </c>
      <c r="AS81" s="30"/>
      <c r="AT81" s="27" t="str">
        <f t="shared" si="156"/>
        <v/>
      </c>
      <c r="AU81" s="27" t="str">
        <f t="shared" si="157"/>
        <v/>
      </c>
      <c r="AV81" s="26" t="str">
        <f t="shared" si="158"/>
        <v/>
      </c>
      <c r="AW81" s="27" t="str">
        <f t="shared" si="159"/>
        <v/>
      </c>
      <c r="AX81" s="27" t="str">
        <f t="shared" si="160"/>
        <v/>
      </c>
      <c r="AY81" s="26" t="str">
        <f t="shared" si="161"/>
        <v/>
      </c>
      <c r="AZ81" s="31"/>
      <c r="BA81" s="26" t="str">
        <f t="shared" si="162"/>
        <v/>
      </c>
      <c r="BB81" s="27" t="str">
        <f t="shared" si="163"/>
        <v/>
      </c>
      <c r="BC81" s="27" t="str">
        <f t="shared" si="164"/>
        <v/>
      </c>
      <c r="BD81" s="26" t="str">
        <f t="shared" si="165"/>
        <v/>
      </c>
      <c r="BE81" s="27" t="str">
        <f t="shared" si="166"/>
        <v/>
      </c>
      <c r="BF81" s="27" t="str">
        <f t="shared" si="167"/>
        <v/>
      </c>
      <c r="BG81" s="26" t="str">
        <f t="shared" si="168"/>
        <v/>
      </c>
      <c r="BH81" s="26" t="str">
        <f t="shared" si="169"/>
        <v/>
      </c>
      <c r="BI81" s="26" t="str">
        <f t="shared" si="170"/>
        <v/>
      </c>
      <c r="BJ81" s="26" t="str">
        <f t="shared" si="171"/>
        <v/>
      </c>
      <c r="BK81" s="26" t="str">
        <f t="shared" si="172"/>
        <v/>
      </c>
      <c r="BL81" s="26" t="str">
        <f t="shared" si="173"/>
        <v/>
      </c>
      <c r="BM81" s="26" t="str">
        <f t="shared" si="174"/>
        <v/>
      </c>
      <c r="BN81" s="26" t="str">
        <f t="shared" si="175"/>
        <v/>
      </c>
      <c r="BO81" s="26" t="str">
        <f t="shared" si="176"/>
        <v/>
      </c>
      <c r="BP81" s="26" t="str">
        <f t="shared" si="177"/>
        <v/>
      </c>
      <c r="BQ81" s="26" t="str">
        <f t="shared" si="178"/>
        <v/>
      </c>
      <c r="BR81" s="32" t="str">
        <f t="shared" si="179"/>
        <v/>
      </c>
      <c r="BS81" s="27" t="str">
        <f t="shared" si="180"/>
        <v/>
      </c>
      <c r="BT81" s="32" t="str">
        <f t="shared" si="181"/>
        <v/>
      </c>
      <c r="BU81" s="27" t="str">
        <f t="shared" si="182"/>
        <v/>
      </c>
    </row>
    <row r="82" spans="1:73" x14ac:dyDescent="0.3">
      <c r="A82" s="22" t="str">
        <f>'📊 Исходные данные'!A81</f>
        <v>Филе цыпленка Приосколье Халяль</v>
      </c>
      <c r="B82" s="23" t="str">
        <f>'📊 Исходные данные'!B81</f>
        <v>2189791</v>
      </c>
      <c r="C82" s="24">
        <f>'📊 Исходные данные'!C81</f>
        <v>490</v>
      </c>
      <c r="D82" s="24">
        <f>'📊 Исходные данные'!D81</f>
        <v>649</v>
      </c>
      <c r="E82" s="25" t="str">
        <f t="shared" si="122"/>
        <v>🟡 На уровне</v>
      </c>
      <c r="F82" s="26">
        <f>IFERROR(AVERAGE('📊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>644</v>
      </c>
      <c r="G82" s="26">
        <f>IFERROR(MEDIAN('📊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>644</v>
      </c>
      <c r="H82" s="26">
        <f>IFERROR(MIN('📊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>613</v>
      </c>
      <c r="I82" s="26">
        <f>IFERROR(MAX('📊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>675</v>
      </c>
      <c r="J82" s="27">
        <f t="shared" si="123"/>
        <v>7.763975155279503E-3</v>
      </c>
      <c r="K82" s="27">
        <f t="shared" si="124"/>
        <v>7.763975155279503E-3</v>
      </c>
      <c r="L82" s="27">
        <f t="shared" si="125"/>
        <v>5.872756933115824E-2</v>
      </c>
      <c r="M82" s="28" t="str">
        <f>IFERROR(RANK(D82,('📊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данные'!K81)),"")</f>
        <v/>
      </c>
      <c r="N82" s="25" t="str">
        <f t="shared" si="126"/>
        <v>—</v>
      </c>
      <c r="O82" s="27">
        <f t="shared" si="127"/>
        <v>0.32448979591836735</v>
      </c>
      <c r="P82" s="27">
        <f t="shared" si="128"/>
        <v>0.24499229583975346</v>
      </c>
      <c r="Q82" s="26">
        <f t="shared" si="129"/>
        <v>159</v>
      </c>
      <c r="R82" s="25" t="str">
        <f t="shared" si="130"/>
        <v>🟢 Хорошая(&gt;20%)</v>
      </c>
      <c r="S82" s="25" t="str">
        <f t="shared" si="131"/>
        <v>🟢 НИЗКИЙ</v>
      </c>
      <c r="T82" s="29"/>
      <c r="U82" s="26" t="str">
        <f t="shared" si="132"/>
        <v/>
      </c>
      <c r="V82" s="26" t="str">
        <f t="shared" si="133"/>
        <v/>
      </c>
      <c r="W82" s="27" t="e">
        <f t="shared" si="134"/>
        <v>#VALUE!</v>
      </c>
      <c r="X82" s="26">
        <f t="shared" si="135"/>
        <v>644</v>
      </c>
      <c r="Y82" s="27">
        <f t="shared" si="136"/>
        <v>0.31428571428571428</v>
      </c>
      <c r="Z82" s="27">
        <f t="shared" si="137"/>
        <v>0.2391304347826087</v>
      </c>
      <c r="AA82" s="26">
        <f t="shared" si="138"/>
        <v>154</v>
      </c>
      <c r="AB82" s="27">
        <f t="shared" si="139"/>
        <v>-7.7041602465331279E-3</v>
      </c>
      <c r="AC82" s="27">
        <f t="shared" si="140"/>
        <v>-2.3926715887339293E-2</v>
      </c>
      <c r="AD82" s="26">
        <f t="shared" si="141"/>
        <v>-5</v>
      </c>
      <c r="AE82" s="26">
        <f t="shared" si="142"/>
        <v>644</v>
      </c>
      <c r="AF82" s="27">
        <f t="shared" si="143"/>
        <v>0.31428571428571428</v>
      </c>
      <c r="AG82" s="27">
        <f t="shared" si="144"/>
        <v>0.2391304347826087</v>
      </c>
      <c r="AH82" s="26">
        <f t="shared" si="145"/>
        <v>154</v>
      </c>
      <c r="AI82" s="27">
        <f t="shared" si="146"/>
        <v>-7.7041602465331279E-3</v>
      </c>
      <c r="AJ82" s="27">
        <f t="shared" si="147"/>
        <v>-2.3926715887339293E-2</v>
      </c>
      <c r="AK82" s="26">
        <f t="shared" si="148"/>
        <v>-5</v>
      </c>
      <c r="AL82" s="26">
        <f t="shared" si="149"/>
        <v>613</v>
      </c>
      <c r="AM82" s="27">
        <f t="shared" si="150"/>
        <v>0.25102040816326532</v>
      </c>
      <c r="AN82" s="27">
        <f t="shared" si="151"/>
        <v>0.20065252854812399</v>
      </c>
      <c r="AO82" s="26">
        <f t="shared" si="152"/>
        <v>123</v>
      </c>
      <c r="AP82" s="27">
        <f t="shared" si="153"/>
        <v>-5.5469953775038522E-2</v>
      </c>
      <c r="AQ82" s="27">
        <f t="shared" si="154"/>
        <v>-0.18098433315891527</v>
      </c>
      <c r="AR82" s="26">
        <f t="shared" si="155"/>
        <v>-36</v>
      </c>
      <c r="AS82" s="30"/>
      <c r="AT82" s="27" t="str">
        <f t="shared" si="156"/>
        <v/>
      </c>
      <c r="AU82" s="27" t="str">
        <f t="shared" si="157"/>
        <v/>
      </c>
      <c r="AV82" s="26" t="str">
        <f t="shared" si="158"/>
        <v/>
      </c>
      <c r="AW82" s="27" t="str">
        <f t="shared" si="159"/>
        <v/>
      </c>
      <c r="AX82" s="27" t="str">
        <f t="shared" si="160"/>
        <v/>
      </c>
      <c r="AY82" s="26" t="str">
        <f t="shared" si="161"/>
        <v/>
      </c>
      <c r="AZ82" s="31"/>
      <c r="BA82" s="26" t="str">
        <f t="shared" si="162"/>
        <v/>
      </c>
      <c r="BB82" s="27" t="str">
        <f t="shared" si="163"/>
        <v/>
      </c>
      <c r="BC82" s="27" t="str">
        <f t="shared" si="164"/>
        <v/>
      </c>
      <c r="BD82" s="26" t="str">
        <f t="shared" si="165"/>
        <v/>
      </c>
      <c r="BE82" s="27" t="str">
        <f t="shared" si="166"/>
        <v/>
      </c>
      <c r="BF82" s="27" t="str">
        <f t="shared" si="167"/>
        <v/>
      </c>
      <c r="BG82" s="26" t="str">
        <f t="shared" si="168"/>
        <v/>
      </c>
      <c r="BH82" s="26" t="str">
        <f t="shared" si="169"/>
        <v/>
      </c>
      <c r="BI82" s="26" t="str">
        <f t="shared" si="170"/>
        <v/>
      </c>
      <c r="BJ82" s="26" t="str">
        <f t="shared" si="171"/>
        <v/>
      </c>
      <c r="BK82" s="26" t="str">
        <f t="shared" si="172"/>
        <v/>
      </c>
      <c r="BL82" s="26" t="str">
        <f t="shared" si="173"/>
        <v/>
      </c>
      <c r="BM82" s="26" t="str">
        <f t="shared" si="174"/>
        <v/>
      </c>
      <c r="BN82" s="26" t="str">
        <f t="shared" si="175"/>
        <v/>
      </c>
      <c r="BO82" s="26" t="str">
        <f t="shared" si="176"/>
        <v/>
      </c>
      <c r="BP82" s="26" t="str">
        <f t="shared" si="177"/>
        <v/>
      </c>
      <c r="BQ82" s="26" t="str">
        <f t="shared" si="178"/>
        <v/>
      </c>
      <c r="BR82" s="32" t="str">
        <f t="shared" si="179"/>
        <v/>
      </c>
      <c r="BS82" s="27" t="str">
        <f t="shared" si="180"/>
        <v/>
      </c>
      <c r="BT82" s="32" t="str">
        <f t="shared" si="181"/>
        <v/>
      </c>
      <c r="BU82" s="27" t="str">
        <f t="shared" si="182"/>
        <v/>
      </c>
    </row>
    <row r="83" spans="1:73" x14ac:dyDescent="0.3">
      <c r="A83" s="22" t="str">
        <f>'📊 Исходные данные'!A82</f>
        <v>Яйцо куриное Первая категория 10шт</v>
      </c>
      <c r="B83" s="23" t="str">
        <f>'📊 Исходные данные'!B82</f>
        <v>4603728302539</v>
      </c>
      <c r="C83" s="24">
        <f>'📊 Исходные данные'!C82</f>
        <v>64.16</v>
      </c>
      <c r="D83" s="24">
        <f>'📊 Исходные данные'!D82</f>
        <v>75</v>
      </c>
      <c r="E83" s="25" t="str">
        <f t="shared" si="122"/>
        <v>🔴 Выше рынка</v>
      </c>
      <c r="F83" s="26">
        <f>IFERROR(AVERAGE('📊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>67</v>
      </c>
      <c r="G83" s="26">
        <f>IFERROR(MEDIAN('📊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>67</v>
      </c>
      <c r="H83" s="26">
        <f>IFERROR(MIN('📊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>67</v>
      </c>
      <c r="I83" s="26">
        <f>IFERROR(MAX('📊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>67</v>
      </c>
      <c r="J83" s="27">
        <f t="shared" si="123"/>
        <v>0.11940298507462686</v>
      </c>
      <c r="K83" s="27">
        <f t="shared" si="124"/>
        <v>0.11940298507462686</v>
      </c>
      <c r="L83" s="27">
        <f t="shared" si="125"/>
        <v>0.11940298507462686</v>
      </c>
      <c r="M83" s="28" t="str">
        <f>IFERROR(RANK(D83,('📊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данные'!K82)),"")</f>
        <v/>
      </c>
      <c r="N83" s="25" t="str">
        <f t="shared" si="126"/>
        <v>—</v>
      </c>
      <c r="O83" s="27">
        <f t="shared" si="127"/>
        <v>0.16895261845386539</v>
      </c>
      <c r="P83" s="27">
        <f t="shared" si="128"/>
        <v>0.14453333333333337</v>
      </c>
      <c r="Q83" s="26">
        <f t="shared" si="129"/>
        <v>10.840000000000003</v>
      </c>
      <c r="R83" s="25" t="str">
        <f t="shared" si="130"/>
        <v>🟡 Средняя(10-20%)</v>
      </c>
      <c r="S83" s="25" t="str">
        <f t="shared" si="131"/>
        <v>🔴 КРИТИЧНО</v>
      </c>
      <c r="T83" s="29"/>
      <c r="U83" s="26" t="str">
        <f t="shared" si="132"/>
        <v/>
      </c>
      <c r="V83" s="26" t="str">
        <f t="shared" si="133"/>
        <v/>
      </c>
      <c r="W83" s="27" t="e">
        <f t="shared" si="134"/>
        <v>#VALUE!</v>
      </c>
      <c r="X83" s="26">
        <f t="shared" si="135"/>
        <v>67</v>
      </c>
      <c r="Y83" s="27">
        <f t="shared" si="136"/>
        <v>4.4264339152119754E-2</v>
      </c>
      <c r="Z83" s="27">
        <f t="shared" si="137"/>
        <v>4.2388059701492585E-2</v>
      </c>
      <c r="AA83" s="26">
        <f t="shared" si="138"/>
        <v>2.8400000000000034</v>
      </c>
      <c r="AB83" s="27">
        <f t="shared" si="139"/>
        <v>-0.10666666666666667</v>
      </c>
      <c r="AC83" s="27">
        <f t="shared" si="140"/>
        <v>-0.70672467918709003</v>
      </c>
      <c r="AD83" s="26">
        <f t="shared" si="141"/>
        <v>-8</v>
      </c>
      <c r="AE83" s="26">
        <f t="shared" si="142"/>
        <v>67</v>
      </c>
      <c r="AF83" s="27">
        <f t="shared" si="143"/>
        <v>4.4264339152119754E-2</v>
      </c>
      <c r="AG83" s="27">
        <f t="shared" si="144"/>
        <v>4.2388059701492585E-2</v>
      </c>
      <c r="AH83" s="26">
        <f t="shared" si="145"/>
        <v>2.8400000000000034</v>
      </c>
      <c r="AI83" s="27">
        <f t="shared" si="146"/>
        <v>-0.10666666666666667</v>
      </c>
      <c r="AJ83" s="27">
        <f t="shared" si="147"/>
        <v>-0.70672467918709003</v>
      </c>
      <c r="AK83" s="26">
        <f t="shared" si="148"/>
        <v>-8</v>
      </c>
      <c r="AL83" s="26">
        <f t="shared" si="149"/>
        <v>67</v>
      </c>
      <c r="AM83" s="27">
        <f t="shared" si="150"/>
        <v>4.4264339152119754E-2</v>
      </c>
      <c r="AN83" s="27">
        <f t="shared" si="151"/>
        <v>4.2388059701492585E-2</v>
      </c>
      <c r="AO83" s="26">
        <f t="shared" si="152"/>
        <v>2.8400000000000034</v>
      </c>
      <c r="AP83" s="27">
        <f t="shared" si="153"/>
        <v>-0.10666666666666667</v>
      </c>
      <c r="AQ83" s="27">
        <f t="shared" si="154"/>
        <v>-0.70672467918709003</v>
      </c>
      <c r="AR83" s="26">
        <f t="shared" si="155"/>
        <v>-8</v>
      </c>
      <c r="AS83" s="30"/>
      <c r="AT83" s="27" t="str">
        <f t="shared" si="156"/>
        <v/>
      </c>
      <c r="AU83" s="27" t="str">
        <f t="shared" si="157"/>
        <v/>
      </c>
      <c r="AV83" s="26" t="str">
        <f t="shared" si="158"/>
        <v/>
      </c>
      <c r="AW83" s="27" t="str">
        <f t="shared" si="159"/>
        <v/>
      </c>
      <c r="AX83" s="27" t="str">
        <f t="shared" si="160"/>
        <v/>
      </c>
      <c r="AY83" s="26" t="str">
        <f t="shared" si="161"/>
        <v/>
      </c>
      <c r="AZ83" s="31"/>
      <c r="BA83" s="26" t="str">
        <f t="shared" si="162"/>
        <v/>
      </c>
      <c r="BB83" s="27" t="str">
        <f t="shared" si="163"/>
        <v/>
      </c>
      <c r="BC83" s="27" t="str">
        <f t="shared" si="164"/>
        <v/>
      </c>
      <c r="BD83" s="26" t="str">
        <f t="shared" si="165"/>
        <v/>
      </c>
      <c r="BE83" s="27" t="str">
        <f t="shared" si="166"/>
        <v/>
      </c>
      <c r="BF83" s="27" t="str">
        <f t="shared" si="167"/>
        <v/>
      </c>
      <c r="BG83" s="26" t="str">
        <f t="shared" si="168"/>
        <v/>
      </c>
      <c r="BH83" s="26" t="str">
        <f t="shared" si="169"/>
        <v/>
      </c>
      <c r="BI83" s="26" t="str">
        <f t="shared" si="170"/>
        <v/>
      </c>
      <c r="BJ83" s="26" t="str">
        <f t="shared" si="171"/>
        <v/>
      </c>
      <c r="BK83" s="26" t="str">
        <f t="shared" si="172"/>
        <v/>
      </c>
      <c r="BL83" s="26" t="str">
        <f t="shared" si="173"/>
        <v/>
      </c>
      <c r="BM83" s="26" t="str">
        <f t="shared" si="174"/>
        <v/>
      </c>
      <c r="BN83" s="26" t="str">
        <f t="shared" si="175"/>
        <v/>
      </c>
      <c r="BO83" s="26" t="str">
        <f t="shared" si="176"/>
        <v/>
      </c>
      <c r="BP83" s="26" t="str">
        <f t="shared" si="177"/>
        <v/>
      </c>
      <c r="BQ83" s="26" t="str">
        <f t="shared" si="178"/>
        <v/>
      </c>
      <c r="BR83" s="32" t="str">
        <f t="shared" si="179"/>
        <v/>
      </c>
      <c r="BS83" s="27" t="str">
        <f t="shared" si="180"/>
        <v/>
      </c>
      <c r="BT83" s="32" t="str">
        <f t="shared" si="181"/>
        <v/>
      </c>
      <c r="BU83" s="27" t="str">
        <f t="shared" si="182"/>
        <v/>
      </c>
    </row>
    <row r="84" spans="1:73" x14ac:dyDescent="0.3">
      <c r="A84" s="22" t="str">
        <f>'📊 Исходные данные'!A83</f>
        <v>Яйцо куриное Отборное 10шт К</v>
      </c>
      <c r="B84" s="23" t="str">
        <f>'📊 Исходные данные'!B83</f>
        <v>4626015440226</v>
      </c>
      <c r="C84" s="24">
        <f>'📊 Исходные данные'!C83</f>
        <v>62</v>
      </c>
      <c r="D84" s="24">
        <f>'📊 Исходные данные'!D83</f>
        <v>75</v>
      </c>
      <c r="E84" s="25" t="str">
        <f t="shared" si="122"/>
        <v>🟢 Ниже рынка</v>
      </c>
      <c r="F84" s="26">
        <f>IFERROR(AVERAGE('📊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>82.6</v>
      </c>
      <c r="G84" s="26">
        <f>IFERROR(MEDIAN('📊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>76</v>
      </c>
      <c r="H84" s="26">
        <f>IFERROR(MIN('📊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>70</v>
      </c>
      <c r="I84" s="26">
        <f>IFERROR(MAX('📊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>102</v>
      </c>
      <c r="J84" s="27">
        <f t="shared" si="123"/>
        <v>-9.2009685230024146E-2</v>
      </c>
      <c r="K84" s="27">
        <f t="shared" si="124"/>
        <v>-1.3157894736842105E-2</v>
      </c>
      <c r="L84" s="27">
        <f t="shared" si="125"/>
        <v>7.1428571428571425E-2</v>
      </c>
      <c r="M84" s="28">
        <f>IFERROR(RANK(D84,('📊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данные'!K83)),"")</f>
        <v>4</v>
      </c>
      <c r="N84" s="25" t="str">
        <f t="shared" si="126"/>
        <v>🟡 Средний</v>
      </c>
      <c r="O84" s="27">
        <f t="shared" si="127"/>
        <v>0.20967741935483872</v>
      </c>
      <c r="P84" s="27">
        <f t="shared" si="128"/>
        <v>0.17333333333333334</v>
      </c>
      <c r="Q84" s="26">
        <f t="shared" si="129"/>
        <v>13</v>
      </c>
      <c r="R84" s="25" t="str">
        <f t="shared" si="130"/>
        <v>🟡 Средняя(10-20%)</v>
      </c>
      <c r="S84" s="25" t="str">
        <f t="shared" si="131"/>
        <v>🟡 УМЕРЕННЫЙ</v>
      </c>
      <c r="T84" s="29"/>
      <c r="U84" s="26" t="str">
        <f t="shared" si="132"/>
        <v/>
      </c>
      <c r="V84" s="26" t="str">
        <f t="shared" si="133"/>
        <v/>
      </c>
      <c r="W84" s="27" t="e">
        <f t="shared" si="134"/>
        <v>#VALUE!</v>
      </c>
      <c r="X84" s="26">
        <f t="shared" si="135"/>
        <v>82.6</v>
      </c>
      <c r="Y84" s="27">
        <f t="shared" si="136"/>
        <v>0.33225806451612894</v>
      </c>
      <c r="Z84" s="27">
        <f t="shared" si="137"/>
        <v>0.24939467312348662</v>
      </c>
      <c r="AA84" s="26">
        <f t="shared" si="138"/>
        <v>20.599999999999994</v>
      </c>
      <c r="AB84" s="27">
        <f t="shared" si="139"/>
        <v>0.10133333333333326</v>
      </c>
      <c r="AC84" s="27">
        <f t="shared" si="140"/>
        <v>0.43881542186626893</v>
      </c>
      <c r="AD84" s="26">
        <f t="shared" si="141"/>
        <v>7.5999999999999943</v>
      </c>
      <c r="AE84" s="26">
        <f t="shared" si="142"/>
        <v>76</v>
      </c>
      <c r="AF84" s="27">
        <f t="shared" si="143"/>
        <v>0.22580645161290322</v>
      </c>
      <c r="AG84" s="27">
        <f t="shared" si="144"/>
        <v>0.18421052631578946</v>
      </c>
      <c r="AH84" s="26">
        <f t="shared" si="145"/>
        <v>14</v>
      </c>
      <c r="AI84" s="27">
        <f t="shared" si="146"/>
        <v>1.3333333333333334E-2</v>
      </c>
      <c r="AJ84" s="27">
        <f t="shared" si="147"/>
        <v>6.2753036437246862E-2</v>
      </c>
      <c r="AK84" s="26">
        <f t="shared" si="148"/>
        <v>1</v>
      </c>
      <c r="AL84" s="26">
        <f t="shared" si="149"/>
        <v>70</v>
      </c>
      <c r="AM84" s="27">
        <f t="shared" si="150"/>
        <v>0.12903225806451613</v>
      </c>
      <c r="AN84" s="27">
        <f t="shared" si="151"/>
        <v>0.11428571428571428</v>
      </c>
      <c r="AO84" s="26">
        <f t="shared" si="152"/>
        <v>8</v>
      </c>
      <c r="AP84" s="27">
        <f t="shared" si="153"/>
        <v>-6.6666666666666666E-2</v>
      </c>
      <c r="AQ84" s="27">
        <f t="shared" si="154"/>
        <v>-0.34065934065934073</v>
      </c>
      <c r="AR84" s="26">
        <f t="shared" si="155"/>
        <v>-5</v>
      </c>
      <c r="AS84" s="30"/>
      <c r="AT84" s="27" t="str">
        <f t="shared" si="156"/>
        <v/>
      </c>
      <c r="AU84" s="27" t="str">
        <f t="shared" si="157"/>
        <v/>
      </c>
      <c r="AV84" s="26" t="str">
        <f t="shared" si="158"/>
        <v/>
      </c>
      <c r="AW84" s="27" t="str">
        <f t="shared" si="159"/>
        <v/>
      </c>
      <c r="AX84" s="27" t="str">
        <f t="shared" si="160"/>
        <v/>
      </c>
      <c r="AY84" s="26" t="str">
        <f t="shared" si="161"/>
        <v/>
      </c>
      <c r="AZ84" s="31"/>
      <c r="BA84" s="26" t="str">
        <f t="shared" si="162"/>
        <v/>
      </c>
      <c r="BB84" s="27" t="str">
        <f t="shared" si="163"/>
        <v/>
      </c>
      <c r="BC84" s="27" t="str">
        <f t="shared" si="164"/>
        <v/>
      </c>
      <c r="BD84" s="26" t="str">
        <f t="shared" si="165"/>
        <v/>
      </c>
      <c r="BE84" s="27" t="str">
        <f t="shared" si="166"/>
        <v/>
      </c>
      <c r="BF84" s="27" t="str">
        <f t="shared" si="167"/>
        <v/>
      </c>
      <c r="BG84" s="26" t="str">
        <f t="shared" si="168"/>
        <v/>
      </c>
      <c r="BH84" s="26" t="str">
        <f t="shared" si="169"/>
        <v/>
      </c>
      <c r="BI84" s="26" t="str">
        <f t="shared" si="170"/>
        <v/>
      </c>
      <c r="BJ84" s="26" t="str">
        <f t="shared" si="171"/>
        <v/>
      </c>
      <c r="BK84" s="26" t="str">
        <f t="shared" si="172"/>
        <v/>
      </c>
      <c r="BL84" s="26" t="str">
        <f t="shared" si="173"/>
        <v/>
      </c>
      <c r="BM84" s="26" t="str">
        <f t="shared" si="174"/>
        <v/>
      </c>
      <c r="BN84" s="26" t="str">
        <f t="shared" si="175"/>
        <v/>
      </c>
      <c r="BO84" s="26" t="str">
        <f t="shared" si="176"/>
        <v/>
      </c>
      <c r="BP84" s="26" t="str">
        <f t="shared" si="177"/>
        <v/>
      </c>
      <c r="BQ84" s="26" t="str">
        <f t="shared" si="178"/>
        <v/>
      </c>
      <c r="BR84" s="32" t="str">
        <f t="shared" si="179"/>
        <v/>
      </c>
      <c r="BS84" s="27" t="str">
        <f t="shared" si="180"/>
        <v/>
      </c>
      <c r="BT84" s="32" t="str">
        <f t="shared" si="181"/>
        <v/>
      </c>
      <c r="BU84" s="27" t="str">
        <f t="shared" si="182"/>
        <v/>
      </c>
    </row>
    <row r="85" spans="1:73" x14ac:dyDescent="0.3">
      <c r="A85" s="22" t="str">
        <f>'📊 Исходные данные'!A84</f>
        <v>Яйцо перепелиное 20шт бум/уп</v>
      </c>
      <c r="B85" s="23" t="str">
        <f>'📊 Исходные данные'!B84</f>
        <v>4606910000015</v>
      </c>
      <c r="C85" s="24">
        <f>'📊 Исходные данные'!C84</f>
        <v>100</v>
      </c>
      <c r="D85" s="24">
        <f>'📊 Исходные данные'!D84</f>
        <v>120</v>
      </c>
      <c r="E85" s="25" t="str">
        <f t="shared" si="122"/>
        <v>🟡 На уровне</v>
      </c>
      <c r="F85" s="26">
        <f>IFERROR(AVERAGE('📊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>124.66666666666667</v>
      </c>
      <c r="G85" s="26">
        <f>IFERROR(MEDIAN('📊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>127</v>
      </c>
      <c r="H85" s="26">
        <f>IFERROR(MIN('📊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>118</v>
      </c>
      <c r="I85" s="26">
        <f>IFERROR(MAX('📊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>129</v>
      </c>
      <c r="J85" s="27">
        <f t="shared" si="123"/>
        <v>-3.7433155080213942E-2</v>
      </c>
      <c r="K85" s="27">
        <f t="shared" si="124"/>
        <v>-5.5118110236220472E-2</v>
      </c>
      <c r="L85" s="27">
        <f t="shared" si="125"/>
        <v>1.6949152542372881E-2</v>
      </c>
      <c r="M85" s="28" t="str">
        <f>IFERROR(RANK(D85,('📊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данные'!K84)),"")</f>
        <v/>
      </c>
      <c r="N85" s="25" t="str">
        <f t="shared" si="126"/>
        <v>—</v>
      </c>
      <c r="O85" s="27">
        <f t="shared" si="127"/>
        <v>0.2</v>
      </c>
      <c r="P85" s="27">
        <f t="shared" si="128"/>
        <v>0.16666666666666666</v>
      </c>
      <c r="Q85" s="26">
        <f t="shared" si="129"/>
        <v>20</v>
      </c>
      <c r="R85" s="25" t="str">
        <f t="shared" si="130"/>
        <v>🟡 Средняя(10-20%)</v>
      </c>
      <c r="S85" s="25" t="str">
        <f t="shared" si="131"/>
        <v>🟢 НИЗКИЙ</v>
      </c>
      <c r="T85" s="29"/>
      <c r="U85" s="26" t="str">
        <f t="shared" si="132"/>
        <v/>
      </c>
      <c r="V85" s="26" t="str">
        <f t="shared" si="133"/>
        <v/>
      </c>
      <c r="W85" s="27" t="e">
        <f t="shared" si="134"/>
        <v>#VALUE!</v>
      </c>
      <c r="X85" s="26">
        <f t="shared" si="135"/>
        <v>124.66666666666667</v>
      </c>
      <c r="Y85" s="27">
        <f t="shared" si="136"/>
        <v>0.2466666666666667</v>
      </c>
      <c r="Z85" s="27">
        <f t="shared" si="137"/>
        <v>0.19786096256684496</v>
      </c>
      <c r="AA85" s="26">
        <f t="shared" si="138"/>
        <v>24.666666666666671</v>
      </c>
      <c r="AB85" s="27">
        <f t="shared" si="139"/>
        <v>3.8888888888888931E-2</v>
      </c>
      <c r="AC85" s="27">
        <f t="shared" si="140"/>
        <v>0.18716577540106982</v>
      </c>
      <c r="AD85" s="26">
        <f t="shared" si="141"/>
        <v>4.6666666666666714</v>
      </c>
      <c r="AE85" s="26">
        <f t="shared" si="142"/>
        <v>127</v>
      </c>
      <c r="AF85" s="27">
        <f t="shared" si="143"/>
        <v>0.27</v>
      </c>
      <c r="AG85" s="27">
        <f t="shared" si="144"/>
        <v>0.2125984251968504</v>
      </c>
      <c r="AH85" s="26">
        <f t="shared" si="145"/>
        <v>27</v>
      </c>
      <c r="AI85" s="27">
        <f t="shared" si="146"/>
        <v>5.8333333333333334E-2</v>
      </c>
      <c r="AJ85" s="27">
        <f t="shared" si="147"/>
        <v>0.27559055118110248</v>
      </c>
      <c r="AK85" s="26">
        <f t="shared" si="148"/>
        <v>7</v>
      </c>
      <c r="AL85" s="26">
        <f t="shared" si="149"/>
        <v>118</v>
      </c>
      <c r="AM85" s="27">
        <f t="shared" si="150"/>
        <v>0.18</v>
      </c>
      <c r="AN85" s="27">
        <f t="shared" si="151"/>
        <v>0.15254237288135594</v>
      </c>
      <c r="AO85" s="26">
        <f t="shared" si="152"/>
        <v>18</v>
      </c>
      <c r="AP85" s="27">
        <f t="shared" si="153"/>
        <v>-1.6666666666666666E-2</v>
      </c>
      <c r="AQ85" s="27">
        <f t="shared" si="154"/>
        <v>-8.4745762711864292E-2</v>
      </c>
      <c r="AR85" s="26">
        <f t="shared" si="155"/>
        <v>-2</v>
      </c>
      <c r="AS85" s="30"/>
      <c r="AT85" s="27" t="str">
        <f t="shared" si="156"/>
        <v/>
      </c>
      <c r="AU85" s="27" t="str">
        <f t="shared" si="157"/>
        <v/>
      </c>
      <c r="AV85" s="26" t="str">
        <f t="shared" si="158"/>
        <v/>
      </c>
      <c r="AW85" s="27" t="str">
        <f t="shared" si="159"/>
        <v/>
      </c>
      <c r="AX85" s="27" t="str">
        <f t="shared" si="160"/>
        <v/>
      </c>
      <c r="AY85" s="26" t="str">
        <f t="shared" si="161"/>
        <v/>
      </c>
      <c r="AZ85" s="31"/>
      <c r="BA85" s="26" t="str">
        <f t="shared" si="162"/>
        <v/>
      </c>
      <c r="BB85" s="27" t="str">
        <f t="shared" si="163"/>
        <v/>
      </c>
      <c r="BC85" s="27" t="str">
        <f t="shared" si="164"/>
        <v/>
      </c>
      <c r="BD85" s="26" t="str">
        <f t="shared" si="165"/>
        <v/>
      </c>
      <c r="BE85" s="27" t="str">
        <f t="shared" si="166"/>
        <v/>
      </c>
      <c r="BF85" s="27" t="str">
        <f t="shared" si="167"/>
        <v/>
      </c>
      <c r="BG85" s="26" t="str">
        <f t="shared" si="168"/>
        <v/>
      </c>
      <c r="BH85" s="26" t="str">
        <f t="shared" si="169"/>
        <v/>
      </c>
      <c r="BI85" s="26" t="str">
        <f t="shared" si="170"/>
        <v/>
      </c>
      <c r="BJ85" s="26" t="str">
        <f t="shared" si="171"/>
        <v/>
      </c>
      <c r="BK85" s="26" t="str">
        <f t="shared" si="172"/>
        <v/>
      </c>
      <c r="BL85" s="26" t="str">
        <f t="shared" si="173"/>
        <v/>
      </c>
      <c r="BM85" s="26" t="str">
        <f t="shared" si="174"/>
        <v/>
      </c>
      <c r="BN85" s="26" t="str">
        <f t="shared" si="175"/>
        <v/>
      </c>
      <c r="BO85" s="26" t="str">
        <f t="shared" si="176"/>
        <v/>
      </c>
      <c r="BP85" s="26" t="str">
        <f t="shared" si="177"/>
        <v/>
      </c>
      <c r="BQ85" s="26" t="str">
        <f t="shared" si="178"/>
        <v/>
      </c>
      <c r="BR85" s="32" t="str">
        <f t="shared" si="179"/>
        <v/>
      </c>
      <c r="BS85" s="27" t="str">
        <f t="shared" si="180"/>
        <v/>
      </c>
      <c r="BT85" s="32" t="str">
        <f t="shared" si="181"/>
        <v/>
      </c>
      <c r="BU85" s="27" t="str">
        <f t="shared" si="182"/>
        <v/>
      </c>
    </row>
    <row r="86" spans="1:73" x14ac:dyDescent="0.3">
      <c r="A86" s="22" t="str">
        <f>'📊 Исходные данные'!A85</f>
        <v>Курица фермерская п/ф</v>
      </c>
      <c r="B86" s="23">
        <f>'📊 Исходные данные'!B85</f>
        <v>0</v>
      </c>
      <c r="C86" s="24">
        <f>'📊 Исходные данные'!C85</f>
        <v>219</v>
      </c>
      <c r="D86" s="24">
        <f>'📊 Исходные данные'!D85</f>
        <v>315</v>
      </c>
      <c r="E86" s="25" t="str">
        <f t="shared" si="122"/>
        <v>🔴 Выше рынка</v>
      </c>
      <c r="F86" s="26">
        <f>IFERROR(AVERAGE('📊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>207</v>
      </c>
      <c r="G86" s="26">
        <f>IFERROR(MEDIAN('📊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>207</v>
      </c>
      <c r="H86" s="26">
        <f>IFERROR(MIN('📊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>207</v>
      </c>
      <c r="I86" s="26">
        <f>IFERROR(MAX('📊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>207</v>
      </c>
      <c r="J86" s="27">
        <f t="shared" si="123"/>
        <v>0.52173913043478259</v>
      </c>
      <c r="K86" s="27">
        <f t="shared" si="124"/>
        <v>0.52173913043478259</v>
      </c>
      <c r="L86" s="27">
        <f t="shared" si="125"/>
        <v>0.52173913043478259</v>
      </c>
      <c r="M86" s="28" t="str">
        <f>IFERROR(RANK(D86,('📊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данные'!K85)),"")</f>
        <v/>
      </c>
      <c r="N86" s="25" t="str">
        <f t="shared" si="126"/>
        <v>—</v>
      </c>
      <c r="O86" s="27">
        <f t="shared" si="127"/>
        <v>0.43835616438356162</v>
      </c>
      <c r="P86" s="27">
        <f t="shared" si="128"/>
        <v>0.30476190476190479</v>
      </c>
      <c r="Q86" s="26">
        <f t="shared" si="129"/>
        <v>96</v>
      </c>
      <c r="R86" s="25" t="str">
        <f t="shared" si="130"/>
        <v>🟢 Хорошая(&gt;20%)</v>
      </c>
      <c r="S86" s="25" t="str">
        <f t="shared" si="131"/>
        <v>🔴 КРИТИЧНО</v>
      </c>
      <c r="T86" s="29"/>
      <c r="U86" s="26" t="str">
        <f t="shared" si="132"/>
        <v/>
      </c>
      <c r="V86" s="26" t="str">
        <f t="shared" si="133"/>
        <v/>
      </c>
      <c r="W86" s="27" t="e">
        <f t="shared" si="134"/>
        <v>#VALUE!</v>
      </c>
      <c r="X86" s="26">
        <f t="shared" si="135"/>
        <v>207</v>
      </c>
      <c r="Y86" s="27">
        <f t="shared" si="136"/>
        <v>-5.4794520547945202E-2</v>
      </c>
      <c r="Z86" s="27">
        <f t="shared" si="137"/>
        <v>-5.7971014492753624E-2</v>
      </c>
      <c r="AA86" s="26">
        <f t="shared" si="138"/>
        <v>-12</v>
      </c>
      <c r="AB86" s="27">
        <f t="shared" si="139"/>
        <v>-0.34285714285714286</v>
      </c>
      <c r="AC86" s="27">
        <f t="shared" si="140"/>
        <v>-1.1902173913043477</v>
      </c>
      <c r="AD86" s="26">
        <f t="shared" si="141"/>
        <v>-108</v>
      </c>
      <c r="AE86" s="26">
        <f t="shared" si="142"/>
        <v>207</v>
      </c>
      <c r="AF86" s="27">
        <f t="shared" si="143"/>
        <v>-5.4794520547945202E-2</v>
      </c>
      <c r="AG86" s="27">
        <f t="shared" si="144"/>
        <v>-5.7971014492753624E-2</v>
      </c>
      <c r="AH86" s="26">
        <f t="shared" si="145"/>
        <v>-12</v>
      </c>
      <c r="AI86" s="27">
        <f t="shared" si="146"/>
        <v>-0.34285714285714286</v>
      </c>
      <c r="AJ86" s="27">
        <f t="shared" si="147"/>
        <v>-1.1902173913043477</v>
      </c>
      <c r="AK86" s="26">
        <f t="shared" si="148"/>
        <v>-108</v>
      </c>
      <c r="AL86" s="26">
        <f t="shared" si="149"/>
        <v>207</v>
      </c>
      <c r="AM86" s="27">
        <f t="shared" si="150"/>
        <v>-5.4794520547945202E-2</v>
      </c>
      <c r="AN86" s="27">
        <f t="shared" si="151"/>
        <v>-5.7971014492753624E-2</v>
      </c>
      <c r="AO86" s="26">
        <f t="shared" si="152"/>
        <v>-12</v>
      </c>
      <c r="AP86" s="27">
        <f t="shared" si="153"/>
        <v>-0.34285714285714286</v>
      </c>
      <c r="AQ86" s="27">
        <f t="shared" si="154"/>
        <v>-1.1902173913043477</v>
      </c>
      <c r="AR86" s="26">
        <f t="shared" si="155"/>
        <v>-108</v>
      </c>
      <c r="AS86" s="30"/>
      <c r="AT86" s="27" t="str">
        <f t="shared" si="156"/>
        <v/>
      </c>
      <c r="AU86" s="27" t="str">
        <f t="shared" si="157"/>
        <v/>
      </c>
      <c r="AV86" s="26" t="str">
        <f t="shared" si="158"/>
        <v/>
      </c>
      <c r="AW86" s="27" t="str">
        <f t="shared" si="159"/>
        <v/>
      </c>
      <c r="AX86" s="27" t="str">
        <f t="shared" si="160"/>
        <v/>
      </c>
      <c r="AY86" s="26" t="str">
        <f t="shared" si="161"/>
        <v/>
      </c>
      <c r="AZ86" s="31"/>
      <c r="BA86" s="26" t="str">
        <f t="shared" si="162"/>
        <v/>
      </c>
      <c r="BB86" s="27" t="str">
        <f t="shared" si="163"/>
        <v/>
      </c>
      <c r="BC86" s="27" t="str">
        <f t="shared" si="164"/>
        <v/>
      </c>
      <c r="BD86" s="26" t="str">
        <f t="shared" si="165"/>
        <v/>
      </c>
      <c r="BE86" s="27" t="str">
        <f t="shared" si="166"/>
        <v/>
      </c>
      <c r="BF86" s="27" t="str">
        <f t="shared" si="167"/>
        <v/>
      </c>
      <c r="BG86" s="26" t="str">
        <f t="shared" si="168"/>
        <v/>
      </c>
      <c r="BH86" s="26" t="str">
        <f t="shared" si="169"/>
        <v/>
      </c>
      <c r="BI86" s="26" t="str">
        <f t="shared" si="170"/>
        <v/>
      </c>
      <c r="BJ86" s="26" t="str">
        <f t="shared" si="171"/>
        <v/>
      </c>
      <c r="BK86" s="26" t="str">
        <f t="shared" si="172"/>
        <v/>
      </c>
      <c r="BL86" s="26" t="str">
        <f t="shared" si="173"/>
        <v/>
      </c>
      <c r="BM86" s="26" t="str">
        <f t="shared" si="174"/>
        <v/>
      </c>
      <c r="BN86" s="26" t="str">
        <f t="shared" si="175"/>
        <v/>
      </c>
      <c r="BO86" s="26" t="str">
        <f t="shared" si="176"/>
        <v/>
      </c>
      <c r="BP86" s="26" t="str">
        <f t="shared" si="177"/>
        <v/>
      </c>
      <c r="BQ86" s="26" t="str">
        <f t="shared" si="178"/>
        <v/>
      </c>
      <c r="BR86" s="32" t="str">
        <f t="shared" si="179"/>
        <v/>
      </c>
      <c r="BS86" s="27" t="str">
        <f t="shared" si="180"/>
        <v/>
      </c>
      <c r="BT86" s="32" t="str">
        <f t="shared" si="181"/>
        <v/>
      </c>
      <c r="BU86" s="27" t="str">
        <f t="shared" si="182"/>
        <v/>
      </c>
    </row>
    <row r="87" spans="1:73" x14ac:dyDescent="0.3">
      <c r="A87" s="22" t="str">
        <f>'📊 Исходные данные'!A86</f>
        <v>Уголь 5кг березовый Binchotes</v>
      </c>
      <c r="B87" s="23" t="str">
        <f>'📊 Исходные данные'!B86</f>
        <v>4678597315096</v>
      </c>
      <c r="C87" s="24">
        <f>'📊 Исходные данные'!C86</f>
        <v>0</v>
      </c>
      <c r="D87" s="24">
        <f>'📊 Исходные данные'!D86</f>
        <v>0</v>
      </c>
      <c r="E87" s="25" t="str">
        <f t="shared" si="122"/>
        <v>—</v>
      </c>
      <c r="F87" s="26" t="str">
        <f>IFERROR(AVERAGE('📊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G87" s="26" t="str">
        <f>IFERROR(MEDIAN('📊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H87" s="26">
        <f>IFERROR(MIN('📊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>0</v>
      </c>
      <c r="I87" s="26">
        <f>IFERROR(MAX('📊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>0</v>
      </c>
      <c r="J87" s="27" t="str">
        <f t="shared" si="123"/>
        <v/>
      </c>
      <c r="K87" s="27" t="str">
        <f t="shared" si="124"/>
        <v/>
      </c>
      <c r="L87" s="27" t="e">
        <f t="shared" si="125"/>
        <v>#DIV/0!</v>
      </c>
      <c r="M87" s="28" t="str">
        <f>IFERROR(RANK(D87,('📊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данные'!K86)),"")</f>
        <v/>
      </c>
      <c r="N87" s="25" t="str">
        <f t="shared" si="126"/>
        <v>—</v>
      </c>
      <c r="O87" s="27" t="str">
        <f t="shared" si="127"/>
        <v/>
      </c>
      <c r="P87" s="27" t="str">
        <f t="shared" si="128"/>
        <v/>
      </c>
      <c r="Q87" s="26" t="str">
        <f t="shared" si="129"/>
        <v/>
      </c>
      <c r="R87" s="25" t="str">
        <f t="shared" si="130"/>
        <v>—</v>
      </c>
      <c r="S87" s="25" t="e">
        <f t="shared" si="131"/>
        <v>#DIV/0!</v>
      </c>
      <c r="T87" s="29"/>
      <c r="U87" s="26" t="str">
        <f t="shared" si="132"/>
        <v/>
      </c>
      <c r="V87" s="26" t="str">
        <f t="shared" si="133"/>
        <v/>
      </c>
      <c r="W87" s="27" t="e">
        <f t="shared" si="134"/>
        <v>#VALUE!</v>
      </c>
      <c r="X87" s="26" t="str">
        <f t="shared" si="135"/>
        <v/>
      </c>
      <c r="Y87" s="27" t="str">
        <f t="shared" si="136"/>
        <v/>
      </c>
      <c r="Z87" s="27" t="str">
        <f t="shared" si="137"/>
        <v/>
      </c>
      <c r="AA87" s="26" t="str">
        <f t="shared" si="138"/>
        <v/>
      </c>
      <c r="AB87" s="27" t="str">
        <f t="shared" si="139"/>
        <v/>
      </c>
      <c r="AC87" s="27" t="str">
        <f t="shared" si="140"/>
        <v/>
      </c>
      <c r="AD87" s="26" t="str">
        <f t="shared" si="141"/>
        <v/>
      </c>
      <c r="AE87" s="26" t="str">
        <f t="shared" si="142"/>
        <v/>
      </c>
      <c r="AF87" s="27" t="str">
        <f t="shared" si="143"/>
        <v/>
      </c>
      <c r="AG87" s="27" t="str">
        <f t="shared" si="144"/>
        <v/>
      </c>
      <c r="AH87" s="26" t="str">
        <f t="shared" si="145"/>
        <v/>
      </c>
      <c r="AI87" s="27" t="str">
        <f t="shared" si="146"/>
        <v/>
      </c>
      <c r="AJ87" s="27" t="str">
        <f t="shared" si="147"/>
        <v/>
      </c>
      <c r="AK87" s="26" t="str">
        <f t="shared" si="148"/>
        <v/>
      </c>
      <c r="AL87" s="26">
        <f t="shared" si="149"/>
        <v>0</v>
      </c>
      <c r="AM87" s="27" t="str">
        <f t="shared" si="150"/>
        <v/>
      </c>
      <c r="AN87" s="27" t="str">
        <f t="shared" si="151"/>
        <v/>
      </c>
      <c r="AO87" s="26" t="str">
        <f t="shared" si="152"/>
        <v/>
      </c>
      <c r="AP87" s="27" t="str">
        <f t="shared" si="153"/>
        <v/>
      </c>
      <c r="AQ87" s="27" t="str">
        <f t="shared" si="154"/>
        <v/>
      </c>
      <c r="AR87" s="26" t="str">
        <f t="shared" si="155"/>
        <v/>
      </c>
      <c r="AS87" s="30"/>
      <c r="AT87" s="27" t="str">
        <f t="shared" si="156"/>
        <v/>
      </c>
      <c r="AU87" s="27" t="str">
        <f t="shared" si="157"/>
        <v/>
      </c>
      <c r="AV87" s="26" t="str">
        <f t="shared" si="158"/>
        <v/>
      </c>
      <c r="AW87" s="27" t="str">
        <f t="shared" si="159"/>
        <v/>
      </c>
      <c r="AX87" s="27" t="str">
        <f t="shared" si="160"/>
        <v/>
      </c>
      <c r="AY87" s="26" t="str">
        <f t="shared" si="161"/>
        <v/>
      </c>
      <c r="AZ87" s="31"/>
      <c r="BA87" s="26" t="str">
        <f t="shared" si="162"/>
        <v/>
      </c>
      <c r="BB87" s="27" t="str">
        <f t="shared" si="163"/>
        <v/>
      </c>
      <c r="BC87" s="27" t="str">
        <f t="shared" si="164"/>
        <v/>
      </c>
      <c r="BD87" s="26" t="str">
        <f t="shared" si="165"/>
        <v/>
      </c>
      <c r="BE87" s="27" t="str">
        <f t="shared" si="166"/>
        <v/>
      </c>
      <c r="BF87" s="27" t="str">
        <f t="shared" si="167"/>
        <v/>
      </c>
      <c r="BG87" s="26" t="str">
        <f t="shared" si="168"/>
        <v/>
      </c>
      <c r="BH87" s="26" t="str">
        <f t="shared" si="169"/>
        <v/>
      </c>
      <c r="BI87" s="26" t="str">
        <f t="shared" si="170"/>
        <v/>
      </c>
      <c r="BJ87" s="26" t="str">
        <f t="shared" si="171"/>
        <v/>
      </c>
      <c r="BK87" s="26" t="str">
        <f t="shared" si="172"/>
        <v/>
      </c>
      <c r="BL87" s="26" t="str">
        <f t="shared" si="173"/>
        <v/>
      </c>
      <c r="BM87" s="26" t="str">
        <f t="shared" si="174"/>
        <v/>
      </c>
      <c r="BN87" s="26" t="str">
        <f t="shared" si="175"/>
        <v/>
      </c>
      <c r="BO87" s="26" t="str">
        <f t="shared" si="176"/>
        <v/>
      </c>
      <c r="BP87" s="26" t="str">
        <f t="shared" si="177"/>
        <v/>
      </c>
      <c r="BQ87" s="26" t="str">
        <f t="shared" si="178"/>
        <v/>
      </c>
      <c r="BR87" s="32" t="str">
        <f t="shared" si="179"/>
        <v/>
      </c>
      <c r="BS87" s="27" t="str">
        <f t="shared" si="180"/>
        <v/>
      </c>
      <c r="BT87" s="32" t="str">
        <f t="shared" si="181"/>
        <v/>
      </c>
      <c r="BU87" s="27" t="str">
        <f t="shared" si="182"/>
        <v/>
      </c>
    </row>
    <row r="88" spans="1:73" x14ac:dyDescent="0.3">
      <c r="A88" s="22" t="str">
        <f>'📊 Исходные данные'!A87</f>
        <v>Комплект фумигатор+жидкость 45 ночей Москитолл</v>
      </c>
      <c r="B88" s="23" t="str">
        <f>'📊 Исходные данные'!B87</f>
        <v>4650056490797</v>
      </c>
      <c r="C88" s="24">
        <f>'📊 Исходные данные'!C87</f>
        <v>0</v>
      </c>
      <c r="D88" s="24">
        <f>'📊 Исходные данные'!D87</f>
        <v>0</v>
      </c>
      <c r="E88" s="25" t="str">
        <f t="shared" si="122"/>
        <v>—</v>
      </c>
      <c r="F88" s="26" t="str">
        <f>IFERROR(AVERAGE('📊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G88" s="26" t="str">
        <f>IFERROR(MEDIAN('📊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H88" s="26">
        <f>IFERROR(MIN('📊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>0</v>
      </c>
      <c r="I88" s="26">
        <f>IFERROR(MAX('📊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>0</v>
      </c>
      <c r="J88" s="27" t="str">
        <f t="shared" si="123"/>
        <v/>
      </c>
      <c r="K88" s="27" t="str">
        <f t="shared" si="124"/>
        <v/>
      </c>
      <c r="L88" s="27" t="e">
        <f t="shared" si="125"/>
        <v>#DIV/0!</v>
      </c>
      <c r="M88" s="28" t="str">
        <f>IFERROR(RANK(D88,('📊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данные'!K87)),"")</f>
        <v/>
      </c>
      <c r="N88" s="25" t="str">
        <f t="shared" si="126"/>
        <v>—</v>
      </c>
      <c r="O88" s="27" t="str">
        <f t="shared" si="127"/>
        <v/>
      </c>
      <c r="P88" s="27" t="str">
        <f t="shared" si="128"/>
        <v/>
      </c>
      <c r="Q88" s="26" t="str">
        <f t="shared" si="129"/>
        <v/>
      </c>
      <c r="R88" s="25" t="str">
        <f t="shared" si="130"/>
        <v>—</v>
      </c>
      <c r="S88" s="25" t="e">
        <f t="shared" si="131"/>
        <v>#DIV/0!</v>
      </c>
      <c r="T88" s="29"/>
      <c r="U88" s="26" t="str">
        <f t="shared" si="132"/>
        <v/>
      </c>
      <c r="V88" s="26" t="str">
        <f t="shared" si="133"/>
        <v/>
      </c>
      <c r="W88" s="27" t="e">
        <f t="shared" si="134"/>
        <v>#VALUE!</v>
      </c>
      <c r="X88" s="26" t="str">
        <f t="shared" si="135"/>
        <v/>
      </c>
      <c r="Y88" s="27" t="str">
        <f t="shared" si="136"/>
        <v/>
      </c>
      <c r="Z88" s="27" t="str">
        <f t="shared" si="137"/>
        <v/>
      </c>
      <c r="AA88" s="26" t="str">
        <f t="shared" si="138"/>
        <v/>
      </c>
      <c r="AB88" s="27" t="str">
        <f t="shared" si="139"/>
        <v/>
      </c>
      <c r="AC88" s="27" t="str">
        <f t="shared" si="140"/>
        <v/>
      </c>
      <c r="AD88" s="26" t="str">
        <f t="shared" si="141"/>
        <v/>
      </c>
      <c r="AE88" s="26" t="str">
        <f t="shared" si="142"/>
        <v/>
      </c>
      <c r="AF88" s="27" t="str">
        <f t="shared" si="143"/>
        <v/>
      </c>
      <c r="AG88" s="27" t="str">
        <f t="shared" si="144"/>
        <v/>
      </c>
      <c r="AH88" s="26" t="str">
        <f t="shared" si="145"/>
        <v/>
      </c>
      <c r="AI88" s="27" t="str">
        <f t="shared" si="146"/>
        <v/>
      </c>
      <c r="AJ88" s="27" t="str">
        <f t="shared" si="147"/>
        <v/>
      </c>
      <c r="AK88" s="26" t="str">
        <f t="shared" si="148"/>
        <v/>
      </c>
      <c r="AL88" s="26">
        <f t="shared" si="149"/>
        <v>0</v>
      </c>
      <c r="AM88" s="27" t="str">
        <f t="shared" si="150"/>
        <v/>
      </c>
      <c r="AN88" s="27" t="str">
        <f t="shared" si="151"/>
        <v/>
      </c>
      <c r="AO88" s="26" t="str">
        <f t="shared" si="152"/>
        <v/>
      </c>
      <c r="AP88" s="27" t="str">
        <f t="shared" si="153"/>
        <v/>
      </c>
      <c r="AQ88" s="27" t="str">
        <f t="shared" si="154"/>
        <v/>
      </c>
      <c r="AR88" s="26" t="str">
        <f t="shared" si="155"/>
        <v/>
      </c>
      <c r="AS88" s="30"/>
      <c r="AT88" s="27" t="str">
        <f t="shared" si="156"/>
        <v/>
      </c>
      <c r="AU88" s="27" t="str">
        <f t="shared" si="157"/>
        <v/>
      </c>
      <c r="AV88" s="26" t="str">
        <f t="shared" si="158"/>
        <v/>
      </c>
      <c r="AW88" s="27" t="str">
        <f t="shared" si="159"/>
        <v/>
      </c>
      <c r="AX88" s="27" t="str">
        <f t="shared" si="160"/>
        <v/>
      </c>
      <c r="AY88" s="26" t="str">
        <f t="shared" si="161"/>
        <v/>
      </c>
      <c r="AZ88" s="31"/>
      <c r="BA88" s="26" t="str">
        <f t="shared" si="162"/>
        <v/>
      </c>
      <c r="BB88" s="27" t="str">
        <f t="shared" si="163"/>
        <v/>
      </c>
      <c r="BC88" s="27" t="str">
        <f t="shared" si="164"/>
        <v/>
      </c>
      <c r="BD88" s="26" t="str">
        <f t="shared" si="165"/>
        <v/>
      </c>
      <c r="BE88" s="27" t="str">
        <f t="shared" si="166"/>
        <v/>
      </c>
      <c r="BF88" s="27" t="str">
        <f t="shared" si="167"/>
        <v/>
      </c>
      <c r="BG88" s="26" t="str">
        <f t="shared" si="168"/>
        <v/>
      </c>
      <c r="BH88" s="26" t="str">
        <f t="shared" si="169"/>
        <v/>
      </c>
      <c r="BI88" s="26" t="str">
        <f t="shared" si="170"/>
        <v/>
      </c>
      <c r="BJ88" s="26" t="str">
        <f t="shared" si="171"/>
        <v/>
      </c>
      <c r="BK88" s="26" t="str">
        <f t="shared" si="172"/>
        <v/>
      </c>
      <c r="BL88" s="26" t="str">
        <f t="shared" si="173"/>
        <v/>
      </c>
      <c r="BM88" s="26" t="str">
        <f t="shared" si="174"/>
        <v/>
      </c>
      <c r="BN88" s="26" t="str">
        <f t="shared" si="175"/>
        <v/>
      </c>
      <c r="BO88" s="26" t="str">
        <f t="shared" si="176"/>
        <v/>
      </c>
      <c r="BP88" s="26" t="str">
        <f t="shared" si="177"/>
        <v/>
      </c>
      <c r="BQ88" s="26" t="str">
        <f t="shared" si="178"/>
        <v/>
      </c>
      <c r="BR88" s="32" t="str">
        <f t="shared" si="179"/>
        <v/>
      </c>
      <c r="BS88" s="27" t="str">
        <f t="shared" si="180"/>
        <v/>
      </c>
      <c r="BT88" s="32" t="str">
        <f t="shared" si="181"/>
        <v/>
      </c>
      <c r="BU88" s="27" t="str">
        <f t="shared" si="182"/>
        <v/>
      </c>
    </row>
    <row r="89" spans="1:73" x14ac:dyDescent="0.3">
      <c r="A89" s="22" t="str">
        <f>'📊 Исходные данные'!A88</f>
        <v>Комплект фумигатор+жидкость 30 ночей Раптор</v>
      </c>
      <c r="B89" s="23" t="str">
        <f>'📊 Исходные данные'!B88</f>
        <v>4607131422914</v>
      </c>
      <c r="C89" s="24">
        <f>'📊 Исходные данные'!C88</f>
        <v>0</v>
      </c>
      <c r="D89" s="24">
        <f>'📊 Исходные данные'!D88</f>
        <v>0</v>
      </c>
      <c r="E89" s="25" t="str">
        <f t="shared" si="122"/>
        <v>—</v>
      </c>
      <c r="F89" s="26" t="str">
        <f>IFERROR(AVERAGE('📊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G89" s="26" t="str">
        <f>IFERROR(MEDIAN('📊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H89" s="26">
        <f>IFERROR(MIN('📊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>0</v>
      </c>
      <c r="I89" s="26">
        <f>IFERROR(MAX('📊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>0</v>
      </c>
      <c r="J89" s="27" t="str">
        <f t="shared" si="123"/>
        <v/>
      </c>
      <c r="K89" s="27" t="str">
        <f t="shared" si="124"/>
        <v/>
      </c>
      <c r="L89" s="27" t="e">
        <f t="shared" si="125"/>
        <v>#DIV/0!</v>
      </c>
      <c r="M89" s="28" t="str">
        <f>IFERROR(RANK(D89,('📊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данные'!K88)),"")</f>
        <v/>
      </c>
      <c r="N89" s="25" t="str">
        <f t="shared" si="126"/>
        <v>—</v>
      </c>
      <c r="O89" s="27" t="str">
        <f t="shared" si="127"/>
        <v/>
      </c>
      <c r="P89" s="27" t="str">
        <f t="shared" si="128"/>
        <v/>
      </c>
      <c r="Q89" s="26" t="str">
        <f t="shared" si="129"/>
        <v/>
      </c>
      <c r="R89" s="25" t="str">
        <f t="shared" si="130"/>
        <v>—</v>
      </c>
      <c r="S89" s="25" t="e">
        <f t="shared" si="131"/>
        <v>#DIV/0!</v>
      </c>
      <c r="T89" s="29"/>
      <c r="U89" s="26" t="str">
        <f t="shared" si="132"/>
        <v/>
      </c>
      <c r="V89" s="26" t="str">
        <f t="shared" si="133"/>
        <v/>
      </c>
      <c r="W89" s="27" t="e">
        <f t="shared" si="134"/>
        <v>#VALUE!</v>
      </c>
      <c r="X89" s="26" t="str">
        <f t="shared" si="135"/>
        <v/>
      </c>
      <c r="Y89" s="27" t="str">
        <f t="shared" si="136"/>
        <v/>
      </c>
      <c r="Z89" s="27" t="str">
        <f t="shared" si="137"/>
        <v/>
      </c>
      <c r="AA89" s="26" t="str">
        <f t="shared" si="138"/>
        <v/>
      </c>
      <c r="AB89" s="27" t="str">
        <f t="shared" si="139"/>
        <v/>
      </c>
      <c r="AC89" s="27" t="str">
        <f t="shared" si="140"/>
        <v/>
      </c>
      <c r="AD89" s="26" t="str">
        <f t="shared" si="141"/>
        <v/>
      </c>
      <c r="AE89" s="26" t="str">
        <f t="shared" si="142"/>
        <v/>
      </c>
      <c r="AF89" s="27" t="str">
        <f t="shared" si="143"/>
        <v/>
      </c>
      <c r="AG89" s="27" t="str">
        <f t="shared" si="144"/>
        <v/>
      </c>
      <c r="AH89" s="26" t="str">
        <f t="shared" si="145"/>
        <v/>
      </c>
      <c r="AI89" s="27" t="str">
        <f t="shared" si="146"/>
        <v/>
      </c>
      <c r="AJ89" s="27" t="str">
        <f t="shared" si="147"/>
        <v/>
      </c>
      <c r="AK89" s="26" t="str">
        <f t="shared" si="148"/>
        <v/>
      </c>
      <c r="AL89" s="26">
        <f t="shared" si="149"/>
        <v>0</v>
      </c>
      <c r="AM89" s="27" t="str">
        <f t="shared" si="150"/>
        <v/>
      </c>
      <c r="AN89" s="27" t="str">
        <f t="shared" si="151"/>
        <v/>
      </c>
      <c r="AO89" s="26" t="str">
        <f t="shared" si="152"/>
        <v/>
      </c>
      <c r="AP89" s="27" t="str">
        <f t="shared" si="153"/>
        <v/>
      </c>
      <c r="AQ89" s="27" t="str">
        <f t="shared" si="154"/>
        <v/>
      </c>
      <c r="AR89" s="26" t="str">
        <f t="shared" si="155"/>
        <v/>
      </c>
      <c r="AS89" s="30"/>
      <c r="AT89" s="27" t="str">
        <f t="shared" si="156"/>
        <v/>
      </c>
      <c r="AU89" s="27" t="str">
        <f t="shared" si="157"/>
        <v/>
      </c>
      <c r="AV89" s="26" t="str">
        <f t="shared" si="158"/>
        <v/>
      </c>
      <c r="AW89" s="27" t="str">
        <f t="shared" si="159"/>
        <v/>
      </c>
      <c r="AX89" s="27" t="str">
        <f t="shared" si="160"/>
        <v/>
      </c>
      <c r="AY89" s="26" t="str">
        <f t="shared" si="161"/>
        <v/>
      </c>
      <c r="AZ89" s="31"/>
      <c r="BA89" s="26" t="str">
        <f t="shared" si="162"/>
        <v/>
      </c>
      <c r="BB89" s="27" t="str">
        <f t="shared" si="163"/>
        <v/>
      </c>
      <c r="BC89" s="27" t="str">
        <f t="shared" si="164"/>
        <v/>
      </c>
      <c r="BD89" s="26" t="str">
        <f t="shared" si="165"/>
        <v/>
      </c>
      <c r="BE89" s="27" t="str">
        <f t="shared" si="166"/>
        <v/>
      </c>
      <c r="BF89" s="27" t="str">
        <f t="shared" si="167"/>
        <v/>
      </c>
      <c r="BG89" s="26" t="str">
        <f t="shared" si="168"/>
        <v/>
      </c>
      <c r="BH89" s="26" t="str">
        <f t="shared" si="169"/>
        <v/>
      </c>
      <c r="BI89" s="26" t="str">
        <f t="shared" si="170"/>
        <v/>
      </c>
      <c r="BJ89" s="26" t="str">
        <f t="shared" si="171"/>
        <v/>
      </c>
      <c r="BK89" s="26" t="str">
        <f t="shared" si="172"/>
        <v/>
      </c>
      <c r="BL89" s="26" t="str">
        <f t="shared" si="173"/>
        <v/>
      </c>
      <c r="BM89" s="26" t="str">
        <f t="shared" si="174"/>
        <v/>
      </c>
      <c r="BN89" s="26" t="str">
        <f t="shared" si="175"/>
        <v/>
      </c>
      <c r="BO89" s="26" t="str">
        <f t="shared" si="176"/>
        <v/>
      </c>
      <c r="BP89" s="26" t="str">
        <f t="shared" si="177"/>
        <v/>
      </c>
      <c r="BQ89" s="26" t="str">
        <f t="shared" si="178"/>
        <v/>
      </c>
      <c r="BR89" s="32" t="str">
        <f t="shared" si="179"/>
        <v/>
      </c>
      <c r="BS89" s="27" t="str">
        <f t="shared" si="180"/>
        <v/>
      </c>
      <c r="BT89" s="32" t="str">
        <f t="shared" si="181"/>
        <v/>
      </c>
      <c r="BU89" s="27" t="str">
        <f t="shared" si="182"/>
        <v/>
      </c>
    </row>
  </sheetData>
  <autoFilter ref="A2:BU89"/>
  <mergeCells count="11">
    <mergeCell ref="C1:E1"/>
    <mergeCell ref="AS1:AY1"/>
    <mergeCell ref="O1:S1"/>
    <mergeCell ref="F1:N1"/>
    <mergeCell ref="A1:B1"/>
    <mergeCell ref="T1:W1"/>
    <mergeCell ref="AZ1:BG1"/>
    <mergeCell ref="AL1:AR1"/>
    <mergeCell ref="X1:AD1"/>
    <mergeCell ref="AE1:AK1"/>
    <mergeCell ref="BH1:BU1"/>
  </mergeCells>
  <conditionalFormatting sqref="J3:J89">
    <cfRule type="colorScale" priority="1">
      <colorScale>
        <cfvo type="min"/>
        <cfvo type="num" val="0"/>
        <cfvo type="max"/>
        <color rgb="FF63BE7B"/>
        <color rgb="FFFFEB84"/>
        <color rgb="FFF8696B"/>
      </colorScale>
    </cfRule>
  </conditionalFormatting>
  <conditionalFormatting sqref="P3:P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89">
    <cfRule type="dataBar" priority="3">
      <dataBar>
        <cfvo type="min"/>
        <cfvo type="max"/>
        <color rgb="FF4472C4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G24"/>
  <sheetViews>
    <sheetView showGridLines="0" topLeftCell="A4" workbookViewId="0">
      <selection activeCell="E16" sqref="E16"/>
    </sheetView>
  </sheetViews>
  <sheetFormatPr defaultRowHeight="14.4" x14ac:dyDescent="0.3"/>
  <cols>
    <col min="1" max="1" width="3" customWidth="1"/>
    <col min="2" max="2" width="33.33203125" bestFit="1" customWidth="1"/>
    <col min="3" max="3" width="11.5546875" bestFit="1" customWidth="1"/>
    <col min="4" max="4" width="13.33203125" bestFit="1" customWidth="1"/>
    <col min="5" max="5" width="33.6640625" bestFit="1" customWidth="1"/>
    <col min="6" max="6" width="15.109375" bestFit="1" customWidth="1"/>
    <col min="7" max="7" width="15.44140625" bestFit="1" customWidth="1"/>
    <col min="8" max="8" width="3" customWidth="1"/>
  </cols>
  <sheetData>
    <row r="2" spans="2:7" ht="36" customHeight="1" x14ac:dyDescent="0.3">
      <c r="B2" s="90" t="s">
        <v>306</v>
      </c>
      <c r="C2" s="71"/>
      <c r="D2" s="71"/>
      <c r="E2" s="71"/>
      <c r="F2" s="71"/>
      <c r="G2" s="71"/>
    </row>
    <row r="3" spans="2:7" ht="16.05" customHeight="1" x14ac:dyDescent="0.3">
      <c r="B3" s="89" t="s">
        <v>307</v>
      </c>
      <c r="C3" s="71"/>
      <c r="D3" s="71"/>
      <c r="E3" s="71"/>
      <c r="F3" s="71"/>
      <c r="G3" s="71"/>
    </row>
    <row r="5" spans="2:7" ht="22.05" customHeight="1" x14ac:dyDescent="0.3">
      <c r="B5" s="33" t="s">
        <v>308</v>
      </c>
      <c r="C5" s="10" t="s">
        <v>309</v>
      </c>
      <c r="D5" s="8" t="s">
        <v>310</v>
      </c>
      <c r="E5" s="7" t="s">
        <v>311</v>
      </c>
      <c r="F5" s="7" t="s">
        <v>312</v>
      </c>
      <c r="G5" s="34" t="s">
        <v>313</v>
      </c>
    </row>
    <row r="6" spans="2:7" ht="34.049999999999997" customHeight="1" x14ac:dyDescent="0.3">
      <c r="B6" s="35">
        <f>COUNTA('🔢 Расчеты'!A3:A10000)</f>
        <v>87</v>
      </c>
      <c r="C6" s="35">
        <f>COUNTIF('🔢 Расчеты'!E3:E10000,"🔴 Выше рынка")</f>
        <v>20</v>
      </c>
      <c r="D6" s="35">
        <f>COUNTIF('🔢 Расчеты'!E3:E10000,"🟢 Ниже рынка")</f>
        <v>22</v>
      </c>
      <c r="E6" s="36">
        <f>IFERROR(AVERAGE(IF('🔢 Расчеты'!P3:P89&lt;&gt;"",'🔢 Расчеты'!P3:P89)),"")</f>
        <v>0.23219106445764004</v>
      </c>
      <c r="F6" s="36">
        <f>IFERROR(AVERAGE(IF('🔢 Расчеты'!O3:O89&lt;&gt;"",'🔢 Расчеты'!O3:O89)),"")</f>
        <v>0.31328463582658328</v>
      </c>
      <c r="G6" s="35">
        <f>COUNTIF('🔢 Расчеты'!S3:S10000,"🔴 КРИТИЧНО")</f>
        <v>16</v>
      </c>
    </row>
    <row r="8" spans="2:7" ht="7.95" customHeight="1" x14ac:dyDescent="0.3"/>
    <row r="9" spans="2:7" ht="22.05" customHeight="1" x14ac:dyDescent="0.3">
      <c r="B9" s="33" t="s">
        <v>314</v>
      </c>
      <c r="C9" s="33" t="s">
        <v>315</v>
      </c>
      <c r="D9" s="33" t="s">
        <v>316</v>
      </c>
      <c r="E9" s="7" t="s">
        <v>317</v>
      </c>
      <c r="F9" s="9" t="s">
        <v>318</v>
      </c>
      <c r="G9" s="8" t="s">
        <v>319</v>
      </c>
    </row>
    <row r="10" spans="2:7" ht="34.049999999999997" customHeight="1" x14ac:dyDescent="0.3">
      <c r="B10" s="37">
        <f>IFERROR(AVERAGE(IF('🔢 Расчеты'!Q3:Q89&lt;&gt;"",'🔢 Расчеты'!Q3:Q89)),"")</f>
        <v>59.660263157894725</v>
      </c>
      <c r="C10" s="37">
        <f>IFERROR(AVERAGE(IF('🔢 Расчеты'!D3:D89&lt;&gt;"",'🔢 Расчеты'!D3:D89)),"")</f>
        <v>239.13793103448276</v>
      </c>
      <c r="D10" s="37">
        <f>IFERROR(AVERAGE(IF('🔢 Расчеты'!F3:F89&lt;&gt;"",'🔢 Расчеты'!F3:F89)),"")</f>
        <v>267.66150234741787</v>
      </c>
      <c r="E10" s="38">
        <f>IFERROR(AVERAGE(IF('🔢 Расчеты'!J3:J89&lt;&gt;"",'🔢 Расчеты'!J3:J89)),"")</f>
        <v>2.9365724766202434E-2</v>
      </c>
      <c r="F10" s="35">
        <f>COUNTIF('🔢 Расчеты'!E3:E10000,"🟡 На уровне")</f>
        <v>29</v>
      </c>
      <c r="G10" s="35">
        <f>COUNTIF('🔢 Расчеты'!R3:R10000,"🟢 Хорошая(&gt;20%)")</f>
        <v>50</v>
      </c>
    </row>
    <row r="12" spans="2:7" ht="7.95" customHeight="1" x14ac:dyDescent="0.3"/>
    <row r="13" spans="2:7" ht="22.05" customHeight="1" x14ac:dyDescent="0.3">
      <c r="B13" s="91" t="s">
        <v>320</v>
      </c>
      <c r="C13" s="71"/>
      <c r="D13" s="71"/>
      <c r="E13" s="92" t="s">
        <v>321</v>
      </c>
      <c r="F13" s="71"/>
      <c r="G13" s="71"/>
    </row>
    <row r="14" spans="2:7" ht="18" customHeight="1" x14ac:dyDescent="0.3">
      <c r="B14" s="39" t="s">
        <v>36</v>
      </c>
      <c r="C14" s="39" t="s">
        <v>322</v>
      </c>
      <c r="D14" s="39" t="s">
        <v>323</v>
      </c>
      <c r="E14" s="40" t="s">
        <v>36</v>
      </c>
      <c r="F14" s="40" t="s">
        <v>324</v>
      </c>
      <c r="G14" s="40" t="s">
        <v>325</v>
      </c>
    </row>
    <row r="15" spans="2:7" ht="16.95" customHeight="1" x14ac:dyDescent="0.3">
      <c r="B15" s="2" t="str">
        <f>IFERROR(INDEX('🔢 Расчеты'!A$3:A$89,MATCH(LARGE(IF('🔢 Расчеты'!P$3:P$89&lt;&gt;"",'🔢 Расчеты'!P$3:P$89),1),'🔢 Расчеты'!P$3:P$89,0)),"")</f>
        <v/>
      </c>
      <c r="C15" s="41">
        <f>IFERROR(LARGE(IF('🔢 Расчеты'!P$3:P$89&lt;&gt;"",'🔢 Расчеты'!P$3:P$89),1),"")</f>
        <v>0</v>
      </c>
      <c r="D15" s="26" t="str">
        <f>IFERROR(INDEX('🔢 Расчеты'!Q$3:Q$89,MATCH(LARGE(IF('🔢 Расчеты'!P$3:P$89&lt;&gt;"",'🔢 Расчеты'!P$3:P$89),1),'🔢 Расчеты'!P$3:P$89,0)),"")</f>
        <v/>
      </c>
      <c r="E15" s="2" t="str">
        <f>IFERROR(INDEX('🔢 Расчеты'!A$3:A$89,MATCH(LARGE(IF('🔢 Расчеты'!J$3:J$89&lt;&gt;"",'🔢 Расчеты'!J$3:J$89),1),'🔢 Расчеты'!J$3:J$89,0)),"")</f>
        <v>Мак изд Макфа Спирали 400г</v>
      </c>
      <c r="F15" s="42">
        <f>IFERROR(LARGE(IF('🔢 Расчеты'!J$3:J$89&lt;&gt;"",'🔢 Расчеты'!J$3:J$89),1),"")</f>
        <v>0</v>
      </c>
      <c r="G15" s="26">
        <f>IFERROR(INDEX('🔢 Расчеты'!D$3:D$89,MATCH(LARGE(IF('🔢 Расчеты'!J$3:J$89&lt;&gt;"",'🔢 Расчеты'!J$3:J$89),1),'🔢 Расчеты'!J$3:J$89,0)),"")</f>
        <v>65</v>
      </c>
    </row>
    <row r="16" spans="2:7" ht="16.95" customHeight="1" x14ac:dyDescent="0.3">
      <c r="B16" s="2" t="str">
        <f>IFERROR(INDEX('🔢 Расчеты'!A$3:A$89,MATCH(LARGE(IF('🔢 Расчеты'!P$3:P$89&lt;&gt;"",'🔢 Расчеты'!P$3:P$89),2),'🔢 Расчеты'!P$3:P$89,0)),"")</f>
        <v/>
      </c>
      <c r="C16" s="41" t="str">
        <f>IFERROR(LARGE(IF('🔢 Расчеты'!P$3:P$89&lt;&gt;"",'🔢 Расчеты'!P$3:P$89),2),"")</f>
        <v/>
      </c>
      <c r="D16" s="26" t="str">
        <f>IFERROR(INDEX('🔢 Расчеты'!Q$3:Q$89,MATCH(LARGE(IF('🔢 Расчеты'!P$3:P$89&lt;&gt;"",'🔢 Расчеты'!P$3:P$89),2),'🔢 Расчеты'!P$3:P$89,0)),"")</f>
        <v/>
      </c>
      <c r="E16" s="2" t="str">
        <f>IFERROR(INDEX('🔢 Расчеты'!A$3:A$89,MATCH(LARGE(IF('🔢 Расчеты'!J$3:J$89&lt;&gt;"",'🔢 Расчеты'!J$3:J$89),2),'🔢 Расчеты'!J$3:J$89,0)),"")</f>
        <v/>
      </c>
      <c r="F16" s="42" t="str">
        <f>IFERROR(LARGE(IF('🔢 Расчеты'!J$3:J$89&lt;&gt;"",'🔢 Расчеты'!J$3:J$89),2),"")</f>
        <v/>
      </c>
      <c r="G16" s="26" t="str">
        <f>IFERROR(INDEX('🔢 Расчеты'!D$3:D$89,MATCH(LARGE(IF('🔢 Расчеты'!J$3:J$89&lt;&gt;"",'🔢 Расчеты'!J$3:J$89),2),'🔢 Расчеты'!J$3:J$89,0)),"")</f>
        <v/>
      </c>
    </row>
    <row r="17" spans="2:7" ht="16.95" customHeight="1" x14ac:dyDescent="0.3">
      <c r="B17" s="2" t="str">
        <f>IFERROR(INDEX('🔢 Расчеты'!A$3:A$89,MATCH(LARGE(IF('🔢 Расчеты'!P$3:P$89&lt;&gt;"",'🔢 Расчеты'!P$3:P$89),3),'🔢 Расчеты'!P$3:P$89,0)),"")</f>
        <v/>
      </c>
      <c r="C17" s="41" t="str">
        <f>IFERROR(LARGE(IF('🔢 Расчеты'!P$3:P$89&lt;&gt;"",'🔢 Расчеты'!P$3:P$89),3),"")</f>
        <v/>
      </c>
      <c r="D17" s="26" t="str">
        <f>IFERROR(INDEX('🔢 Расчеты'!Q$3:Q$89,MATCH(LARGE(IF('🔢 Расчеты'!P$3:P$89&lt;&gt;"",'🔢 Расчеты'!P$3:P$89),3),'🔢 Расчеты'!P$3:P$89,0)),"")</f>
        <v/>
      </c>
      <c r="E17" s="2" t="str">
        <f>IFERROR(INDEX('🔢 Расчеты'!A$3:A$89,MATCH(LARGE(IF('🔢 Расчеты'!J$3:J$89&lt;&gt;"",'🔢 Расчеты'!J$3:J$89),3),'🔢 Расчеты'!J$3:J$89,0)),"")</f>
        <v/>
      </c>
      <c r="F17" s="42" t="str">
        <f>IFERROR(LARGE(IF('🔢 Расчеты'!J$3:J$89&lt;&gt;"",'🔢 Расчеты'!J$3:J$89),3),"")</f>
        <v/>
      </c>
      <c r="G17" s="26" t="str">
        <f>IFERROR(INDEX('🔢 Расчеты'!D$3:D$89,MATCH(LARGE(IF('🔢 Расчеты'!J$3:J$89&lt;&gt;"",'🔢 Расчеты'!J$3:J$89),3),'🔢 Расчеты'!J$3:J$89,0)),"")</f>
        <v/>
      </c>
    </row>
    <row r="18" spans="2:7" ht="16.95" customHeight="1" x14ac:dyDescent="0.3">
      <c r="B18" s="2" t="str">
        <f>IFERROR(INDEX('🔢 Расчеты'!A$3:A$89,MATCH(LARGE(IF('🔢 Расчеты'!P$3:P$89&lt;&gt;"",'🔢 Расчеты'!P$3:P$89),4),'🔢 Расчеты'!P$3:P$89,0)),"")</f>
        <v>Напиток Кока Кола пл/б 2л</v>
      </c>
      <c r="C18" s="41">
        <f>IFERROR(LARGE(IF('🔢 Расчеты'!P$3:P$89&lt;&gt;"",'🔢 Расчеты'!P$3:P$89),4),"")</f>
        <v>0.34176744186046509</v>
      </c>
      <c r="D18" s="26">
        <f>IFERROR(INDEX('🔢 Расчеты'!Q$3:Q$89,MATCH(LARGE(IF('🔢 Расчеты'!P$3:P$89&lt;&gt;"",'🔢 Расчеты'!P$3:P$89),4),'🔢 Расчеты'!P$3:P$89,0)),"")</f>
        <v>73.47999999999999</v>
      </c>
      <c r="E18" s="2" t="str">
        <f>IFERROR(INDEX('🔢 Расчеты'!A$3:A$89,MATCH(LARGE(IF('🔢 Расчеты'!J$3:J$89&lt;&gt;"",'🔢 Расчеты'!J$3:J$89),4),'🔢 Расчеты'!J$3:J$89,0)),"")</f>
        <v>Средство AOS для посуды 900г Лимон</v>
      </c>
      <c r="F18" s="42">
        <f>IFERROR(LARGE(IF('🔢 Расчеты'!J$3:J$89&lt;&gt;"",'🔢 Расчеты'!J$3:J$89),4),"")</f>
        <v>0.27156549520766771</v>
      </c>
      <c r="G18" s="26">
        <f>IFERROR(INDEX('🔢 Расчеты'!D$3:D$89,MATCH(LARGE(IF('🔢 Расчеты'!J$3:J$89&lt;&gt;"",'🔢 Расчеты'!J$3:J$89),4),'🔢 Расчеты'!J$3:J$89,0)),"")</f>
        <v>199</v>
      </c>
    </row>
    <row r="19" spans="2:7" ht="16.95" customHeight="1" x14ac:dyDescent="0.3">
      <c r="B19" s="2" t="str">
        <f>IFERROR(INDEX('🔢 Расчеты'!A$3:A$89,MATCH(LARGE(IF('🔢 Расчеты'!P$3:P$89&lt;&gt;"",'🔢 Расчеты'!P$3:P$89),5),'🔢 Расчеты'!P$3:P$89,0)),"")</f>
        <v/>
      </c>
      <c r="C19" s="41" t="str">
        <f>IFERROR(LARGE(IF('🔢 Расчеты'!P$3:P$89&lt;&gt;"",'🔢 Расчеты'!P$3:P$89),5),"")</f>
        <v/>
      </c>
      <c r="D19" s="26" t="str">
        <f>IFERROR(INDEX('🔢 Расчеты'!Q$3:Q$89,MATCH(LARGE(IF('🔢 Расчеты'!P$3:P$89&lt;&gt;"",'🔢 Расчеты'!P$3:P$89),5),'🔢 Расчеты'!P$3:P$89,0)),"")</f>
        <v/>
      </c>
      <c r="E19" s="2" t="str">
        <f>IFERROR(INDEX('🔢 Расчеты'!A$3:A$89,MATCH(LARGE(IF('🔢 Расчеты'!J$3:J$89&lt;&gt;"",'🔢 Расчеты'!J$3:J$89),5),'🔢 Расчеты'!J$3:J$89,0)),"")</f>
        <v/>
      </c>
      <c r="F19" s="42" t="str">
        <f>IFERROR(LARGE(IF('🔢 Расчеты'!J$3:J$89&lt;&gt;"",'🔢 Расчеты'!J$3:J$89),5),"")</f>
        <v/>
      </c>
      <c r="G19" s="26" t="str">
        <f>IFERROR(INDEX('🔢 Расчеты'!D$3:D$89,MATCH(LARGE(IF('🔢 Расчеты'!J$3:J$89&lt;&gt;"",'🔢 Расчеты'!J$3:J$89),5),'🔢 Расчеты'!J$3:J$89,0)),"")</f>
        <v/>
      </c>
    </row>
    <row r="20" spans="2:7" ht="16.95" customHeight="1" x14ac:dyDescent="0.3">
      <c r="B20" s="2" t="str">
        <f>IFERROR(INDEX('🔢 Расчеты'!A$3:A$89,MATCH(LARGE(IF('🔢 Расчеты'!P$3:P$89&lt;&gt;"",'🔢 Расчеты'!P$3:P$89),6),'🔢 Расчеты'!P$3:P$89,0)),"")</f>
        <v>Порошок ABC авт 3кг Лимон</v>
      </c>
      <c r="C20" s="41">
        <f>IFERROR(LARGE(IF('🔢 Расчеты'!P$3:P$89&lt;&gt;"",'🔢 Расчеты'!P$3:P$89),6),"")</f>
        <v>0.33766233766233766</v>
      </c>
      <c r="D20" s="26">
        <f>IFERROR(INDEX('🔢 Расчеты'!Q$3:Q$89,MATCH(LARGE(IF('🔢 Расчеты'!P$3:P$89&lt;&gt;"",'🔢 Расчеты'!P$3:P$89),6),'🔢 Расчеты'!P$3:P$89,0)),"")</f>
        <v>130</v>
      </c>
      <c r="E20" s="2" t="str">
        <f>IFERROR(INDEX('🔢 Расчеты'!A$3:A$89,MATCH(LARGE(IF('🔢 Расчеты'!J$3:J$89&lt;&gt;"",'🔢 Расчеты'!J$3:J$89),6),'🔢 Расчеты'!J$3:J$89,0)),"")</f>
        <v/>
      </c>
      <c r="F20" s="42" t="str">
        <f>IFERROR(LARGE(IF('🔢 Расчеты'!J$3:J$89&lt;&gt;"",'🔢 Расчеты'!J$3:J$89),6),"")</f>
        <v/>
      </c>
      <c r="G20" s="26" t="str">
        <f>IFERROR(INDEX('🔢 Расчеты'!D$3:D$89,MATCH(LARGE(IF('🔢 Расчеты'!J$3:J$89&lt;&gt;"",'🔢 Расчеты'!J$3:J$89),6),'🔢 Расчеты'!J$3:J$89,0)),"")</f>
        <v/>
      </c>
    </row>
    <row r="21" spans="2:7" ht="16.95" customHeight="1" x14ac:dyDescent="0.3">
      <c r="B21" s="2" t="str">
        <f>IFERROR(INDEX('🔢 Расчеты'!A$3:A$89,MATCH(LARGE(IF('🔢 Расчеты'!P$3:P$89&lt;&gt;"",'🔢 Расчеты'!P$3:P$89),7),'🔢 Расчеты'!P$3:P$89,0)),"")</f>
        <v>Рис Тамаша MIAD Индия мешочек 1кг</v>
      </c>
      <c r="C21" s="41">
        <f>IFERROR(LARGE(IF('🔢 Расчеты'!P$3:P$89&lt;&gt;"",'🔢 Расчеты'!P$3:P$89),7),"")</f>
        <v>0.33734939759036142</v>
      </c>
      <c r="D21" s="26">
        <f>IFERROR(INDEX('🔢 Расчеты'!Q$3:Q$89,MATCH(LARGE(IF('🔢 Расчеты'!P$3:P$89&lt;&gt;"",'🔢 Расчеты'!P$3:P$89),7),'🔢 Расчеты'!P$3:P$89,0)),"")</f>
        <v>84</v>
      </c>
      <c r="E21" s="2" t="str">
        <f>IFERROR(INDEX('🔢 Расчеты'!A$3:A$89,MATCH(LARGE(IF('🔢 Расчеты'!J$3:J$89&lt;&gt;"",'🔢 Расчеты'!J$3:J$89),7),'🔢 Расчеты'!J$3:J$89,0)),"")</f>
        <v>Соль Экстра йодированная 500г</v>
      </c>
      <c r="F21" s="42">
        <f>IFERROR(LARGE(IF('🔢 Расчеты'!J$3:J$89&lt;&gt;"",'🔢 Расчеты'!J$3:J$89),7),"")</f>
        <v>0.15909090909090917</v>
      </c>
      <c r="G21" s="26">
        <f>IFERROR(INDEX('🔢 Расчеты'!D$3:D$89,MATCH(LARGE(IF('🔢 Расчеты'!J$3:J$89&lt;&gt;"",'🔢 Расчеты'!J$3:J$89),7),'🔢 Расчеты'!J$3:J$89,0)),"")</f>
        <v>85</v>
      </c>
    </row>
    <row r="22" spans="2:7" ht="16.95" customHeight="1" x14ac:dyDescent="0.3">
      <c r="B22" s="2" t="str">
        <f>IFERROR(INDEX('🔢 Расчеты'!A$3:A$89,MATCH(LARGE(IF('🔢 Расчеты'!P$3:P$89&lt;&gt;"",'🔢 Расчеты'!P$3:P$89),8),'🔢 Расчеты'!P$3:P$89,0)),"")</f>
        <v>Напиток Кока Кола пл/б 1л</v>
      </c>
      <c r="C22" s="41">
        <f>IFERROR(LARGE(IF('🔢 Расчеты'!P$3:P$89&lt;&gt;"",'🔢 Расчеты'!P$3:P$89),8),"")</f>
        <v>0.32859060402684559</v>
      </c>
      <c r="D22" s="26">
        <f>IFERROR(INDEX('🔢 Расчеты'!Q$3:Q$89,MATCH(LARGE(IF('🔢 Расчеты'!P$3:P$89&lt;&gt;"",'🔢 Расчеты'!P$3:P$89),8),'🔢 Расчеты'!P$3:P$89,0)),"")</f>
        <v>48.959999999999994</v>
      </c>
      <c r="E22" s="2" t="str">
        <f>IFERROR(INDEX('🔢 Расчеты'!A$3:A$89,MATCH(LARGE(IF('🔢 Расчеты'!J$3:J$89&lt;&gt;"",'🔢 Расчеты'!J$3:J$89),8),'🔢 Расчеты'!J$3:J$89,0)),"")</f>
        <v>Кешью сырой вес</v>
      </c>
      <c r="F22" s="42">
        <f>IFERROR(LARGE(IF('🔢 Расчеты'!J$3:J$89&lt;&gt;"",'🔢 Расчеты'!J$3:J$89),8),"")</f>
        <v>0.14950393431406084</v>
      </c>
      <c r="G22" s="26">
        <f>IFERROR(INDEX('🔢 Расчеты'!D$3:D$89,MATCH(LARGE(IF('🔢 Расчеты'!J$3:J$89&lt;&gt;"",'🔢 Расчеты'!J$3:J$89),8),'🔢 Расчеты'!J$3:J$89,0)),"")</f>
        <v>1120</v>
      </c>
    </row>
    <row r="23" spans="2:7" ht="16.95" customHeight="1" x14ac:dyDescent="0.3">
      <c r="B23" s="2" t="str">
        <f>IFERROR(INDEX('🔢 Расчеты'!A$3:A$89,MATCH(LARGE(IF('🔢 Расчеты'!P$3:P$89&lt;&gt;"",'🔢 Расчеты'!P$3:P$89),9),'🔢 Расчеты'!P$3:P$89,0)),"")</f>
        <v>Мак изд Барилла №5 Спагетти 450г</v>
      </c>
      <c r="C23" s="41">
        <f>IFERROR(LARGE(IF('🔢 Расчеты'!P$3:P$89&lt;&gt;"",'🔢 Расчеты'!P$3:P$89),9),"")</f>
        <v>0.31268907563025206</v>
      </c>
      <c r="D23" s="26">
        <f>IFERROR(INDEX('🔢 Расчеты'!Q$3:Q$89,MATCH(LARGE(IF('🔢 Расчеты'!P$3:P$89&lt;&gt;"",'🔢 Расчеты'!P$3:P$89),9),'🔢 Расчеты'!P$3:P$89,0)),"")</f>
        <v>37.209999999999994</v>
      </c>
      <c r="E23" s="2" t="str">
        <f>IFERROR(INDEX('🔢 Расчеты'!A$3:A$89,MATCH(LARGE(IF('🔢 Расчеты'!J$3:J$89&lt;&gt;"",'🔢 Расчеты'!J$3:J$89),9),'🔢 Расчеты'!J$3:J$89,0)),"")</f>
        <v>Мак изд Барилла №5 Спагетти 450г</v>
      </c>
      <c r="F23" s="42">
        <f>IFERROR(LARGE(IF('🔢 Расчеты'!J$3:J$89&lt;&gt;"",'🔢 Расчеты'!J$3:J$89),9),"")</f>
        <v>0.14423076923076922</v>
      </c>
      <c r="G23" s="26">
        <f>IFERROR(INDEX('🔢 Расчеты'!D$3:D$89,MATCH(LARGE(IF('🔢 Расчеты'!J$3:J$89&lt;&gt;"",'🔢 Расчеты'!J$3:J$89),9),'🔢 Расчеты'!J$3:J$89,0)),"")</f>
        <v>119</v>
      </c>
    </row>
    <row r="24" spans="2:7" ht="16.95" customHeight="1" x14ac:dyDescent="0.3">
      <c r="B24" s="2" t="str">
        <f>IFERROR(INDEX('🔢 Расчеты'!A$3:A$89,MATCH(LARGE(IF('🔢 Расчеты'!P$3:P$89&lt;&gt;"",'🔢 Расчеты'!P$3:P$89),10),'🔢 Расчеты'!P$3:P$89,0)),"")</f>
        <v>Мак изд Барилла №5 Спагетти 450г</v>
      </c>
      <c r="C24" s="41">
        <f>IFERROR(LARGE(IF('🔢 Расчеты'!P$3:P$89&lt;&gt;"",'🔢 Расчеты'!P$3:P$89),10),"")</f>
        <v>0.31268907563025206</v>
      </c>
      <c r="D24" s="26">
        <f>IFERROR(INDEX('🔢 Расчеты'!Q$3:Q$89,MATCH(LARGE(IF('🔢 Расчеты'!P$3:P$89&lt;&gt;"",'🔢 Расчеты'!P$3:P$89),10),'🔢 Расчеты'!P$3:P$89,0)),"")</f>
        <v>37.209999999999994</v>
      </c>
      <c r="E24" s="2" t="str">
        <f>IFERROR(INDEX('🔢 Расчеты'!A$3:A$89,MATCH(LARGE(IF('🔢 Расчеты'!J$3:J$89&lt;&gt;"",'🔢 Расчеты'!J$3:J$89),10),'🔢 Расчеты'!J$3:J$89,0)),"")</f>
        <v>Чипсы Лейс 140г Сыр</v>
      </c>
      <c r="F24" s="42">
        <f>IFERROR(LARGE(IF('🔢 Расчеты'!J$3:J$89&lt;&gt;"",'🔢 Расчеты'!J$3:J$89),10),"")</f>
        <v>0.1317365269461078</v>
      </c>
      <c r="G24" s="26">
        <f>IFERROR(INDEX('🔢 Расчеты'!D$3:D$89,MATCH(LARGE(IF('🔢 Расчеты'!J$3:J$89&lt;&gt;"",'🔢 Расчеты'!J$3:J$89),10),'🔢 Расчеты'!J$3:J$89,0)),"")</f>
        <v>189</v>
      </c>
    </row>
  </sheetData>
  <mergeCells count="4">
    <mergeCell ref="B3:G3"/>
    <mergeCell ref="B2:G2"/>
    <mergeCell ref="B13:D13"/>
    <mergeCell ref="E13:G13"/>
  </mergeCells>
  <conditionalFormatting sqref="C15:C24">
    <cfRule type="colorScale" priority="1">
      <colorScale>
        <cfvo type="min"/>
        <cfvo type="max"/>
        <color rgb="FFFFEB84"/>
        <color rgb="FF63BE7B"/>
      </colorScale>
    </cfRule>
  </conditionalFormatting>
  <conditionalFormatting sqref="F15:F24">
    <cfRule type="colorScale" priority="2">
      <colorScale>
        <cfvo type="min"/>
        <cfvo type="max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H20"/>
  <sheetViews>
    <sheetView showGridLines="0" workbookViewId="0">
      <selection activeCell="C11" sqref="C11"/>
    </sheetView>
  </sheetViews>
  <sheetFormatPr defaultRowHeight="14.4" x14ac:dyDescent="0.3"/>
  <cols>
    <col min="1" max="1" width="3" customWidth="1"/>
    <col min="2" max="2" width="18.6640625" bestFit="1" customWidth="1"/>
    <col min="3" max="3" width="38.109375" bestFit="1" customWidth="1"/>
    <col min="4" max="4" width="12.6640625" bestFit="1" customWidth="1"/>
    <col min="5" max="5" width="14.33203125" bestFit="1" customWidth="1"/>
    <col min="6" max="6" width="8.77734375" bestFit="1" customWidth="1"/>
    <col min="7" max="7" width="9.88671875" bestFit="1" customWidth="1"/>
    <col min="8" max="8" width="24.21875" bestFit="1" customWidth="1"/>
  </cols>
  <sheetData>
    <row r="2" spans="2:8" ht="31.95" customHeight="1" x14ac:dyDescent="0.3">
      <c r="B2" s="93" t="s">
        <v>326</v>
      </c>
      <c r="C2" s="71"/>
      <c r="D2" s="71"/>
      <c r="E2" s="71"/>
      <c r="F2" s="71"/>
      <c r="G2" s="71"/>
      <c r="H2" s="71"/>
    </row>
    <row r="3" spans="2:8" ht="16.05" customHeight="1" x14ac:dyDescent="0.3">
      <c r="B3" s="77" t="s">
        <v>327</v>
      </c>
      <c r="C3" s="71"/>
      <c r="D3" s="71"/>
      <c r="E3" s="71"/>
      <c r="F3" s="71"/>
      <c r="G3" s="71"/>
      <c r="H3" s="71"/>
    </row>
    <row r="5" spans="2:8" ht="22.05" customHeight="1" x14ac:dyDescent="0.3">
      <c r="B5" s="43" t="s">
        <v>328</v>
      </c>
      <c r="C5" s="43" t="s">
        <v>329</v>
      </c>
      <c r="D5" s="43" t="s">
        <v>330</v>
      </c>
      <c r="E5" s="43" t="s">
        <v>331</v>
      </c>
      <c r="F5" s="43" t="s">
        <v>332</v>
      </c>
      <c r="G5" s="43" t="s">
        <v>333</v>
      </c>
      <c r="H5" s="43" t="s">
        <v>334</v>
      </c>
    </row>
    <row r="6" spans="2:8" ht="22.05" customHeight="1" x14ac:dyDescent="0.3">
      <c r="B6" s="44" t="s">
        <v>335</v>
      </c>
      <c r="C6" s="45" t="s">
        <v>336</v>
      </c>
      <c r="D6" s="46">
        <f>IFERROR(AVERAGE(IF('🔢 Расчеты'!D3:D89&lt;&gt;"",'🔢 Расчеты'!D3:D89)),"")</f>
        <v>239.13793103448276</v>
      </c>
      <c r="E6" s="47">
        <f>IFERROR(AVERAGE(IF('🔢 Расчеты'!P3:P89&lt;&gt;"",'🔢 Расчеты'!P3:P89)),"")</f>
        <v>0.23219106445764004</v>
      </c>
      <c r="F6" s="46">
        <f>IFERROR(AVERAGE(IF('🔢 Расчеты'!Q3:Q89&lt;&gt;"",'🔢 Расчеты'!Q3:Q89)),"")</f>
        <v>59.660263157894725</v>
      </c>
      <c r="G6" s="46">
        <f>SUM('🔢 Расчеты'!V3:V89)</f>
        <v>100</v>
      </c>
      <c r="H6" s="48" t="s">
        <v>337</v>
      </c>
    </row>
    <row r="7" spans="2:8" ht="22.05" customHeight="1" x14ac:dyDescent="0.3">
      <c r="B7" s="49" t="s">
        <v>338</v>
      </c>
      <c r="C7" s="50" t="s">
        <v>339</v>
      </c>
      <c r="D7" s="51">
        <f>IFERROR(AVERAGE(IF('🔢 Расчеты'!X3:X89&lt;&gt;"",'🔢 Расчеты'!X3:X89)),"")</f>
        <v>267.66150234741787</v>
      </c>
      <c r="E7" s="52">
        <f>IFERROR(AVERAGE(IF('🔢 Расчеты'!Z3:Z89&lt;&gt;"",'🔢 Расчеты'!Z3:Z89)),"")</f>
        <v>0.21268287423219029</v>
      </c>
      <c r="F7" s="51">
        <f>IFERROR(AVERAGE(IF('🔢 Расчеты'!AA3:AA89&lt;&gt;"",'🔢 Расчеты'!AA3:AA89)),"")</f>
        <v>56.409953051643186</v>
      </c>
      <c r="G7" s="51">
        <f>SUM('🔢 Расчеты'!BI3:BI89)</f>
        <v>203.33333333333337</v>
      </c>
      <c r="H7" s="53" t="s">
        <v>340</v>
      </c>
    </row>
    <row r="8" spans="2:8" ht="22.05" customHeight="1" x14ac:dyDescent="0.3">
      <c r="B8" s="49" t="s">
        <v>341</v>
      </c>
      <c r="C8" s="50" t="s">
        <v>342</v>
      </c>
      <c r="D8" s="51">
        <f>IFERROR(AVERAGE(IF('🔢 Расчеты'!AE3:AE89&lt;&gt;"",'🔢 Расчеты'!AE3:AE89)),"")</f>
        <v>266.77464788732397</v>
      </c>
      <c r="E8" s="52">
        <f>IFERROR(AVERAGE(IF('🔢 Расчеты'!AG3:AG89&lt;&gt;"",'🔢 Расчеты'!AG3:AG89)),"")</f>
        <v>0.21291391394880257</v>
      </c>
      <c r="F8" s="51">
        <f>IFERROR(AVERAGE(IF('🔢 Расчеты'!AH3:AH89&lt;&gt;"",'🔢 Расчеты'!AH3:AH89)),"")</f>
        <v>55.523098591549292</v>
      </c>
      <c r="G8" s="51">
        <f>SUM('🔢 Расчеты'!BK3:BK89)</f>
        <v>230</v>
      </c>
      <c r="H8" s="53" t="s">
        <v>343</v>
      </c>
    </row>
    <row r="9" spans="2:8" ht="22.05" customHeight="1" x14ac:dyDescent="0.3">
      <c r="B9" s="54" t="s">
        <v>344</v>
      </c>
      <c r="C9" s="55" t="s">
        <v>345</v>
      </c>
      <c r="D9" s="56">
        <f>IFERROR(AVERAGE(IF('🔢 Расчеты'!AL3:AL89&lt;&gt;"",'🔢 Расчеты'!AL3:AL89)),"")</f>
        <v>199.36781609195401</v>
      </c>
      <c r="E9" s="57">
        <f>IFERROR(AVERAGE(IF('🔢 Расчеты'!AN3:AN89&lt;&gt;"",'🔢 Расчеты'!AN3:AN89)),"")</f>
        <v>0.12991100518349144</v>
      </c>
      <c r="F9" s="56">
        <f>IFERROR(AVERAGE(IF('🔢 Расчеты'!AO3:AO89&lt;&gt;"",'🔢 Расчеты'!AO3:AO89)),"")</f>
        <v>14.133947368421056</v>
      </c>
      <c r="G9" s="56">
        <f>SUM('🔢 Расчеты'!BM3:BM89)</f>
        <v>120</v>
      </c>
      <c r="H9" s="58" t="s">
        <v>346</v>
      </c>
    </row>
    <row r="10" spans="2:8" ht="22.05" customHeight="1" x14ac:dyDescent="0.3">
      <c r="B10" s="59" t="s">
        <v>347</v>
      </c>
      <c r="C10" s="60" t="s">
        <v>348</v>
      </c>
      <c r="D10" s="61">
        <f>IFERROR(AVERAGE(IF('🔢 Расчеты'!AS3:AS89&gt;0,'🔢 Расчеты'!AS3:AS89)),"")</f>
        <v>0</v>
      </c>
      <c r="E10" s="62">
        <f>IFERROR(AVERAGE(IF('🔢 Расчеты'!AU3:AU89&lt;&gt;"",'🔢 Расчеты'!AU3:AU89)),"")</f>
        <v>0</v>
      </c>
      <c r="F10" s="61">
        <f>IFERROR(AVERAGE(IF('🔢 Расчеты'!AV3:AV89&lt;&gt;"",'🔢 Расчеты'!AV3:AV89)),"")</f>
        <v>0</v>
      </c>
      <c r="G10" s="61">
        <f>SUM('🔢 Расчеты'!BO3:BO89)</f>
        <v>150</v>
      </c>
      <c r="H10" s="63" t="s">
        <v>349</v>
      </c>
    </row>
    <row r="11" spans="2:8" ht="22.05" customHeight="1" x14ac:dyDescent="0.3">
      <c r="B11" s="64" t="s">
        <v>350</v>
      </c>
      <c r="C11" s="65" t="s">
        <v>351</v>
      </c>
      <c r="D11" s="66">
        <f>IFERROR(AVERAGE(IF('🔢 Расчеты'!BA3:BA89&lt;&gt;"",'🔢 Расчеты'!BA3:BA89)),"")</f>
        <v>0</v>
      </c>
      <c r="E11" s="67">
        <f>IFERROR(AVERAGE(IF('🔢 Расчеты'!BC3:BC89&lt;&gt;"",'🔢 Расчеты'!BC3:BC89)),"")</f>
        <v>0</v>
      </c>
      <c r="F11" s="66">
        <f>IFERROR(AVERAGE(IF('🔢 Расчеты'!BD3:BD89&lt;&gt;"",'🔢 Расчеты'!BD3:BD89)),"")</f>
        <v>0</v>
      </c>
      <c r="G11" s="66">
        <f>SUM('🔢 Расчеты'!BQ3:BQ89)</f>
        <v>290</v>
      </c>
      <c r="H11" s="68" t="s">
        <v>352</v>
      </c>
    </row>
    <row r="13" spans="2:8" ht="7.95" customHeight="1" x14ac:dyDescent="0.3"/>
    <row r="14" spans="2:8" ht="22.05" customHeight="1" x14ac:dyDescent="0.3">
      <c r="B14" s="96" t="s">
        <v>353</v>
      </c>
      <c r="C14" s="71"/>
      <c r="D14" s="71"/>
      <c r="E14" s="71"/>
      <c r="F14" s="71"/>
      <c r="G14" s="71"/>
      <c r="H14" s="71"/>
    </row>
    <row r="15" spans="2:8" ht="22.05" customHeight="1" x14ac:dyDescent="0.3">
      <c r="B15" s="94" t="s">
        <v>354</v>
      </c>
      <c r="C15" s="71"/>
      <c r="D15" s="69">
        <f>COUNTIF('🔢 Расчеты'!E3:E10000,"🔴 Выше рынка")</f>
        <v>20</v>
      </c>
      <c r="E15" s="95" t="s">
        <v>355</v>
      </c>
      <c r="F15" s="71"/>
      <c r="G15" s="71"/>
      <c r="H15" s="71"/>
    </row>
    <row r="16" spans="2:8" ht="22.05" customHeight="1" x14ac:dyDescent="0.3">
      <c r="B16" s="94" t="s">
        <v>356</v>
      </c>
      <c r="C16" s="71"/>
      <c r="D16" s="69">
        <f>COUNTIF('🔢 Расчеты'!E3:E10000,"🟢 Ниже рынка")</f>
        <v>22</v>
      </c>
      <c r="E16" s="95" t="s">
        <v>357</v>
      </c>
      <c r="F16" s="71"/>
      <c r="G16" s="71"/>
      <c r="H16" s="71"/>
    </row>
    <row r="17" spans="2:8" ht="22.05" customHeight="1" x14ac:dyDescent="0.3">
      <c r="B17" s="94" t="s">
        <v>358</v>
      </c>
      <c r="C17" s="71"/>
      <c r="D17" s="69">
        <f>COUNTIF('🔢 Расчеты'!S3:S10000,"🔴 КРИТИЧНО")</f>
        <v>16</v>
      </c>
      <c r="E17" s="95" t="s">
        <v>359</v>
      </c>
      <c r="F17" s="71"/>
      <c r="G17" s="71"/>
      <c r="H17" s="71"/>
    </row>
    <row r="18" spans="2:8" ht="22.05" customHeight="1" x14ac:dyDescent="0.3">
      <c r="B18" s="94" t="s">
        <v>360</v>
      </c>
      <c r="C18" s="71"/>
      <c r="D18" s="69">
        <f>COUNTIF('🔢 Расчеты'!S3:S10000,"🟡 УМЕРЕННЫЙ")</f>
        <v>22</v>
      </c>
      <c r="E18" s="95" t="s">
        <v>361</v>
      </c>
      <c r="F18" s="71"/>
      <c r="G18" s="71"/>
      <c r="H18" s="71"/>
    </row>
    <row r="19" spans="2:8" ht="22.05" customHeight="1" x14ac:dyDescent="0.3">
      <c r="B19" s="94" t="s">
        <v>362</v>
      </c>
      <c r="C19" s="71"/>
      <c r="D19" s="69">
        <f>COUNTIF('🔢 Расчеты'!R3:R10000,"🟢 Хорошая(&gt;20%)")</f>
        <v>50</v>
      </c>
      <c r="E19" s="95" t="s">
        <v>363</v>
      </c>
      <c r="F19" s="71"/>
      <c r="G19" s="71"/>
      <c r="H19" s="71"/>
    </row>
    <row r="20" spans="2:8" ht="22.05" customHeight="1" x14ac:dyDescent="0.3">
      <c r="B20" s="94" t="s">
        <v>364</v>
      </c>
      <c r="C20" s="71"/>
      <c r="D20" s="69">
        <f>COUNTIF('🔢 Расчеты'!R3:R10000,"🔴 Низкая(&lt;10%)")</f>
        <v>1</v>
      </c>
      <c r="E20" s="95" t="s">
        <v>365</v>
      </c>
      <c r="F20" s="71"/>
      <c r="G20" s="71"/>
      <c r="H20" s="71"/>
    </row>
  </sheetData>
  <mergeCells count="15">
    <mergeCell ref="B20:C20"/>
    <mergeCell ref="E20:H20"/>
    <mergeCell ref="E16:H16"/>
    <mergeCell ref="B14:H14"/>
    <mergeCell ref="B16:C16"/>
    <mergeCell ref="E17:H17"/>
    <mergeCell ref="B15:C15"/>
    <mergeCell ref="E18:H18"/>
    <mergeCell ref="E15:H15"/>
    <mergeCell ref="B2:H2"/>
    <mergeCell ref="B17:C17"/>
    <mergeCell ref="B18:C18"/>
    <mergeCell ref="B3:H3"/>
    <mergeCell ref="E19:H19"/>
    <mergeCell ref="B19:C19"/>
  </mergeCells>
  <conditionalFormatting sqref="D15:D20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📋 Инструкция</vt:lpstr>
      <vt:lpstr>📊 Исходные данные</vt:lpstr>
      <vt:lpstr>🛒 Продажи</vt:lpstr>
      <vt:lpstr>🔢 Расчеты</vt:lpstr>
      <vt:lpstr>📈 Dashboard</vt:lpstr>
      <vt:lpstr>📋 Сценарный анализ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Андрющенко Павел Юрьевич</dc:creator>
  <cp:lastModifiedBy>Павел</cp:lastModifiedBy>
  <dcterms:created xsi:type="dcterms:W3CDTF">2026-07-05T15:32:56Z</dcterms:created>
  <dcterms:modified xsi:type="dcterms:W3CDTF">2026-07-20T06:28:46Z</dcterms:modified>
</cp:coreProperties>
</file>