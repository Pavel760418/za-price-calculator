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Администратор\Documents\ЗЯ\ПЮ\Мониторинг\"/>
    </mc:Choice>
  </mc:AlternateContent>
  <bookViews>
    <workbookView xWindow="0" yWindow="0" windowWidth="23040" windowHeight="9384"/>
  </bookViews>
  <sheets>
    <sheet name="Инструкция" sheetId="1" r:id="rId1"/>
    <sheet name="Исходные данные" sheetId="2" r:id="rId2"/>
    <sheet name="Продажи" sheetId="3" r:id="rId3"/>
    <sheet name="Расчеты" sheetId="4" r:id="rId4"/>
    <sheet name="Dashboard" sheetId="5" r:id="rId5"/>
    <sheet name="Сценарный анализ" sheetId="6" r:id="rId6"/>
  </sheets>
  <externalReferences>
    <externalReference r:id="rId7"/>
  </externalReferences>
  <calcPr calcId="152511"/>
</workbook>
</file>

<file path=xl/calcChain.xml><?xml version="1.0" encoding="utf-8"?>
<calcChain xmlns="http://schemas.openxmlformats.org/spreadsheetml/2006/main">
  <c r="AT2" i="4" l="1"/>
  <c r="AR2" i="4"/>
  <c r="AP2" i="4"/>
  <c r="K2" i="4"/>
  <c r="C2" i="4"/>
  <c r="I2" i="4"/>
  <c r="J2" i="4"/>
  <c r="A2" i="4"/>
  <c r="H2" i="4"/>
  <c r="W2" i="4"/>
  <c r="G2" i="4"/>
  <c r="F2" i="4"/>
  <c r="E2" i="4"/>
  <c r="D2" i="4"/>
  <c r="S2" i="4" l="1"/>
  <c r="U2" i="4"/>
  <c r="O2" i="4"/>
  <c r="N2" i="4"/>
  <c r="L2" i="4"/>
  <c r="M2" i="4"/>
  <c r="X2" i="4"/>
  <c r="Z2" i="4" s="1"/>
  <c r="B4" i="5" s="1"/>
  <c r="BD2" i="4"/>
  <c r="BB2" i="4"/>
  <c r="AQ2" i="4"/>
  <c r="BC2" i="4" s="1"/>
  <c r="B6" i="6" s="1"/>
  <c r="AO2" i="4"/>
  <c r="V2" i="4"/>
  <c r="Y2" i="4" s="1"/>
  <c r="T2" i="4"/>
  <c r="B5" i="5" s="1"/>
  <c r="AS2" i="4"/>
  <c r="AU2" i="4"/>
  <c r="BE2" i="4" s="1"/>
  <c r="B7" i="6" l="1"/>
  <c r="B7" i="5"/>
  <c r="B2" i="6"/>
  <c r="B6" i="5"/>
  <c r="Q2" i="4"/>
  <c r="AF2" i="4"/>
  <c r="AB2" i="4"/>
  <c r="P2" i="4"/>
  <c r="AJ2" i="4"/>
  <c r="R2" i="4"/>
  <c r="AH2" i="4" l="1"/>
  <c r="AI2" i="4"/>
  <c r="AY2" i="4" s="1"/>
  <c r="B4" i="6" s="1"/>
  <c r="AG2" i="4"/>
  <c r="AX2" i="4"/>
  <c r="B3" i="5"/>
  <c r="B2" i="5"/>
  <c r="AE2" i="4"/>
  <c r="AW2" i="4" s="1"/>
  <c r="B3" i="6" s="1"/>
  <c r="AC2" i="4"/>
  <c r="AD2" i="4"/>
  <c r="AV2" i="4"/>
  <c r="AM2" i="4"/>
  <c r="BA2" i="4" s="1"/>
  <c r="B5" i="6" s="1"/>
  <c r="AK2" i="4"/>
  <c r="AL2" i="4"/>
  <c r="AZ2" i="4"/>
</calcChain>
</file>

<file path=xl/sharedStrings.xml><?xml version="1.0" encoding="utf-8"?>
<sst xmlns="http://schemas.openxmlformats.org/spreadsheetml/2006/main" count="322" uniqueCount="306">
  <si>
    <t>Excel-калькулятор цен сети «Зеленое Яблоко»</t>
  </si>
  <si>
    <t>Назначение: управление ценой, маржой и валовой прибылью по топовым позициям, сравнение с рынком и сценарное моделирование.</t>
  </si>
  <si>
    <t>Как пользоваться:</t>
  </si>
  <si>
    <t>1. На листе «Исходные данные» находятся товары, штрихкоды, закупочная и розничная цена ЗЯ, цены конкурентов.</t>
  </si>
  <si>
    <t xml:space="preserve">   Данные загружаются из исходного файла или дополняются вручную.</t>
  </si>
  <si>
    <t>2. На листе «Продажи» вручную заполняются текущие продажи в Зеленом Яблоке по штрихкоду: количество, выручка, валовая прибыль.</t>
  </si>
  <si>
    <t>3. Лист «Расчеты» автоматически формирует аналитику по ценам, марже, валовой прибыли и всем сценариям.</t>
  </si>
  <si>
    <t>4. Лист «Dashboard» отображает KPI, количество позиций выше/ниже рынка, суммарную текущую и прогнозную валовую прибыль.</t>
  </si>
  <si>
    <t>5. Лист «Сценарный анализ» содержит сводный анализ по всем позициям и сценариям, а также рекомендации.</t>
  </si>
  <si>
    <t>Поля ручного ввода:</t>
  </si>
  <si>
    <t>- Лист «Исходные данные»: все ценовые поля (если их нужно скорректировать), штрихкоды и наименование.</t>
  </si>
  <si>
    <t>- Лист «Продажи»: Количество_продаж, Выручка, Валовая_прибыль по каждому штрихкоду.</t>
  </si>
  <si>
    <t>- Лист «Расчеты»: Целевая_маржа_сценарий_5, Новая_цена_сценарий_4.</t>
  </si>
  <si>
    <t>Поля автоматического расчёта:</t>
  </si>
  <si>
    <t>- Лист «Расчеты»: все рыночные показатели, текущая экономика позиции, сценарии 1–5 и прогнозы.</t>
  </si>
  <si>
    <t>- Лист «Dashboard» и «Сценарный анализ»: все KPI и агрегаты.</t>
  </si>
  <si>
    <t>Важно: не изменяйте формулы в расчётных столбцах. Добавляйте новые позиции через вставку строк внутрь таблиц.</t>
  </si>
  <si>
    <t>Наименование</t>
  </si>
  <si>
    <t>Штрихкод</t>
  </si>
  <si>
    <t>Закупочная_цена_ЗЯ</t>
  </si>
  <si>
    <t>Розничная_цена_ЗЯ</t>
  </si>
  <si>
    <t>Цена_7_Континент</t>
  </si>
  <si>
    <t>Цена_Европейский</t>
  </si>
  <si>
    <t>Цена_Тропики</t>
  </si>
  <si>
    <t>Цена_Мята</t>
  </si>
  <si>
    <t>Цена_Отличный</t>
  </si>
  <si>
    <t>Цена_Оптовик_Молоток</t>
  </si>
  <si>
    <t>Цена_Оптовик_Редукторный</t>
  </si>
  <si>
    <t>Белизна гипохлорид 1л</t>
  </si>
  <si>
    <t>Гель белизна Санфор 3в1 700мл</t>
  </si>
  <si>
    <t>119 (159)</t>
  </si>
  <si>
    <t>Гель Ласка 1л для Черного Эффект восстановления</t>
  </si>
  <si>
    <t>Кондиционер ABC для белья 1440мл Элегантная Орхидея</t>
  </si>
  <si>
    <t>Порошок ABC авт 3кг Лимон</t>
  </si>
  <si>
    <t>Порошок Ариэль авт 3кг Колор</t>
  </si>
  <si>
    <t>Отбеливатель Бос плюс Макс 500г</t>
  </si>
  <si>
    <t>Средство AOS для посуды 450г Лимон</t>
  </si>
  <si>
    <t>Средство AOS для посуды 900г Лимон</t>
  </si>
  <si>
    <t>Средство Грасс Azelit Антижир для кухни спрей 600мл</t>
  </si>
  <si>
    <t>Средство Доместос 1,5л Ультра блеск</t>
  </si>
  <si>
    <t>Средство Доместос 500мл Ультра блеск</t>
  </si>
  <si>
    <t>Кассеты для бритья Жиллетт Фьюжн 4шт</t>
  </si>
  <si>
    <t>Зубная паста Сплат Профессионал 100г Отбеливание плюс</t>
  </si>
  <si>
    <t>Мыло жидкое Грасс Milana 1000мл Perfume</t>
  </si>
  <si>
    <t>Салфетки влажные Мануоки детские 80шт</t>
  </si>
  <si>
    <t>Полотенца бумажные Папия Декор 3 слоя 2 рулона</t>
  </si>
  <si>
    <t>129 (145)</t>
  </si>
  <si>
    <t>Туалетная бумага Папия 3сл 4рул белая</t>
  </si>
  <si>
    <t>Полотенца бумажные Zemma 2сл 2рул</t>
  </si>
  <si>
    <t>99 (125)</t>
  </si>
  <si>
    <t>Туалетная бумага Zemma Плюс 2сл 4шт Белая</t>
  </si>
  <si>
    <t>Крупа Гречневая (ядрица) Первый сорт 1кг</t>
  </si>
  <si>
    <t>Крупа Рисовая (рис шлифованный) 1кг</t>
  </si>
  <si>
    <t>Крупа Увелка Гречневая Экстра 800г</t>
  </si>
  <si>
    <t>Мак изд Барилла №5 Спагетти 450г</t>
  </si>
  <si>
    <t>Мак изд Барилла №98 Фузилли 450г</t>
  </si>
  <si>
    <t>Мак изд Макфа Спагетти 400г</t>
  </si>
  <si>
    <t>Мак изд Макфа Спирали 400г</t>
  </si>
  <si>
    <t>Мука Макфа в/с 2кг</t>
  </si>
  <si>
    <t>Мука Снежана в/с 2кг</t>
  </si>
  <si>
    <t>99 (115)</t>
  </si>
  <si>
    <t>Рис Агроальянс для плова 900г</t>
  </si>
  <si>
    <t>135 (175)</t>
  </si>
  <si>
    <t>Рис Дарман шлифованный Премиум 2кг</t>
  </si>
  <si>
    <t>Рис Дарман шлифованный Экстра 800г</t>
  </si>
  <si>
    <t>Рис Тамаша MIAD Индия мешочек 1кг</t>
  </si>
  <si>
    <t>Сахар песок 1кг</t>
  </si>
  <si>
    <t>Сода пищевая 500г</t>
  </si>
  <si>
    <t>Соль поваренная пищевая Помол №1 1кг Руссоль</t>
  </si>
  <si>
    <t>Соль Экстра йодированная 500г</t>
  </si>
  <si>
    <t>Пюре Агуша фруктовое пауч 160г Яблоко банан клубн земляника злаки</t>
  </si>
  <si>
    <t>79 (135)</t>
  </si>
  <si>
    <t>Пюре ФрутоНяня 90г Яблоко натур. 4 мес д/пак</t>
  </si>
  <si>
    <t>59 (95)</t>
  </si>
  <si>
    <t>Смесь Малютка 2 600г</t>
  </si>
  <si>
    <t>Смесь Нутрилон 2 Премиум 600г с 6-мес молочн Нутриция</t>
  </si>
  <si>
    <t>Хлебцы Др Корнер Рисовые с молочным шоколадом 67г</t>
  </si>
  <si>
    <t>Хлебцы Др Корнер Рисовые с темным шоколадом 67г</t>
  </si>
  <si>
    <t>Батончик Сникерс 50,5г</t>
  </si>
  <si>
    <t>55 (89)</t>
  </si>
  <si>
    <t>Драже M&amp;M's 45г с арахисом</t>
  </si>
  <si>
    <t>85 (99)</t>
  </si>
  <si>
    <t>Киндер Буэно Т30 Ферреро 43г</t>
  </si>
  <si>
    <t>109 (139)</t>
  </si>
  <si>
    <t>Конфеты Баунти Минис</t>
  </si>
  <si>
    <t>899 (990)</t>
  </si>
  <si>
    <t>Конфеты Мерси 250г Ассорти</t>
  </si>
  <si>
    <t>Конфеты Нива К/О</t>
  </si>
  <si>
    <t>Конфеты Птица Дивная суфле в шоколаде</t>
  </si>
  <si>
    <t>Конфеты Сникерс Минис</t>
  </si>
  <si>
    <t>899 (980)</t>
  </si>
  <si>
    <t>Конфеты Тоффифе шоколадные 125г</t>
  </si>
  <si>
    <t>209 (225)</t>
  </si>
  <si>
    <t>Печенье Кофе джой кофейное 78г</t>
  </si>
  <si>
    <t>Печенье Милка Чоко Бисквит 150г</t>
  </si>
  <si>
    <t>Пирожное Медвежонок Барни 150г с молочной начинкой</t>
  </si>
  <si>
    <t>Шоколад Киндер Т4 50г</t>
  </si>
  <si>
    <t>Шоколад Милка молочный 80г</t>
  </si>
  <si>
    <t>Шоколадная паста Нутелла ст/б 350г</t>
  </si>
  <si>
    <t>Какао порошок Золотой ярлык 100г К/О</t>
  </si>
  <si>
    <t>Кофе Бушидо Оригинал ст/б 100г</t>
  </si>
  <si>
    <t>Кофе Мехмет Эфенди молотый по турецки банка 250г</t>
  </si>
  <si>
    <t>Чай Джамал черный Эрл Грей 450г</t>
  </si>
  <si>
    <t>Чай Джамбо черный отборн кр/л 250г</t>
  </si>
  <si>
    <t>Чай Ричард Лорд Грей черный 180г</t>
  </si>
  <si>
    <t>Горошек Бондюэль зеленый ж/б 425мл</t>
  </si>
  <si>
    <t>Горошек По-Княжески ж/б 420мл кольцо</t>
  </si>
  <si>
    <t>Грибы Опята Кормилица маринов ст/б 580мл</t>
  </si>
  <si>
    <t>Корнишоны По-Княжески 6-9см 670г евро</t>
  </si>
  <si>
    <t>Кукуруза Бондюэль ж/б 425мл</t>
  </si>
  <si>
    <t>Кукуруза Кормилица ж/б 425мл ключ</t>
  </si>
  <si>
    <t>Кукуруза По-Княжески ж/б 425мл</t>
  </si>
  <si>
    <t>Маслины Лорадо черн б/к ж/б 314мл</t>
  </si>
  <si>
    <t>Томатная паста Краснодарочка 25% ст/б 510г</t>
  </si>
  <si>
    <t>Фасоль Бондюэль красная ж/б 425мл</t>
  </si>
  <si>
    <t>Фасоль Кормилица красная ж/б 425мл</t>
  </si>
  <si>
    <t>Горчица Махеевъ зернистая ст/б 190г</t>
  </si>
  <si>
    <t>Кетчуп Хайнц д/п 320г Томатный</t>
  </si>
  <si>
    <t>Майонез Слобода провансаль 67% 400мл</t>
  </si>
  <si>
    <t>Майонез Слобода провансаль 67% 800мл</t>
  </si>
  <si>
    <t>Соус Барилла Песто Дженовезе ст/б 190г</t>
  </si>
  <si>
    <t>Соус Хайнц д/п 200г Кисло сладкий</t>
  </si>
  <si>
    <t>Масло оливковое Боргес EV ст/б 0,5л</t>
  </si>
  <si>
    <t>Масло оливковое Хангров EV ст/б 250мл</t>
  </si>
  <si>
    <t>455 (539)</t>
  </si>
  <si>
    <t>Масло подсолнечное Слобода рафин 1л</t>
  </si>
  <si>
    <t>Масло подсолнечное Золотая Семечка 1л</t>
  </si>
  <si>
    <t>Масло подсолнечное Светлица 0,9л (либо самое дешевое)</t>
  </si>
  <si>
    <t>Зефир Пастухов Молочный с ванилью в мол бельг шоколаде 60г</t>
  </si>
  <si>
    <t>Йогурт Актибио питьев 870г Злаки</t>
  </si>
  <si>
    <t>169 (225)</t>
  </si>
  <si>
    <t>Йогурт Даниссимо Фантазия 105г хруст шарики</t>
  </si>
  <si>
    <t>Йогурт Савушкин TEOS Греческий 2% 250г Натуральный</t>
  </si>
  <si>
    <t>Йогурт Савушкин TEOS Греческий 2% 140г Натуральный</t>
  </si>
  <si>
    <t>Кефир Дарман 2,5% п/бут 1000г</t>
  </si>
  <si>
    <t>Кефир Согратль 2,5% 900мл п/пак</t>
  </si>
  <si>
    <t>Кефир Чабан 2,5% п/пак 0,9л</t>
  </si>
  <si>
    <t>Масло сливочное Дарман 82,5% 200г</t>
  </si>
  <si>
    <t>Масло сливочное Дарман 82,5% 450г</t>
  </si>
  <si>
    <t>Масло сливочное Приэльбрусье 82,5% 180г</t>
  </si>
  <si>
    <t>235 (299)</t>
  </si>
  <si>
    <t>Масло сливочное Чабан Халяль 82.5% 330г</t>
  </si>
  <si>
    <t>455 (615)</t>
  </si>
  <si>
    <t>Масло сливочное Чабан Халяль 82.5% 180г</t>
  </si>
  <si>
    <t>Молоко Дарман 2,5% пастер бут 1000г</t>
  </si>
  <si>
    <t>Молоко Дарман жирн 3,5%-4,5% пастер бут 1400г</t>
  </si>
  <si>
    <t>Молоко Новая деревня пастер 2,5% бут 900г</t>
  </si>
  <si>
    <t>Молоко Простоквашино 1,5% безлактозное ультрапаст 970г</t>
  </si>
  <si>
    <t>149 (169)</t>
  </si>
  <si>
    <t>Молоко Чабан пастер 2.5% пл/бут 930г</t>
  </si>
  <si>
    <t>105 (119)</t>
  </si>
  <si>
    <t>Напиток Exponenta High-pro обезжиренный 250г Малина банан</t>
  </si>
  <si>
    <t>169 (189)</t>
  </si>
  <si>
    <t>Коктейль молочный НЕО протеиновый 260г шоколад</t>
  </si>
  <si>
    <t>Сгущенное молоко Кореновский МК цельное 8,5% кл-кр ж/б 360г</t>
  </si>
  <si>
    <t>Сгущенное молоко цельное Рогачев 8,5% ж/б 380г с ключом</t>
  </si>
  <si>
    <t>Сливки Простоквашино 20% стер 0,5л</t>
  </si>
  <si>
    <t>Сметана Дарман жирн 20% 350г</t>
  </si>
  <si>
    <t>Сметана Новая деревня 20% 300г</t>
  </si>
  <si>
    <t>119 (139)</t>
  </si>
  <si>
    <t>Сметана Согратль 20% 400г</t>
  </si>
  <si>
    <t>Сметана Чабан 15% 400г</t>
  </si>
  <si>
    <t>Сметана Чабан 25% 400г</t>
  </si>
  <si>
    <t>Творог Простоквашино Зерненный 5% 130г</t>
  </si>
  <si>
    <t>79 (95)</t>
  </si>
  <si>
    <t>Творог Чабан рассыпчатый 5% 280г</t>
  </si>
  <si>
    <t>Творожная масса Дарман с ванилином 150г</t>
  </si>
  <si>
    <t>Творожная масса Новая Деревня 15,5% пломбир 180г</t>
  </si>
  <si>
    <t>Сыр Гауда 45% Ольден Россия</t>
  </si>
  <si>
    <t>Сыр Ламбер 50% классический Россия</t>
  </si>
  <si>
    <t>1 032,56</t>
  </si>
  <si>
    <t>Сыр плавленый Чабан сливочный 180г</t>
  </si>
  <si>
    <t>169 (195)</t>
  </si>
  <si>
    <t>Сыр творожный Алметте 150г Сливочный</t>
  </si>
  <si>
    <t>125 (195)</t>
  </si>
  <si>
    <t>Сыр творожный Хохланд 220г сливочный</t>
  </si>
  <si>
    <t>165 (239)</t>
  </si>
  <si>
    <t>Мороженое Кореновка Пломбир в вафел стак 15% 100г</t>
  </si>
  <si>
    <t>Мороженое Кореновка Пломбир ваф/стак 100г Шоколадный</t>
  </si>
  <si>
    <t>Мороженое Магнат Шоколадный трюфель 67г</t>
  </si>
  <si>
    <t>Колбаса Башоровъ Чеченская Халяль</t>
  </si>
  <si>
    <t>750 (815)</t>
  </si>
  <si>
    <t>Колбаса Урицкий Чеченская п/к батон</t>
  </si>
  <si>
    <t>Колбаса Школьная вар Хицунов Халяль</t>
  </si>
  <si>
    <t>Сосиски Индилайт из индейки Молочные п/о 440г Халяль</t>
  </si>
  <si>
    <t>269 (319)</t>
  </si>
  <si>
    <t>Ветчина Индилайт Филе грудки индейки нарезка п/о 120г</t>
  </si>
  <si>
    <t>Вода мин Рычал-су пл/б 1л</t>
  </si>
  <si>
    <t>Вода мин Рычал-су ст/б 0,5л</t>
  </si>
  <si>
    <t>Вода минеральная Боржоми лечебно-столовая ст/б 0.5л</t>
  </si>
  <si>
    <t>Вода Денеб Горная пл/б 0,6л Ультра</t>
  </si>
  <si>
    <t>Вода Серноводская негазир 9л</t>
  </si>
  <si>
    <t>Напиток Денеб Голд 1,25л Груша</t>
  </si>
  <si>
    <t>Напиток Добрый Кола пл/б 1л</t>
  </si>
  <si>
    <t>99 (109)</t>
  </si>
  <si>
    <t>Напиток Добрый Кола пл/б 1,5л</t>
  </si>
  <si>
    <t>Напиток Кока Кола пл/б 1л</t>
  </si>
  <si>
    <t>Напиток Кока Кола пл/б 2л</t>
  </si>
  <si>
    <t>Напиток газированный KINZA ж/б 320мл Кола</t>
  </si>
  <si>
    <t>Напиток энергетический Адреналин ж/б 0,449л Rush</t>
  </si>
  <si>
    <t>Напиток энергетический Горилла ж/б 450мл Манго и кoкос</t>
  </si>
  <si>
    <t>Нектар Кикуни ст/б 0,75л абрикосовый с мякотью</t>
  </si>
  <si>
    <t>Сок Вико 1л ананасовый</t>
  </si>
  <si>
    <t>Сок Ириб ст/б 0,75л Апельсиновый 100%</t>
  </si>
  <si>
    <t>Чай холодный Липтон 0,5л Зеленый</t>
  </si>
  <si>
    <t>Чай холодный Менди пл/б 1,25л Лесная ягода</t>
  </si>
  <si>
    <t>Семечки Джинн великан 100г</t>
  </si>
  <si>
    <t>Семечки Джинн Солнечный Великан соленый 200г</t>
  </si>
  <si>
    <t>Чипсы LIT ENERGY 120г Паприка</t>
  </si>
  <si>
    <t>Чипсы Лейс 140г Сыр</t>
  </si>
  <si>
    <t>Грецкий орех очищенный половинки вес</t>
  </si>
  <si>
    <t>690 (815)</t>
  </si>
  <si>
    <t>Кешью сырой вес</t>
  </si>
  <si>
    <t>Кешью жареный вес</t>
  </si>
  <si>
    <t>Миндаль золотой вес</t>
  </si>
  <si>
    <t>990 (1190)</t>
  </si>
  <si>
    <t>Миндаль жаренный вес</t>
  </si>
  <si>
    <t>Финики королевские вес</t>
  </si>
  <si>
    <t>1099 (1250)</t>
  </si>
  <si>
    <t>Фисташки Иран 1с</t>
  </si>
  <si>
    <t>1 000,00</t>
  </si>
  <si>
    <t>1250 (1440)</t>
  </si>
  <si>
    <t>Фундук очищенный вес</t>
  </si>
  <si>
    <t>Крабовые палочки Русское море 200г</t>
  </si>
  <si>
    <t>Сельдь малосоленая Р</t>
  </si>
  <si>
    <t>Скумбрия х/к Р</t>
  </si>
  <si>
    <t>Малина Фрамбини в белом и молочном шоколаде 130г</t>
  </si>
  <si>
    <t>Малина Франуй в белом и молочном шоколаде 150г</t>
  </si>
  <si>
    <t>Брокколи Хортекс 400г</t>
  </si>
  <si>
    <t>Салат Vip Хортекс 400г</t>
  </si>
  <si>
    <t>Филе цыпленка Приосколье Халяль</t>
  </si>
  <si>
    <t>Яйцо куриное Первая категория 10шт</t>
  </si>
  <si>
    <t>Яйцо куриное Отборное 10шт К</t>
  </si>
  <si>
    <t>Яйцо перепелиное 20шт бум/уп</t>
  </si>
  <si>
    <t>Курица фермерская п/ф</t>
  </si>
  <si>
    <t>Уголь 5кг березовый Binchotes 10</t>
  </si>
  <si>
    <t>Дрова-растопка 25шт натуральная FireStart 15</t>
  </si>
  <si>
    <t>Уголь 5кг древесный</t>
  </si>
  <si>
    <t>Уголь 3кг древесный</t>
  </si>
  <si>
    <t>Комплект фумигатор+жидкость 45 ночей Универсальная защита Москитолл 6</t>
  </si>
  <si>
    <t>Комплект фумигатор+жидкость 30 ночей Раптор 24</t>
  </si>
  <si>
    <t>Комплект фумигатор+жидкость 30 ночей Натурин Гардекс 24</t>
  </si>
  <si>
    <t>Количество_продаж</t>
  </si>
  <si>
    <t>Выручка</t>
  </si>
  <si>
    <t>Валовая_прибыль</t>
  </si>
  <si>
    <t>Средняя_цена_рынка</t>
  </si>
  <si>
    <t>Медианная_цена_рынка</t>
  </si>
  <si>
    <t>Мин_цена_конкурента</t>
  </si>
  <si>
    <t>Макс_цена_конкурента</t>
  </si>
  <si>
    <t>Отклонение_от_средней</t>
  </si>
  <si>
    <t>Отклонение_от_медианы</t>
  </si>
  <si>
    <t>Отклонение_от_минимума</t>
  </si>
  <si>
    <t>Рейтинг_цены</t>
  </si>
  <si>
    <t>Текущая_наценка_%</t>
  </si>
  <si>
    <t>Текущая_маржа_%</t>
  </si>
  <si>
    <t>Валовая_прибыль_на_ед</t>
  </si>
  <si>
    <t>Текущая_выручка</t>
  </si>
  <si>
    <t>Текущая_валовая_прибыль</t>
  </si>
  <si>
    <t>Текущая_маржа_общая_%</t>
  </si>
  <si>
    <t>Целевая_маржа_сценарий_5</t>
  </si>
  <si>
    <t>Новая_цена_сценарий_1</t>
  </si>
  <si>
    <t>Наценка_сценарий_1</t>
  </si>
  <si>
    <t>Маржа_сценарий_1</t>
  </si>
  <si>
    <t>ВП_ед_сценарий_1</t>
  </si>
  <si>
    <t>Новая_цена_сценарий_2</t>
  </si>
  <si>
    <t>Наценка_сценарий_2</t>
  </si>
  <si>
    <t>Маржа_сценарий_2</t>
  </si>
  <si>
    <t>ВП_ед_сценарий_2</t>
  </si>
  <si>
    <t>Новая_цена_сценарий_3</t>
  </si>
  <si>
    <t>Наценка_сценарий_3</t>
  </si>
  <si>
    <t>Маржа_сценарий_3</t>
  </si>
  <si>
    <t>ВП_ед_сценарий_3</t>
  </si>
  <si>
    <t>Новая_цена_сценарий_4</t>
  </si>
  <si>
    <t>Наценка_сценарий_4</t>
  </si>
  <si>
    <t>Маржа_сценарий_4</t>
  </si>
  <si>
    <t>ВП_ед_сценарий_4</t>
  </si>
  <si>
    <t>Новая_цена_сценарий_5</t>
  </si>
  <si>
    <t>Наценка_сценарий_5</t>
  </si>
  <si>
    <t>Маржа_сценарий_5</t>
  </si>
  <si>
    <t>ВП_ед_сценарий_5</t>
  </si>
  <si>
    <t>Прогноз_выручка_1</t>
  </si>
  <si>
    <t>Прогноз_ВП_1</t>
  </si>
  <si>
    <t>Прогноз_выручка_2</t>
  </si>
  <si>
    <t>Прогноз_ВП_2</t>
  </si>
  <si>
    <t>Прогноз_выручка_3</t>
  </si>
  <si>
    <t>Прогноз_ВП_3</t>
  </si>
  <si>
    <t>Прогноз_выручка_4</t>
  </si>
  <si>
    <t>Прогноз_ВП_4</t>
  </si>
  <si>
    <t>Прогноз_выручка_5</t>
  </si>
  <si>
    <t>Прогноз_ВП_5</t>
  </si>
  <si>
    <t>KPI</t>
  </si>
  <si>
    <t>Позиций выше рынка</t>
  </si>
  <si>
    <t>Позиций ниже рынка</t>
  </si>
  <si>
    <t>Средняя маржа</t>
  </si>
  <si>
    <t>Средняя наценка</t>
  </si>
  <si>
    <t>Суммарная текущая ВП</t>
  </si>
  <si>
    <t>Суммарная прогнозная ВП (сценарий 5)</t>
  </si>
  <si>
    <t>Сценарий</t>
  </si>
  <si>
    <t>Суммарная валовая прибыль</t>
  </si>
  <si>
    <t>Комментарий</t>
  </si>
  <si>
    <t>Текущая</t>
  </si>
  <si>
    <t>Средняя цена рынка</t>
  </si>
  <si>
    <t>Медианная цена рынка</t>
  </si>
  <si>
    <t>Мин. цена конкурента</t>
  </si>
  <si>
    <t>Произвольная цена</t>
  </si>
  <si>
    <t>Целевая маржа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</si>
</sst>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charset val="204"/>
    </font>
    <font>
      <b/>
      <sz val="11"/>
      <color rgb="FFFFFFFF"/>
      <name val="Calibri"/>
      <family val="2"/>
      <charset val="204"/>
    </font>
    <font>
      <b/>
      <sz val="12"/>
      <name val="Calibri"/>
      <family val="2"/>
      <charset val="204"/>
    </font>
    <font>
      <b/>
      <sz val="14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2F75B5"/>
        <bgColor rgb="FF2F75B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4" fillId="0" borderId="1" xfId="0" applyFont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1"/>
  <c:style val="2"/>
  <c:chart>
    <c:title>
      <c:tx>
        <c:rich>
          <a:bodyPr/>
          <a:lstStyle/>
          <a:p>
            <a:pPr>
              <a:defRPr/>
            </a:pPr>
            <a:r>
              <a:t>Валовая прибыль по сценариям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Dashboard!$A$2:$A$7</c:f>
              <c:strCache>
                <c:ptCount val="6"/>
                <c:pt idx="0">
                  <c:v>Позиций выше рынка</c:v>
                </c:pt>
                <c:pt idx="1">
                  <c:v>Позиций ниже рынка</c:v>
                </c:pt>
                <c:pt idx="2">
                  <c:v>Средняя маржа</c:v>
                </c:pt>
                <c:pt idx="3">
                  <c:v>Средняя наценка</c:v>
                </c:pt>
                <c:pt idx="4">
                  <c:v>Суммарная текущая ВП</c:v>
                </c:pt>
                <c:pt idx="5">
                  <c:v>Суммарная прогнозная ВП (сценарий 5)</c:v>
                </c:pt>
              </c:strCache>
            </c:strRef>
          </c:cat>
          <c:val>
            <c:numRef>
              <c:f>Dashboard!$B$2:$B$7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54441744"/>
        <c:axId val="-54446640"/>
      </c:barChart>
      <c:catAx>
        <c:axId val="-54441744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Сценарий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-54446640"/>
        <c:crosses val="autoZero"/>
        <c:auto val="1"/>
        <c:lblAlgn val="ctr"/>
        <c:lblOffset val="100"/>
        <c:noMultiLvlLbl val="1"/>
      </c:catAx>
      <c:valAx>
        <c:axId val="-5444664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ВП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-544417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8640000" cy="432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76;&#1072;&#1085;&#1085;&#1099;&#1077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id="1" name="tbl_Data" displayName="tbl_Data" ref="A1:K202">
  <autoFilter ref="A1:K202"/>
  <tableColumns count="11">
    <tableColumn id="1" name="Наименование"/>
    <tableColumn id="2" name="Штрихкод"/>
    <tableColumn id="3" name="Закупочная_цена_ЗЯ"/>
    <tableColumn id="4" name="Розничная_цена_ЗЯ"/>
    <tableColumn id="5" name="Цена_7_Континент"/>
    <tableColumn id="6" name="Цена_Европейский"/>
    <tableColumn id="7" name="Цена_Тропики"/>
    <tableColumn id="8" name="Цена_Мята"/>
    <tableColumn id="9" name="Цена_Отличный"/>
    <tableColumn id="10" name="Цена_Оптовик_Молоток"/>
    <tableColumn id="11" name="Цена_Оптовик_Редукторный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_Sales" displayName="tbl_Sales" ref="A1:D2">
  <autoFilter ref="A1:D2"/>
  <tableColumns count="4">
    <tableColumn id="1" name="Штрихкод"/>
    <tableColumn id="2" name="Количество_продаж"/>
    <tableColumn id="3" name="Выручка"/>
    <tableColumn id="4" name="Валовая_прибыль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tbl_Calc" displayName="tbl_Calc" ref="A1:BE202">
  <autoFilter ref="A1:BE202"/>
  <tableColumns count="57">
    <tableColumn id="1" name="Наименование"/>
    <tableColumn id="2" name="Штрихкод"/>
    <tableColumn id="3" name="Закупочная_цена_ЗЯ"/>
    <tableColumn id="4" name="Розничная_цена_ЗЯ"/>
    <tableColumn id="5" name="Цена_7_Континент"/>
    <tableColumn id="6" name="Цена_Европейский"/>
    <tableColumn id="7" name="Цена_Тропики"/>
    <tableColumn id="8" name="Цена_Мята"/>
    <tableColumn id="9" name="Цена_Отличный"/>
    <tableColumn id="10" name="Цена_Оптовик_Молоток"/>
    <tableColumn id="11" name="Цена_Оптовик_Редукторный"/>
    <tableColumn id="12" name="Средняя_цена_рынка"/>
    <tableColumn id="13" name="Медианная_цена_рынка"/>
    <tableColumn id="14" name="Мин_цена_конкурента"/>
    <tableColumn id="15" name="Макс_цена_конкурента"/>
    <tableColumn id="16" name="Отклонение_от_средней"/>
    <tableColumn id="17" name="Отклонение_от_медианы"/>
    <tableColumn id="18" name="Отклонение_от_минимума"/>
    <tableColumn id="19" name="Рейтинг_цены"/>
    <tableColumn id="20" name="Текущая_наценка_%"/>
    <tableColumn id="21" name="Текущая_маржа_%"/>
    <tableColumn id="22" name="Валовая_прибыль_на_ед"/>
    <tableColumn id="23" name="Количество_продаж"/>
    <tableColumn id="24" name="Текущая_выручка"/>
    <tableColumn id="25" name="Текущая_валовая_прибыль"/>
    <tableColumn id="26" name="Текущая_маржа_общая_%"/>
    <tableColumn id="27" name="Целевая_маржа_сценарий_5"/>
    <tableColumn id="28" name="Новая_цена_сценарий_1"/>
    <tableColumn id="29" name="Наценка_сценарий_1"/>
    <tableColumn id="30" name="Маржа_сценарий_1"/>
    <tableColumn id="31" name="ВП_ед_сценарий_1"/>
    <tableColumn id="32" name="Новая_цена_сценарий_2"/>
    <tableColumn id="33" name="Наценка_сценарий_2"/>
    <tableColumn id="34" name="Маржа_сценарий_2"/>
    <tableColumn id="35" name="ВП_ед_сценарий_2"/>
    <tableColumn id="36" name="Новая_цена_сценарий_3"/>
    <tableColumn id="37" name="Наценка_сценарий_3"/>
    <tableColumn id="38" name="Маржа_сценарий_3"/>
    <tableColumn id="39" name="ВП_ед_сценарий_3"/>
    <tableColumn id="40" name="Новая_цена_сценарий_4"/>
    <tableColumn id="41" name="Наценка_сценарий_4"/>
    <tableColumn id="42" name="Маржа_сценарий_4"/>
    <tableColumn id="43" name="ВП_ед_сценарий_4"/>
    <tableColumn id="44" name="Новая_цена_сценарий_5"/>
    <tableColumn id="45" name="Наценка_сценарий_5"/>
    <tableColumn id="46" name="Маржа_сценарий_5"/>
    <tableColumn id="47" name="ВП_ед_сценарий_5"/>
    <tableColumn id="48" name="Прогноз_выручка_1"/>
    <tableColumn id="49" name="Прогноз_ВП_1"/>
    <tableColumn id="50" name="Прогноз_выручка_2"/>
    <tableColumn id="51" name="Прогноз_ВП_2"/>
    <tableColumn id="52" name="Прогноз_выручка_3"/>
    <tableColumn id="53" name="Прогноз_ВП_3"/>
    <tableColumn id="54" name="Прогноз_выручка_4"/>
    <tableColumn id="55" name="Прогноз_ВП_4"/>
    <tableColumn id="56" name="Прогноз_выручка_5"/>
    <tableColumn id="57" name="Прогноз_ВП_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tabSelected="1" workbookViewId="0"/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s="1"/>
    </row>
    <row r="3" spans="1:1" x14ac:dyDescent="0.3">
      <c r="A3" s="1" t="s">
        <v>1</v>
      </c>
    </row>
    <row r="4" spans="1:1" x14ac:dyDescent="0.3">
      <c r="A4" s="1"/>
    </row>
    <row r="5" spans="1:1" x14ac:dyDescent="0.3">
      <c r="A5" s="1" t="s">
        <v>2</v>
      </c>
    </row>
    <row r="6" spans="1:1" x14ac:dyDescent="0.3">
      <c r="A6" s="1" t="s">
        <v>3</v>
      </c>
    </row>
    <row r="7" spans="1:1" x14ac:dyDescent="0.3">
      <c r="A7" s="1" t="s">
        <v>4</v>
      </c>
    </row>
    <row r="8" spans="1:1" x14ac:dyDescent="0.3">
      <c r="A8" s="1" t="s">
        <v>5</v>
      </c>
    </row>
    <row r="9" spans="1:1" x14ac:dyDescent="0.3">
      <c r="A9" s="1" t="s">
        <v>6</v>
      </c>
    </row>
    <row r="10" spans="1:1" x14ac:dyDescent="0.3">
      <c r="A10" s="1" t="s">
        <v>7</v>
      </c>
    </row>
    <row r="11" spans="1:1" x14ac:dyDescent="0.3">
      <c r="A11" s="1" t="s">
        <v>8</v>
      </c>
    </row>
    <row r="12" spans="1:1" x14ac:dyDescent="0.3">
      <c r="A12" s="1"/>
    </row>
    <row r="13" spans="1:1" x14ac:dyDescent="0.3">
      <c r="A13" s="1" t="s">
        <v>9</v>
      </c>
    </row>
    <row r="14" spans="1:1" x14ac:dyDescent="0.3">
      <c r="A14" s="1" t="s">
        <v>10</v>
      </c>
    </row>
    <row r="15" spans="1:1" x14ac:dyDescent="0.3">
      <c r="A15" s="1" t="s">
        <v>11</v>
      </c>
    </row>
    <row r="16" spans="1:1" x14ac:dyDescent="0.3">
      <c r="A16" s="1" t="s">
        <v>12</v>
      </c>
    </row>
    <row r="17" spans="1:1" x14ac:dyDescent="0.3">
      <c r="A17" s="1"/>
    </row>
    <row r="18" spans="1:1" x14ac:dyDescent="0.3">
      <c r="A18" s="1" t="s">
        <v>13</v>
      </c>
    </row>
    <row r="19" spans="1:1" x14ac:dyDescent="0.3">
      <c r="A19" s="1" t="s">
        <v>14</v>
      </c>
    </row>
    <row r="20" spans="1:1" x14ac:dyDescent="0.3">
      <c r="A20" s="1" t="s">
        <v>15</v>
      </c>
    </row>
    <row r="21" spans="1:1" x14ac:dyDescent="0.3">
      <c r="A21" s="1"/>
    </row>
    <row r="22" spans="1:1" x14ac:dyDescent="0.3">
      <c r="A22" s="1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2"/>
  <sheetViews>
    <sheetView workbookViewId="0"/>
  </sheetViews>
  <sheetFormatPr defaultRowHeight="14.4" x14ac:dyDescent="0.3"/>
  <cols>
    <col min="1" max="11" width="14" customWidth="1"/>
  </cols>
  <sheetData>
    <row r="1" spans="1:11" x14ac:dyDescent="0.3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  <c r="K1" s="2" t="s">
        <v>27</v>
      </c>
    </row>
    <row r="2" spans="1:11" x14ac:dyDescent="0.3">
      <c r="A2" t="s">
        <v>28</v>
      </c>
      <c r="B2">
        <v>4665272570017</v>
      </c>
      <c r="C2">
        <v>29</v>
      </c>
      <c r="D2">
        <v>39</v>
      </c>
      <c r="F2">
        <v>55</v>
      </c>
      <c r="I2">
        <v>52</v>
      </c>
      <c r="J2">
        <v>41</v>
      </c>
    </row>
    <row r="3" spans="1:11" x14ac:dyDescent="0.3">
      <c r="A3" t="s">
        <v>29</v>
      </c>
      <c r="B3">
        <v>4602984001637</v>
      </c>
      <c r="C3">
        <v>87.83</v>
      </c>
      <c r="D3" t="s">
        <v>30</v>
      </c>
      <c r="H3">
        <v>131</v>
      </c>
      <c r="J3">
        <v>110</v>
      </c>
    </row>
    <row r="4" spans="1:11" x14ac:dyDescent="0.3">
      <c r="A4" t="s">
        <v>31</v>
      </c>
      <c r="B4">
        <v>9000101409321</v>
      </c>
      <c r="C4">
        <v>236.18</v>
      </c>
      <c r="D4">
        <v>339</v>
      </c>
      <c r="F4">
        <v>349</v>
      </c>
      <c r="H4">
        <v>301</v>
      </c>
      <c r="J4">
        <v>265</v>
      </c>
    </row>
    <row r="5" spans="1:11" x14ac:dyDescent="0.3">
      <c r="A5" t="s">
        <v>32</v>
      </c>
      <c r="B5">
        <v>8690511000983</v>
      </c>
      <c r="C5">
        <v>235</v>
      </c>
      <c r="D5">
        <v>289</v>
      </c>
      <c r="F5">
        <v>285</v>
      </c>
      <c r="H5">
        <v>288</v>
      </c>
      <c r="J5">
        <v>240</v>
      </c>
      <c r="K5">
        <v>230</v>
      </c>
    </row>
    <row r="6" spans="1:11" x14ac:dyDescent="0.3">
      <c r="A6" t="s">
        <v>33</v>
      </c>
      <c r="B6">
        <v>8690511171614</v>
      </c>
      <c r="C6">
        <v>255</v>
      </c>
      <c r="D6">
        <v>385</v>
      </c>
      <c r="F6">
        <v>356</v>
      </c>
      <c r="H6">
        <v>394</v>
      </c>
      <c r="I6">
        <v>329</v>
      </c>
      <c r="K6">
        <v>299</v>
      </c>
    </row>
    <row r="7" spans="1:11" x14ac:dyDescent="0.3">
      <c r="A7" t="s">
        <v>34</v>
      </c>
      <c r="B7">
        <v>5413149333437</v>
      </c>
      <c r="C7">
        <v>496.63</v>
      </c>
      <c r="D7">
        <v>599</v>
      </c>
      <c r="E7">
        <v>673</v>
      </c>
      <c r="H7">
        <v>540</v>
      </c>
      <c r="J7">
        <v>490</v>
      </c>
    </row>
    <row r="8" spans="1:11" x14ac:dyDescent="0.3">
      <c r="A8" t="s">
        <v>35</v>
      </c>
      <c r="B8">
        <v>4600905000332</v>
      </c>
      <c r="C8">
        <v>127</v>
      </c>
      <c r="D8">
        <v>179</v>
      </c>
      <c r="I8">
        <v>191</v>
      </c>
    </row>
    <row r="9" spans="1:11" x14ac:dyDescent="0.3">
      <c r="A9" t="s">
        <v>36</v>
      </c>
      <c r="B9">
        <v>4604049012305</v>
      </c>
      <c r="C9">
        <v>67.94</v>
      </c>
      <c r="D9">
        <v>85</v>
      </c>
      <c r="E9">
        <v>107</v>
      </c>
      <c r="H9">
        <v>85</v>
      </c>
      <c r="I9">
        <v>88</v>
      </c>
      <c r="J9">
        <v>80</v>
      </c>
      <c r="K9">
        <v>71</v>
      </c>
    </row>
    <row r="10" spans="1:11" x14ac:dyDescent="0.3">
      <c r="A10" t="s">
        <v>37</v>
      </c>
      <c r="B10">
        <v>4604049095476</v>
      </c>
      <c r="C10">
        <v>131.78</v>
      </c>
      <c r="D10">
        <v>199</v>
      </c>
      <c r="H10">
        <v>169</v>
      </c>
      <c r="I10">
        <v>179</v>
      </c>
      <c r="J10">
        <v>140</v>
      </c>
      <c r="K10">
        <v>138</v>
      </c>
    </row>
    <row r="11" spans="1:11" x14ac:dyDescent="0.3">
      <c r="A11" t="s">
        <v>38</v>
      </c>
      <c r="B11">
        <v>4607072197537</v>
      </c>
      <c r="C11">
        <v>116.07</v>
      </c>
      <c r="D11">
        <v>159</v>
      </c>
      <c r="E11">
        <v>157</v>
      </c>
      <c r="H11">
        <v>157</v>
      </c>
      <c r="J11">
        <v>125</v>
      </c>
    </row>
    <row r="12" spans="1:11" x14ac:dyDescent="0.3">
      <c r="A12" t="s">
        <v>39</v>
      </c>
      <c r="B12">
        <v>8714100797525</v>
      </c>
      <c r="C12">
        <v>160.16</v>
      </c>
      <c r="D12">
        <v>249</v>
      </c>
    </row>
    <row r="13" spans="1:11" x14ac:dyDescent="0.3">
      <c r="A13" t="s">
        <v>40</v>
      </c>
      <c r="B13">
        <v>8714100707890</v>
      </c>
      <c r="C13">
        <v>77.02</v>
      </c>
      <c r="D13">
        <v>139</v>
      </c>
      <c r="H13">
        <v>124</v>
      </c>
      <c r="J13">
        <v>105</v>
      </c>
    </row>
    <row r="14" spans="1:11" x14ac:dyDescent="0.3">
      <c r="A14" t="s">
        <v>41</v>
      </c>
      <c r="B14">
        <v>7702018874460</v>
      </c>
    </row>
    <row r="15" spans="1:11" x14ac:dyDescent="0.3">
      <c r="A15" t="s">
        <v>42</v>
      </c>
      <c r="B15">
        <v>4603014023704</v>
      </c>
    </row>
    <row r="16" spans="1:11" x14ac:dyDescent="0.3">
      <c r="A16" t="s">
        <v>43</v>
      </c>
      <c r="B16">
        <v>4670113604165</v>
      </c>
    </row>
    <row r="17" spans="1:11" x14ac:dyDescent="0.3">
      <c r="A17" t="s">
        <v>44</v>
      </c>
      <c r="B17">
        <v>4620174812764</v>
      </c>
    </row>
    <row r="18" spans="1:11" x14ac:dyDescent="0.3">
      <c r="A18" t="s">
        <v>45</v>
      </c>
      <c r="B18">
        <v>4604857001782</v>
      </c>
      <c r="C18">
        <v>99.19</v>
      </c>
      <c r="D18" t="s">
        <v>46</v>
      </c>
      <c r="F18">
        <v>134</v>
      </c>
      <c r="H18">
        <v>127</v>
      </c>
      <c r="I18">
        <v>139</v>
      </c>
      <c r="J18">
        <v>100</v>
      </c>
    </row>
    <row r="19" spans="1:11" x14ac:dyDescent="0.3">
      <c r="A19" t="s">
        <v>47</v>
      </c>
      <c r="B19">
        <v>8690536023936</v>
      </c>
    </row>
    <row r="20" spans="1:11" x14ac:dyDescent="0.3">
      <c r="A20" t="s">
        <v>48</v>
      </c>
      <c r="B20">
        <v>4670199857349</v>
      </c>
      <c r="C20">
        <v>77</v>
      </c>
      <c r="D20" t="s">
        <v>49</v>
      </c>
    </row>
    <row r="21" spans="1:11" x14ac:dyDescent="0.3">
      <c r="A21" t="s">
        <v>50</v>
      </c>
      <c r="B21">
        <v>4605331003308</v>
      </c>
      <c r="C21">
        <v>77</v>
      </c>
      <c r="D21" t="s">
        <v>49</v>
      </c>
      <c r="H21">
        <v>95</v>
      </c>
      <c r="J21">
        <v>90</v>
      </c>
    </row>
    <row r="23" spans="1:11" x14ac:dyDescent="0.3">
      <c r="A23" t="s">
        <v>51</v>
      </c>
      <c r="B23">
        <v>2057030071836</v>
      </c>
      <c r="C23">
        <v>48</v>
      </c>
      <c r="D23">
        <v>59</v>
      </c>
      <c r="E23">
        <v>75</v>
      </c>
      <c r="I23">
        <v>61</v>
      </c>
      <c r="J23">
        <v>60</v>
      </c>
    </row>
    <row r="24" spans="1:11" x14ac:dyDescent="0.3">
      <c r="A24" t="s">
        <v>52</v>
      </c>
      <c r="B24">
        <v>2058077055810</v>
      </c>
      <c r="C24">
        <v>60</v>
      </c>
      <c r="D24">
        <v>79</v>
      </c>
      <c r="E24">
        <v>87</v>
      </c>
      <c r="I24">
        <v>91</v>
      </c>
      <c r="J24">
        <v>80</v>
      </c>
      <c r="K24">
        <v>80</v>
      </c>
    </row>
    <row r="25" spans="1:11" x14ac:dyDescent="0.3">
      <c r="A25" t="s">
        <v>53</v>
      </c>
      <c r="B25">
        <v>4607016240893</v>
      </c>
      <c r="C25">
        <v>71.349999999999994</v>
      </c>
      <c r="D25">
        <v>89</v>
      </c>
      <c r="E25">
        <v>99</v>
      </c>
      <c r="F25">
        <v>94</v>
      </c>
      <c r="G25">
        <v>100</v>
      </c>
      <c r="H25">
        <v>89</v>
      </c>
      <c r="I25">
        <v>91</v>
      </c>
      <c r="J25">
        <v>90</v>
      </c>
    </row>
    <row r="26" spans="1:11" x14ac:dyDescent="0.3">
      <c r="A26" t="s">
        <v>54</v>
      </c>
      <c r="B26">
        <v>8076809576093</v>
      </c>
      <c r="C26">
        <v>81.790000000000006</v>
      </c>
      <c r="D26">
        <v>119</v>
      </c>
      <c r="E26">
        <v>95</v>
      </c>
      <c r="F26">
        <v>100</v>
      </c>
      <c r="G26">
        <v>135</v>
      </c>
      <c r="H26">
        <v>94</v>
      </c>
      <c r="I26">
        <v>96</v>
      </c>
      <c r="J26">
        <v>105</v>
      </c>
      <c r="K26">
        <v>92</v>
      </c>
    </row>
    <row r="27" spans="1:11" x14ac:dyDescent="0.3">
      <c r="A27" t="s">
        <v>55</v>
      </c>
      <c r="B27">
        <v>8076809576000</v>
      </c>
      <c r="C27">
        <v>81.790000000000006</v>
      </c>
      <c r="D27">
        <v>119</v>
      </c>
      <c r="E27">
        <v>108</v>
      </c>
      <c r="F27">
        <v>109</v>
      </c>
      <c r="G27">
        <v>115</v>
      </c>
      <c r="H27">
        <v>122</v>
      </c>
      <c r="I27">
        <v>199</v>
      </c>
      <c r="J27">
        <v>105</v>
      </c>
      <c r="K27">
        <v>92</v>
      </c>
    </row>
    <row r="28" spans="1:11" x14ac:dyDescent="0.3">
      <c r="A28" t="s">
        <v>56</v>
      </c>
      <c r="B28">
        <v>4601780010508</v>
      </c>
      <c r="C28">
        <v>49.51</v>
      </c>
      <c r="D28">
        <v>65</v>
      </c>
      <c r="E28">
        <v>68</v>
      </c>
      <c r="F28">
        <v>64</v>
      </c>
      <c r="H28">
        <v>77</v>
      </c>
      <c r="I28">
        <v>61</v>
      </c>
      <c r="J28">
        <v>80</v>
      </c>
      <c r="K28">
        <v>57</v>
      </c>
    </row>
    <row r="29" spans="1:11" x14ac:dyDescent="0.3">
      <c r="A29" t="s">
        <v>57</v>
      </c>
      <c r="B29">
        <v>4601780006990</v>
      </c>
      <c r="C29">
        <v>49.51</v>
      </c>
      <c r="D29">
        <v>65</v>
      </c>
      <c r="E29">
        <v>68</v>
      </c>
      <c r="F29">
        <v>64</v>
      </c>
      <c r="G29">
        <v>68</v>
      </c>
      <c r="H29">
        <v>63</v>
      </c>
      <c r="I29">
        <v>62</v>
      </c>
      <c r="J29">
        <v>62</v>
      </c>
      <c r="K29">
        <v>56</v>
      </c>
    </row>
    <row r="30" spans="1:11" x14ac:dyDescent="0.3">
      <c r="A30" t="s">
        <v>58</v>
      </c>
      <c r="B30">
        <v>4601780002565</v>
      </c>
      <c r="C30">
        <v>93</v>
      </c>
      <c r="D30">
        <v>119</v>
      </c>
      <c r="E30">
        <v>139</v>
      </c>
      <c r="F30">
        <v>107</v>
      </c>
      <c r="G30">
        <v>140</v>
      </c>
      <c r="H30">
        <v>157</v>
      </c>
      <c r="I30">
        <v>108</v>
      </c>
      <c r="J30">
        <v>130</v>
      </c>
    </row>
    <row r="31" spans="1:11" x14ac:dyDescent="0.3">
      <c r="A31" t="s">
        <v>59</v>
      </c>
      <c r="B31">
        <v>1905000299036</v>
      </c>
      <c r="C31">
        <v>83.16</v>
      </c>
      <c r="D31" t="s">
        <v>60</v>
      </c>
      <c r="G31">
        <v>110</v>
      </c>
      <c r="H31">
        <v>116</v>
      </c>
      <c r="I31">
        <v>108</v>
      </c>
      <c r="J31">
        <v>90</v>
      </c>
    </row>
    <row r="32" spans="1:11" x14ac:dyDescent="0.3">
      <c r="A32" t="s">
        <v>61</v>
      </c>
      <c r="B32">
        <v>4607072711535</v>
      </c>
      <c r="C32">
        <v>116.5</v>
      </c>
      <c r="D32" t="s">
        <v>62</v>
      </c>
      <c r="F32">
        <v>202</v>
      </c>
      <c r="I32">
        <v>197</v>
      </c>
      <c r="J32">
        <v>145</v>
      </c>
    </row>
    <row r="33" spans="1:11" x14ac:dyDescent="0.3">
      <c r="A33" t="s">
        <v>63</v>
      </c>
      <c r="B33">
        <v>4607157483784</v>
      </c>
      <c r="C33">
        <v>240</v>
      </c>
      <c r="D33">
        <v>299</v>
      </c>
      <c r="F33">
        <v>310</v>
      </c>
      <c r="I33">
        <v>293</v>
      </c>
      <c r="J33">
        <v>265</v>
      </c>
    </row>
    <row r="34" spans="1:11" x14ac:dyDescent="0.3">
      <c r="A34" t="s">
        <v>64</v>
      </c>
      <c r="B34">
        <v>4607157483029</v>
      </c>
      <c r="C34">
        <v>91.5</v>
      </c>
      <c r="D34">
        <v>115</v>
      </c>
      <c r="E34">
        <v>113</v>
      </c>
      <c r="F34">
        <v>123</v>
      </c>
      <c r="G34">
        <v>120</v>
      </c>
      <c r="J34">
        <v>110</v>
      </c>
    </row>
    <row r="35" spans="1:11" x14ac:dyDescent="0.3">
      <c r="A35" t="s">
        <v>65</v>
      </c>
      <c r="B35">
        <v>8906010700720</v>
      </c>
      <c r="C35">
        <v>165</v>
      </c>
      <c r="D35">
        <v>249</v>
      </c>
      <c r="E35">
        <v>250</v>
      </c>
      <c r="G35">
        <v>245</v>
      </c>
      <c r="H35">
        <v>244</v>
      </c>
      <c r="I35">
        <v>238</v>
      </c>
      <c r="J35">
        <v>230</v>
      </c>
    </row>
    <row r="36" spans="1:11" x14ac:dyDescent="0.3">
      <c r="A36" t="s">
        <v>66</v>
      </c>
      <c r="B36">
        <v>2067468029354</v>
      </c>
      <c r="C36">
        <v>58.9</v>
      </c>
      <c r="D36">
        <v>65</v>
      </c>
      <c r="E36">
        <v>60</v>
      </c>
      <c r="F36">
        <v>64</v>
      </c>
      <c r="G36">
        <v>85</v>
      </c>
      <c r="I36">
        <v>78</v>
      </c>
      <c r="J36">
        <v>80</v>
      </c>
    </row>
    <row r="37" spans="1:11" x14ac:dyDescent="0.3">
      <c r="A37" t="s">
        <v>67</v>
      </c>
      <c r="B37">
        <v>4640001890031</v>
      </c>
      <c r="C37">
        <v>38.159999999999997</v>
      </c>
      <c r="D37">
        <v>55</v>
      </c>
      <c r="E37">
        <v>55</v>
      </c>
      <c r="F37">
        <v>56</v>
      </c>
      <c r="G37">
        <v>55</v>
      </c>
      <c r="H37">
        <v>52</v>
      </c>
      <c r="I37">
        <v>53</v>
      </c>
      <c r="J37">
        <v>50</v>
      </c>
    </row>
    <row r="38" spans="1:11" x14ac:dyDescent="0.3">
      <c r="A38" t="s">
        <v>68</v>
      </c>
      <c r="B38">
        <v>4610007350228</v>
      </c>
      <c r="C38">
        <v>9.32</v>
      </c>
      <c r="D38">
        <v>17</v>
      </c>
      <c r="E38">
        <v>28</v>
      </c>
      <c r="F38">
        <v>22</v>
      </c>
      <c r="G38">
        <v>20</v>
      </c>
      <c r="H38">
        <v>19</v>
      </c>
      <c r="I38">
        <v>21</v>
      </c>
      <c r="J38">
        <v>18</v>
      </c>
      <c r="K38">
        <v>16</v>
      </c>
    </row>
    <row r="39" spans="1:11" x14ac:dyDescent="0.3">
      <c r="A39" t="s">
        <v>69</v>
      </c>
      <c r="B39">
        <v>4607005090126</v>
      </c>
      <c r="C39">
        <v>65.38</v>
      </c>
      <c r="D39">
        <v>85</v>
      </c>
      <c r="F39">
        <v>84</v>
      </c>
      <c r="I39">
        <v>81</v>
      </c>
      <c r="J39">
        <v>55</v>
      </c>
    </row>
    <row r="41" spans="1:11" x14ac:dyDescent="0.3">
      <c r="A41" t="s">
        <v>70</v>
      </c>
      <c r="B41">
        <v>4690228110771</v>
      </c>
      <c r="C41">
        <v>63.16</v>
      </c>
      <c r="D41" t="s">
        <v>71</v>
      </c>
      <c r="H41">
        <v>76</v>
      </c>
      <c r="I41">
        <v>80</v>
      </c>
      <c r="J41">
        <v>75</v>
      </c>
    </row>
    <row r="42" spans="1:11" x14ac:dyDescent="0.3">
      <c r="A42" t="s">
        <v>72</v>
      </c>
      <c r="B42">
        <v>4600338006130</v>
      </c>
      <c r="C42">
        <v>47.48</v>
      </c>
      <c r="D42" t="s">
        <v>73</v>
      </c>
      <c r="J42">
        <v>45</v>
      </c>
    </row>
    <row r="43" spans="1:11" x14ac:dyDescent="0.3">
      <c r="A43" t="s">
        <v>74</v>
      </c>
      <c r="B43">
        <v>4600209011133</v>
      </c>
      <c r="C43">
        <v>577.03</v>
      </c>
      <c r="D43">
        <v>689</v>
      </c>
      <c r="H43">
        <v>699</v>
      </c>
      <c r="I43">
        <v>732</v>
      </c>
      <c r="J43">
        <v>660</v>
      </c>
    </row>
    <row r="44" spans="1:11" x14ac:dyDescent="0.3">
      <c r="A44" t="s">
        <v>75</v>
      </c>
      <c r="B44">
        <v>4600209011256</v>
      </c>
      <c r="C44">
        <v>828.52</v>
      </c>
      <c r="D44">
        <v>955</v>
      </c>
      <c r="G44">
        <v>1095</v>
      </c>
      <c r="I44">
        <v>979</v>
      </c>
      <c r="J44">
        <v>935</v>
      </c>
      <c r="K44">
        <v>915</v>
      </c>
    </row>
    <row r="46" spans="1:11" x14ac:dyDescent="0.3">
      <c r="A46" t="s">
        <v>76</v>
      </c>
      <c r="B46">
        <v>4607065716301</v>
      </c>
      <c r="C46">
        <v>96.62</v>
      </c>
      <c r="D46">
        <v>125</v>
      </c>
      <c r="E46">
        <v>130</v>
      </c>
      <c r="F46">
        <v>85</v>
      </c>
      <c r="H46">
        <v>119</v>
      </c>
      <c r="J46">
        <v>120</v>
      </c>
    </row>
    <row r="47" spans="1:11" x14ac:dyDescent="0.3">
      <c r="A47" t="s">
        <v>77</v>
      </c>
      <c r="B47">
        <v>4607065716288</v>
      </c>
      <c r="C47">
        <v>96.62</v>
      </c>
      <c r="D47">
        <v>125</v>
      </c>
      <c r="E47">
        <v>130</v>
      </c>
      <c r="F47">
        <v>85</v>
      </c>
      <c r="H47">
        <v>119</v>
      </c>
      <c r="J47">
        <v>120</v>
      </c>
    </row>
    <row r="49" spans="1:11" x14ac:dyDescent="0.3">
      <c r="A49" t="s">
        <v>78</v>
      </c>
      <c r="B49">
        <v>4607065001445</v>
      </c>
      <c r="C49">
        <v>42.9</v>
      </c>
      <c r="D49" t="s">
        <v>79</v>
      </c>
      <c r="E49">
        <v>55</v>
      </c>
      <c r="F49">
        <v>54</v>
      </c>
      <c r="G49">
        <v>70</v>
      </c>
      <c r="H49">
        <v>59</v>
      </c>
      <c r="I49">
        <v>51</v>
      </c>
      <c r="J49">
        <v>50</v>
      </c>
      <c r="K49">
        <v>48</v>
      </c>
    </row>
    <row r="50" spans="1:11" x14ac:dyDescent="0.3">
      <c r="A50" t="s">
        <v>80</v>
      </c>
      <c r="B50">
        <v>4607065000790</v>
      </c>
      <c r="C50">
        <v>65.88</v>
      </c>
      <c r="D50" t="s">
        <v>81</v>
      </c>
      <c r="E50">
        <v>80</v>
      </c>
      <c r="F50">
        <v>87</v>
      </c>
      <c r="G50">
        <v>85</v>
      </c>
      <c r="H50">
        <v>73</v>
      </c>
      <c r="I50">
        <v>72</v>
      </c>
      <c r="J50">
        <v>60</v>
      </c>
      <c r="K50">
        <v>59</v>
      </c>
    </row>
    <row r="51" spans="1:11" x14ac:dyDescent="0.3">
      <c r="A51" t="s">
        <v>82</v>
      </c>
      <c r="B51">
        <v>80052760</v>
      </c>
      <c r="C51">
        <v>90.08</v>
      </c>
      <c r="D51" t="s">
        <v>83</v>
      </c>
      <c r="E51">
        <v>116</v>
      </c>
      <c r="F51">
        <v>106</v>
      </c>
      <c r="G51">
        <v>135</v>
      </c>
      <c r="I51">
        <v>129</v>
      </c>
      <c r="K51">
        <v>80</v>
      </c>
    </row>
    <row r="52" spans="1:11" x14ac:dyDescent="0.3">
      <c r="A52" t="s">
        <v>84</v>
      </c>
      <c r="B52">
        <v>2164599</v>
      </c>
      <c r="C52">
        <v>700</v>
      </c>
      <c r="D52" t="s">
        <v>85</v>
      </c>
      <c r="E52">
        <v>935</v>
      </c>
      <c r="F52">
        <v>934</v>
      </c>
      <c r="G52">
        <v>1100</v>
      </c>
      <c r="H52">
        <v>925</v>
      </c>
      <c r="I52">
        <v>839</v>
      </c>
      <c r="J52">
        <v>815</v>
      </c>
    </row>
    <row r="53" spans="1:11" x14ac:dyDescent="0.3">
      <c r="A53" t="s">
        <v>86</v>
      </c>
      <c r="B53">
        <v>4014400901191</v>
      </c>
      <c r="C53">
        <v>370.3</v>
      </c>
      <c r="D53">
        <v>479</v>
      </c>
      <c r="E53">
        <v>450</v>
      </c>
      <c r="F53">
        <v>431</v>
      </c>
      <c r="G53">
        <v>455</v>
      </c>
      <c r="J53">
        <v>400</v>
      </c>
    </row>
    <row r="54" spans="1:11" x14ac:dyDescent="0.3">
      <c r="A54" t="s">
        <v>87</v>
      </c>
      <c r="B54">
        <v>2174260</v>
      </c>
      <c r="C54">
        <v>314.26</v>
      </c>
      <c r="D54">
        <v>430</v>
      </c>
      <c r="E54">
        <v>443</v>
      </c>
      <c r="F54">
        <v>402</v>
      </c>
      <c r="G54">
        <v>380</v>
      </c>
      <c r="I54">
        <v>376</v>
      </c>
    </row>
    <row r="55" spans="1:11" x14ac:dyDescent="0.3">
      <c r="A55" t="s">
        <v>88</v>
      </c>
      <c r="B55">
        <v>2126719</v>
      </c>
      <c r="C55">
        <v>617.97</v>
      </c>
      <c r="D55">
        <v>740</v>
      </c>
      <c r="E55">
        <v>689</v>
      </c>
      <c r="F55">
        <v>574</v>
      </c>
      <c r="G55">
        <v>780</v>
      </c>
      <c r="I55">
        <v>699</v>
      </c>
      <c r="J55">
        <v>650</v>
      </c>
    </row>
    <row r="56" spans="1:11" x14ac:dyDescent="0.3">
      <c r="A56" t="s">
        <v>89</v>
      </c>
      <c r="B56">
        <v>2176475</v>
      </c>
      <c r="C56">
        <v>700</v>
      </c>
      <c r="D56" t="s">
        <v>90</v>
      </c>
      <c r="E56">
        <v>935</v>
      </c>
      <c r="F56">
        <v>934</v>
      </c>
      <c r="G56">
        <v>1043</v>
      </c>
      <c r="H56">
        <v>925</v>
      </c>
      <c r="I56">
        <v>852</v>
      </c>
      <c r="J56">
        <v>815</v>
      </c>
    </row>
    <row r="57" spans="1:11" x14ac:dyDescent="0.3">
      <c r="A57" t="s">
        <v>91</v>
      </c>
      <c r="B57">
        <v>4014400400007</v>
      </c>
      <c r="C57">
        <v>173.68</v>
      </c>
      <c r="D57" t="s">
        <v>92</v>
      </c>
      <c r="E57">
        <v>182</v>
      </c>
      <c r="F57">
        <v>190</v>
      </c>
      <c r="H57">
        <v>160</v>
      </c>
      <c r="I57">
        <v>199</v>
      </c>
      <c r="K57">
        <v>152</v>
      </c>
    </row>
    <row r="58" spans="1:11" x14ac:dyDescent="0.3">
      <c r="A58" t="s">
        <v>93</v>
      </c>
      <c r="B58">
        <v>8996001301760</v>
      </c>
      <c r="C58">
        <v>88.82</v>
      </c>
      <c r="D58">
        <v>99</v>
      </c>
      <c r="F58">
        <v>111</v>
      </c>
      <c r="G58">
        <v>155</v>
      </c>
      <c r="I58">
        <v>95</v>
      </c>
      <c r="J58">
        <v>78</v>
      </c>
    </row>
    <row r="59" spans="1:11" x14ac:dyDescent="0.3">
      <c r="A59" t="s">
        <v>94</v>
      </c>
      <c r="B59">
        <v>7622300590970</v>
      </c>
      <c r="C59">
        <v>190</v>
      </c>
      <c r="D59">
        <v>249</v>
      </c>
      <c r="E59">
        <v>238</v>
      </c>
      <c r="F59">
        <v>243</v>
      </c>
      <c r="H59">
        <v>233</v>
      </c>
    </row>
    <row r="60" spans="1:11" x14ac:dyDescent="0.3">
      <c r="A60" t="s">
        <v>95</v>
      </c>
      <c r="B60">
        <v>4600375914399</v>
      </c>
      <c r="C60">
        <v>107.43</v>
      </c>
      <c r="D60">
        <v>169</v>
      </c>
      <c r="F60">
        <v>132</v>
      </c>
      <c r="G60">
        <v>160</v>
      </c>
      <c r="H60">
        <v>145</v>
      </c>
      <c r="I60">
        <v>127</v>
      </c>
      <c r="J60">
        <v>125</v>
      </c>
    </row>
    <row r="61" spans="1:11" x14ac:dyDescent="0.3">
      <c r="A61" t="s">
        <v>96</v>
      </c>
      <c r="B61">
        <v>80177609</v>
      </c>
      <c r="C61">
        <v>117</v>
      </c>
      <c r="D61">
        <v>139</v>
      </c>
      <c r="E61">
        <v>148</v>
      </c>
      <c r="G61">
        <v>145</v>
      </c>
      <c r="H61">
        <v>106</v>
      </c>
      <c r="J61">
        <v>90</v>
      </c>
      <c r="K61">
        <v>85</v>
      </c>
    </row>
    <row r="62" spans="1:11" x14ac:dyDescent="0.3">
      <c r="A62" t="s">
        <v>97</v>
      </c>
      <c r="B62">
        <v>7622202048326</v>
      </c>
      <c r="C62">
        <v>108.85</v>
      </c>
      <c r="D62">
        <v>139</v>
      </c>
      <c r="F62">
        <v>157</v>
      </c>
      <c r="G62">
        <v>150</v>
      </c>
      <c r="H62">
        <v>134</v>
      </c>
      <c r="K62">
        <v>111</v>
      </c>
    </row>
    <row r="63" spans="1:11" x14ac:dyDescent="0.3">
      <c r="A63" t="s">
        <v>98</v>
      </c>
      <c r="B63">
        <v>8000500004388</v>
      </c>
      <c r="C63">
        <v>380</v>
      </c>
      <c r="D63">
        <v>499</v>
      </c>
      <c r="E63">
        <v>693</v>
      </c>
      <c r="F63">
        <v>693</v>
      </c>
      <c r="G63">
        <v>540</v>
      </c>
      <c r="H63">
        <v>474</v>
      </c>
      <c r="I63">
        <v>665</v>
      </c>
      <c r="K63">
        <v>304</v>
      </c>
    </row>
    <row r="65" spans="1:11" x14ac:dyDescent="0.3">
      <c r="A65" t="s">
        <v>99</v>
      </c>
      <c r="B65">
        <v>4600300000739</v>
      </c>
      <c r="C65">
        <v>91.65</v>
      </c>
      <c r="D65">
        <v>125</v>
      </c>
      <c r="G65">
        <v>145</v>
      </c>
      <c r="H65">
        <v>135</v>
      </c>
      <c r="I65">
        <v>134</v>
      </c>
    </row>
    <row r="66" spans="1:11" x14ac:dyDescent="0.3">
      <c r="A66" t="s">
        <v>100</v>
      </c>
      <c r="B66">
        <v>7610121710318</v>
      </c>
      <c r="C66">
        <v>648.19000000000005</v>
      </c>
      <c r="D66">
        <v>899</v>
      </c>
      <c r="E66">
        <v>895</v>
      </c>
      <c r="F66">
        <v>925</v>
      </c>
      <c r="G66">
        <v>895</v>
      </c>
      <c r="H66">
        <v>890</v>
      </c>
      <c r="I66">
        <v>924</v>
      </c>
    </row>
    <row r="67" spans="1:11" x14ac:dyDescent="0.3">
      <c r="A67" t="s">
        <v>101</v>
      </c>
      <c r="B67">
        <v>8690627023401</v>
      </c>
      <c r="C67">
        <v>487.2</v>
      </c>
      <c r="D67">
        <v>649</v>
      </c>
      <c r="E67">
        <v>668</v>
      </c>
      <c r="F67">
        <v>548</v>
      </c>
      <c r="G67">
        <v>570</v>
      </c>
      <c r="H67">
        <v>581</v>
      </c>
      <c r="J67">
        <v>480</v>
      </c>
    </row>
    <row r="68" spans="1:11" x14ac:dyDescent="0.3">
      <c r="A68" t="s">
        <v>102</v>
      </c>
      <c r="B68">
        <v>4796003453955</v>
      </c>
      <c r="C68">
        <v>590</v>
      </c>
      <c r="D68">
        <v>759</v>
      </c>
      <c r="E68">
        <v>720</v>
      </c>
      <c r="F68">
        <v>752</v>
      </c>
      <c r="G68">
        <v>755</v>
      </c>
      <c r="H68">
        <v>750</v>
      </c>
      <c r="I68">
        <v>684</v>
      </c>
      <c r="K68">
        <v>667</v>
      </c>
    </row>
    <row r="69" spans="1:11" x14ac:dyDescent="0.3">
      <c r="A69" t="s">
        <v>103</v>
      </c>
      <c r="B69">
        <v>4791038627272</v>
      </c>
      <c r="C69">
        <v>350</v>
      </c>
      <c r="D69">
        <v>439</v>
      </c>
      <c r="E69">
        <v>530</v>
      </c>
      <c r="F69">
        <v>320</v>
      </c>
      <c r="G69">
        <v>415</v>
      </c>
      <c r="H69">
        <v>400</v>
      </c>
      <c r="I69">
        <v>384</v>
      </c>
      <c r="J69">
        <v>370</v>
      </c>
    </row>
    <row r="70" spans="1:11" x14ac:dyDescent="0.3">
      <c r="A70" t="s">
        <v>104</v>
      </c>
      <c r="B70">
        <v>4660115901317</v>
      </c>
      <c r="C70">
        <v>219.83</v>
      </c>
      <c r="D70">
        <v>299</v>
      </c>
      <c r="E70">
        <v>259</v>
      </c>
      <c r="F70">
        <v>266</v>
      </c>
      <c r="G70">
        <v>295</v>
      </c>
      <c r="H70">
        <v>296</v>
      </c>
    </row>
    <row r="72" spans="1:11" x14ac:dyDescent="0.3">
      <c r="A72" t="s">
        <v>105</v>
      </c>
      <c r="B72">
        <v>3083680048774</v>
      </c>
      <c r="C72">
        <v>115</v>
      </c>
      <c r="D72">
        <v>149</v>
      </c>
      <c r="E72">
        <v>138</v>
      </c>
      <c r="F72">
        <v>170</v>
      </c>
      <c r="I72">
        <v>135</v>
      </c>
    </row>
    <row r="73" spans="1:11" x14ac:dyDescent="0.3">
      <c r="A73" t="s">
        <v>106</v>
      </c>
      <c r="B73">
        <v>4688355676178</v>
      </c>
      <c r="C73">
        <v>65.7</v>
      </c>
      <c r="D73">
        <v>89</v>
      </c>
      <c r="E73">
        <v>92</v>
      </c>
      <c r="F73">
        <v>84</v>
      </c>
      <c r="G73">
        <v>90</v>
      </c>
      <c r="H73">
        <v>69</v>
      </c>
      <c r="I73">
        <v>83</v>
      </c>
      <c r="J73">
        <v>80</v>
      </c>
      <c r="K73">
        <v>80</v>
      </c>
    </row>
    <row r="74" spans="1:11" x14ac:dyDescent="0.3">
      <c r="A74" t="s">
        <v>107</v>
      </c>
      <c r="B74">
        <v>4606530003465</v>
      </c>
      <c r="C74">
        <v>201.96</v>
      </c>
      <c r="D74">
        <v>239</v>
      </c>
      <c r="E74">
        <v>245</v>
      </c>
      <c r="G74">
        <v>260</v>
      </c>
      <c r="I74">
        <v>229</v>
      </c>
      <c r="J74">
        <v>215</v>
      </c>
      <c r="K74">
        <v>211</v>
      </c>
    </row>
    <row r="75" spans="1:11" x14ac:dyDescent="0.3">
      <c r="A75" t="s">
        <v>108</v>
      </c>
      <c r="B75">
        <v>4630017929832</v>
      </c>
      <c r="C75">
        <v>123.25</v>
      </c>
      <c r="D75">
        <v>149</v>
      </c>
      <c r="E75">
        <v>148</v>
      </c>
      <c r="F75">
        <v>148</v>
      </c>
      <c r="I75">
        <v>145</v>
      </c>
      <c r="J75">
        <v>145</v>
      </c>
    </row>
    <row r="76" spans="1:11" x14ac:dyDescent="0.3">
      <c r="A76" t="s">
        <v>109</v>
      </c>
      <c r="B76">
        <v>3083680002875</v>
      </c>
      <c r="C76">
        <v>115</v>
      </c>
      <c r="D76">
        <v>149</v>
      </c>
      <c r="E76">
        <v>138</v>
      </c>
      <c r="F76">
        <v>170</v>
      </c>
      <c r="I76">
        <v>138</v>
      </c>
    </row>
    <row r="77" spans="1:11" x14ac:dyDescent="0.3">
      <c r="A77" t="s">
        <v>110</v>
      </c>
      <c r="B77">
        <v>4606530004035</v>
      </c>
      <c r="C77">
        <v>81</v>
      </c>
      <c r="D77">
        <v>99</v>
      </c>
      <c r="E77">
        <v>89</v>
      </c>
      <c r="G77">
        <v>115</v>
      </c>
      <c r="I77">
        <v>99</v>
      </c>
      <c r="J77">
        <v>85</v>
      </c>
      <c r="K77">
        <v>88</v>
      </c>
    </row>
    <row r="78" spans="1:11" x14ac:dyDescent="0.3">
      <c r="A78" t="s">
        <v>111</v>
      </c>
      <c r="B78">
        <v>4688355676017</v>
      </c>
      <c r="C78">
        <v>74.8</v>
      </c>
      <c r="D78">
        <v>99</v>
      </c>
      <c r="E78">
        <v>105</v>
      </c>
      <c r="F78">
        <v>100</v>
      </c>
      <c r="H78">
        <v>79</v>
      </c>
      <c r="I78">
        <v>96</v>
      </c>
      <c r="J78">
        <v>90</v>
      </c>
      <c r="K78">
        <v>90</v>
      </c>
    </row>
    <row r="79" spans="1:11" x14ac:dyDescent="0.3">
      <c r="A79" t="s">
        <v>112</v>
      </c>
      <c r="B79">
        <v>4813515009217</v>
      </c>
      <c r="C79">
        <v>186.5</v>
      </c>
      <c r="D79">
        <v>199</v>
      </c>
      <c r="F79">
        <v>234</v>
      </c>
      <c r="G79">
        <v>240</v>
      </c>
    </row>
    <row r="80" spans="1:11" x14ac:dyDescent="0.3">
      <c r="A80" t="s">
        <v>113</v>
      </c>
      <c r="B80">
        <v>4607025591368</v>
      </c>
      <c r="C80">
        <v>132.29</v>
      </c>
      <c r="D80">
        <v>165</v>
      </c>
      <c r="E80">
        <v>164</v>
      </c>
    </row>
    <row r="81" spans="1:11" x14ac:dyDescent="0.3">
      <c r="A81" t="s">
        <v>114</v>
      </c>
      <c r="B81">
        <v>3083680009508</v>
      </c>
      <c r="C81">
        <v>111</v>
      </c>
      <c r="D81">
        <v>159</v>
      </c>
      <c r="E81">
        <v>148</v>
      </c>
      <c r="G81">
        <v>200</v>
      </c>
      <c r="I81">
        <v>133</v>
      </c>
    </row>
    <row r="82" spans="1:11" x14ac:dyDescent="0.3">
      <c r="A82" t="s">
        <v>115</v>
      </c>
      <c r="B82">
        <v>4606530472865</v>
      </c>
      <c r="C82">
        <v>76.5</v>
      </c>
      <c r="D82">
        <v>99</v>
      </c>
      <c r="G82">
        <v>105</v>
      </c>
      <c r="I82">
        <v>86</v>
      </c>
      <c r="J82">
        <v>75</v>
      </c>
      <c r="K82">
        <v>80</v>
      </c>
    </row>
    <row r="84" spans="1:11" x14ac:dyDescent="0.3">
      <c r="A84" t="s">
        <v>116</v>
      </c>
      <c r="B84">
        <v>4604248012632</v>
      </c>
      <c r="C84">
        <v>68</v>
      </c>
      <c r="D84">
        <v>85</v>
      </c>
      <c r="E84">
        <v>85</v>
      </c>
      <c r="H84">
        <v>88</v>
      </c>
      <c r="I84">
        <v>84</v>
      </c>
      <c r="J84">
        <v>80</v>
      </c>
    </row>
    <row r="85" spans="1:11" x14ac:dyDescent="0.3">
      <c r="A85" t="s">
        <v>117</v>
      </c>
      <c r="B85">
        <v>4601674084714</v>
      </c>
      <c r="C85">
        <v>94.58</v>
      </c>
      <c r="D85">
        <v>129</v>
      </c>
      <c r="E85">
        <v>137</v>
      </c>
      <c r="F85">
        <v>139</v>
      </c>
      <c r="G85">
        <v>145</v>
      </c>
      <c r="H85">
        <v>142</v>
      </c>
    </row>
    <row r="86" spans="1:11" x14ac:dyDescent="0.3">
      <c r="A86" t="s">
        <v>118</v>
      </c>
      <c r="B86">
        <v>4600699502210</v>
      </c>
      <c r="C86">
        <v>103</v>
      </c>
      <c r="D86">
        <v>129</v>
      </c>
      <c r="E86">
        <v>130</v>
      </c>
      <c r="F86">
        <v>103</v>
      </c>
      <c r="H86">
        <v>132</v>
      </c>
      <c r="I86">
        <v>118</v>
      </c>
      <c r="J86">
        <v>115</v>
      </c>
      <c r="K86">
        <v>121</v>
      </c>
    </row>
    <row r="87" spans="1:11" x14ac:dyDescent="0.3">
      <c r="A87" t="s">
        <v>119</v>
      </c>
      <c r="B87">
        <v>4600699505525</v>
      </c>
      <c r="C87">
        <v>169</v>
      </c>
      <c r="D87">
        <v>199</v>
      </c>
      <c r="E87">
        <v>210</v>
      </c>
      <c r="F87">
        <v>211</v>
      </c>
      <c r="G87">
        <v>225</v>
      </c>
      <c r="H87">
        <v>220</v>
      </c>
      <c r="I87">
        <v>194</v>
      </c>
      <c r="J87">
        <v>180</v>
      </c>
      <c r="K87">
        <v>198</v>
      </c>
    </row>
    <row r="88" spans="1:11" x14ac:dyDescent="0.3">
      <c r="A88" t="s">
        <v>120</v>
      </c>
      <c r="B88">
        <v>8076809513753</v>
      </c>
      <c r="C88">
        <v>253.01</v>
      </c>
      <c r="D88">
        <v>329</v>
      </c>
      <c r="E88">
        <v>329</v>
      </c>
      <c r="G88">
        <v>360</v>
      </c>
      <c r="H88">
        <v>343</v>
      </c>
      <c r="I88">
        <v>321</v>
      </c>
    </row>
    <row r="89" spans="1:11" x14ac:dyDescent="0.3">
      <c r="A89" t="s">
        <v>121</v>
      </c>
      <c r="B89">
        <v>4601674086282</v>
      </c>
      <c r="C89">
        <v>110.96</v>
      </c>
      <c r="D89">
        <v>139</v>
      </c>
      <c r="E89">
        <v>137</v>
      </c>
      <c r="F89">
        <v>139</v>
      </c>
      <c r="G89">
        <v>145</v>
      </c>
      <c r="H89">
        <v>142</v>
      </c>
      <c r="I89">
        <v>139</v>
      </c>
    </row>
    <row r="91" spans="1:11" x14ac:dyDescent="0.3">
      <c r="A91" t="s">
        <v>122</v>
      </c>
      <c r="B91">
        <v>8410179100036</v>
      </c>
      <c r="C91">
        <v>663</v>
      </c>
      <c r="D91">
        <v>795</v>
      </c>
      <c r="E91">
        <v>798</v>
      </c>
      <c r="G91">
        <v>900</v>
      </c>
      <c r="H91">
        <v>779</v>
      </c>
      <c r="I91">
        <v>1140</v>
      </c>
    </row>
    <row r="92" spans="1:11" x14ac:dyDescent="0.3">
      <c r="A92" t="s">
        <v>123</v>
      </c>
      <c r="B92">
        <v>4603552022825</v>
      </c>
      <c r="C92">
        <v>346.6</v>
      </c>
      <c r="D92" t="s">
        <v>124</v>
      </c>
      <c r="F92">
        <v>480</v>
      </c>
      <c r="H92">
        <v>569</v>
      </c>
      <c r="I92">
        <v>562</v>
      </c>
    </row>
    <row r="93" spans="1:11" x14ac:dyDescent="0.3">
      <c r="A93" t="s">
        <v>125</v>
      </c>
      <c r="B93">
        <v>4600699501121</v>
      </c>
      <c r="C93">
        <v>146</v>
      </c>
      <c r="D93">
        <v>175</v>
      </c>
      <c r="E93">
        <v>175</v>
      </c>
      <c r="F93">
        <v>188</v>
      </c>
      <c r="G93">
        <v>200</v>
      </c>
      <c r="H93">
        <v>188</v>
      </c>
      <c r="I93">
        <v>176</v>
      </c>
      <c r="J93">
        <v>155</v>
      </c>
      <c r="K93">
        <v>155</v>
      </c>
    </row>
    <row r="94" spans="1:11" x14ac:dyDescent="0.3">
      <c r="A94" t="s">
        <v>126</v>
      </c>
      <c r="B94">
        <v>4680001220025</v>
      </c>
    </row>
    <row r="95" spans="1:11" x14ac:dyDescent="0.3">
      <c r="A95" t="s">
        <v>127</v>
      </c>
      <c r="B95">
        <v>4607085810782</v>
      </c>
      <c r="C95">
        <v>99.9</v>
      </c>
      <c r="D95">
        <v>125</v>
      </c>
    </row>
    <row r="97" spans="1:11" x14ac:dyDescent="0.3">
      <c r="A97" t="s">
        <v>128</v>
      </c>
      <c r="B97">
        <v>4610050690111</v>
      </c>
      <c r="C97">
        <v>142.5</v>
      </c>
      <c r="D97">
        <v>175</v>
      </c>
      <c r="F97">
        <v>180</v>
      </c>
      <c r="G97">
        <v>185</v>
      </c>
      <c r="H97">
        <v>184</v>
      </c>
      <c r="I97">
        <v>172</v>
      </c>
    </row>
    <row r="98" spans="1:11" x14ac:dyDescent="0.3">
      <c r="A98" t="s">
        <v>129</v>
      </c>
      <c r="B98">
        <v>4600605032800</v>
      </c>
      <c r="C98">
        <v>142.05000000000001</v>
      </c>
      <c r="D98" t="s">
        <v>130</v>
      </c>
      <c r="E98">
        <v>198</v>
      </c>
      <c r="F98">
        <v>189</v>
      </c>
      <c r="G98">
        <v>185</v>
      </c>
      <c r="H98">
        <v>182</v>
      </c>
      <c r="I98">
        <v>182</v>
      </c>
      <c r="J98">
        <v>180</v>
      </c>
      <c r="K98">
        <v>183</v>
      </c>
    </row>
    <row r="99" spans="1:11" x14ac:dyDescent="0.3">
      <c r="A99" t="s">
        <v>131</v>
      </c>
      <c r="B99">
        <v>4600605019351</v>
      </c>
      <c r="C99">
        <v>67.2</v>
      </c>
      <c r="D99">
        <v>89</v>
      </c>
      <c r="F99">
        <v>93</v>
      </c>
      <c r="G99">
        <v>90</v>
      </c>
      <c r="I99">
        <v>90</v>
      </c>
      <c r="J99">
        <v>90</v>
      </c>
      <c r="K99">
        <v>87</v>
      </c>
    </row>
    <row r="100" spans="1:11" x14ac:dyDescent="0.3">
      <c r="A100" t="s">
        <v>132</v>
      </c>
      <c r="B100">
        <v>4810268031793</v>
      </c>
    </row>
    <row r="101" spans="1:11" x14ac:dyDescent="0.3">
      <c r="A101" t="s">
        <v>133</v>
      </c>
      <c r="B101">
        <v>4810268030369</v>
      </c>
    </row>
    <row r="102" spans="1:11" x14ac:dyDescent="0.3">
      <c r="A102" t="s">
        <v>134</v>
      </c>
      <c r="B102">
        <v>4607157481698</v>
      </c>
      <c r="C102">
        <v>100</v>
      </c>
      <c r="D102">
        <v>125</v>
      </c>
      <c r="F102">
        <v>135</v>
      </c>
      <c r="G102">
        <v>135</v>
      </c>
      <c r="H102">
        <v>135</v>
      </c>
    </row>
    <row r="103" spans="1:11" x14ac:dyDescent="0.3">
      <c r="A103" t="s">
        <v>135</v>
      </c>
      <c r="B103">
        <v>4603731707109</v>
      </c>
      <c r="C103">
        <v>98</v>
      </c>
      <c r="D103">
        <v>119</v>
      </c>
      <c r="E103">
        <v>125</v>
      </c>
      <c r="F103">
        <v>126</v>
      </c>
      <c r="I103">
        <v>126</v>
      </c>
      <c r="J103">
        <v>130</v>
      </c>
      <c r="K103">
        <v>129</v>
      </c>
    </row>
    <row r="104" spans="1:11" x14ac:dyDescent="0.3">
      <c r="A104" t="s">
        <v>136</v>
      </c>
      <c r="B104">
        <v>4607195112721</v>
      </c>
      <c r="C104">
        <v>110.17</v>
      </c>
      <c r="D104">
        <v>129</v>
      </c>
      <c r="E104">
        <v>127</v>
      </c>
      <c r="F104">
        <v>130</v>
      </c>
      <c r="G104">
        <v>125</v>
      </c>
      <c r="H104">
        <v>126</v>
      </c>
      <c r="J104">
        <v>115</v>
      </c>
    </row>
    <row r="105" spans="1:11" x14ac:dyDescent="0.3">
      <c r="A105" t="s">
        <v>137</v>
      </c>
      <c r="B105">
        <v>4607157484965</v>
      </c>
    </row>
    <row r="106" spans="1:11" x14ac:dyDescent="0.3">
      <c r="A106" t="s">
        <v>138</v>
      </c>
      <c r="B106">
        <v>4607157484972</v>
      </c>
    </row>
    <row r="107" spans="1:11" x14ac:dyDescent="0.3">
      <c r="A107" t="s">
        <v>139</v>
      </c>
      <c r="B107">
        <v>4607195112431</v>
      </c>
      <c r="C107">
        <v>187.96</v>
      </c>
      <c r="D107" t="s">
        <v>140</v>
      </c>
      <c r="E107">
        <v>235</v>
      </c>
      <c r="F107">
        <v>235</v>
      </c>
      <c r="G107">
        <v>225</v>
      </c>
      <c r="H107">
        <v>218</v>
      </c>
      <c r="J107">
        <v>210</v>
      </c>
    </row>
    <row r="108" spans="1:11" x14ac:dyDescent="0.3">
      <c r="A108" t="s">
        <v>141</v>
      </c>
      <c r="B108">
        <v>4610092774428</v>
      </c>
      <c r="C108">
        <v>377.2</v>
      </c>
      <c r="D108" t="s">
        <v>142</v>
      </c>
      <c r="E108">
        <v>470</v>
      </c>
      <c r="G108">
        <v>470</v>
      </c>
      <c r="H108">
        <v>437</v>
      </c>
      <c r="J108">
        <v>420</v>
      </c>
      <c r="K108">
        <v>410</v>
      </c>
    </row>
    <row r="109" spans="1:11" x14ac:dyDescent="0.3">
      <c r="A109" t="s">
        <v>143</v>
      </c>
      <c r="B109">
        <v>4607195113018</v>
      </c>
    </row>
    <row r="110" spans="1:11" x14ac:dyDescent="0.3">
      <c r="A110" t="s">
        <v>144</v>
      </c>
      <c r="B110">
        <v>4607157484316</v>
      </c>
    </row>
    <row r="111" spans="1:11" x14ac:dyDescent="0.3">
      <c r="A111" t="s">
        <v>145</v>
      </c>
      <c r="B111">
        <v>4607157481704</v>
      </c>
      <c r="C111">
        <v>136</v>
      </c>
      <c r="D111">
        <v>169</v>
      </c>
      <c r="E111">
        <v>176</v>
      </c>
      <c r="F111">
        <v>184</v>
      </c>
      <c r="G111">
        <v>185</v>
      </c>
      <c r="H111">
        <v>184</v>
      </c>
      <c r="I111">
        <v>176</v>
      </c>
    </row>
    <row r="112" spans="1:11" x14ac:dyDescent="0.3">
      <c r="A112" t="s">
        <v>146</v>
      </c>
      <c r="B112">
        <v>4610092773797</v>
      </c>
      <c r="C112">
        <v>84</v>
      </c>
      <c r="D112">
        <v>95</v>
      </c>
      <c r="F112">
        <v>99</v>
      </c>
      <c r="H112">
        <v>96</v>
      </c>
      <c r="J112">
        <v>90</v>
      </c>
      <c r="K112">
        <v>90</v>
      </c>
    </row>
    <row r="113" spans="1:11" x14ac:dyDescent="0.3">
      <c r="A113" t="s">
        <v>147</v>
      </c>
      <c r="B113">
        <v>4600605026533</v>
      </c>
      <c r="C113">
        <v>131.78</v>
      </c>
      <c r="D113" t="s">
        <v>148</v>
      </c>
      <c r="E113">
        <v>163</v>
      </c>
      <c r="F113">
        <v>176</v>
      </c>
      <c r="G113">
        <v>160</v>
      </c>
      <c r="H113">
        <v>169</v>
      </c>
      <c r="I113">
        <v>165</v>
      </c>
      <c r="J113">
        <v>170</v>
      </c>
      <c r="K113">
        <v>165</v>
      </c>
    </row>
    <row r="114" spans="1:11" x14ac:dyDescent="0.3">
      <c r="A114" t="s">
        <v>149</v>
      </c>
      <c r="B114">
        <v>4610092770369</v>
      </c>
      <c r="C114">
        <v>90.05</v>
      </c>
      <c r="D114" t="s">
        <v>150</v>
      </c>
      <c r="E114">
        <v>105</v>
      </c>
      <c r="F114">
        <v>106</v>
      </c>
      <c r="G114">
        <v>105</v>
      </c>
      <c r="H114">
        <v>103</v>
      </c>
      <c r="I114">
        <v>105</v>
      </c>
      <c r="J114">
        <v>95</v>
      </c>
      <c r="K114">
        <v>97</v>
      </c>
    </row>
    <row r="115" spans="1:11" x14ac:dyDescent="0.3">
      <c r="A115" t="s">
        <v>151</v>
      </c>
      <c r="B115">
        <v>4811485040322</v>
      </c>
      <c r="C115">
        <v>143</v>
      </c>
      <c r="D115" t="s">
        <v>152</v>
      </c>
      <c r="E115">
        <v>170</v>
      </c>
      <c r="F115">
        <v>185</v>
      </c>
      <c r="G115">
        <v>195</v>
      </c>
      <c r="H115">
        <v>182</v>
      </c>
      <c r="J115">
        <v>160</v>
      </c>
      <c r="K115">
        <v>173</v>
      </c>
    </row>
    <row r="116" spans="1:11" x14ac:dyDescent="0.3">
      <c r="A116" t="s">
        <v>153</v>
      </c>
      <c r="B116">
        <v>4690228122828</v>
      </c>
    </row>
    <row r="117" spans="1:11" x14ac:dyDescent="0.3">
      <c r="A117" t="s">
        <v>154</v>
      </c>
      <c r="B117">
        <v>4602358008811</v>
      </c>
      <c r="C117">
        <v>118.5</v>
      </c>
      <c r="D117">
        <v>145</v>
      </c>
      <c r="E117">
        <v>155</v>
      </c>
      <c r="F117">
        <v>173</v>
      </c>
      <c r="G117">
        <v>160</v>
      </c>
      <c r="H117">
        <v>144</v>
      </c>
      <c r="I117">
        <v>142</v>
      </c>
      <c r="J117">
        <v>160</v>
      </c>
    </row>
    <row r="118" spans="1:11" x14ac:dyDescent="0.3">
      <c r="A118" t="s">
        <v>155</v>
      </c>
      <c r="B118">
        <v>4810065006987</v>
      </c>
      <c r="C118">
        <v>126.67</v>
      </c>
      <c r="D118">
        <v>149</v>
      </c>
      <c r="E118">
        <v>152</v>
      </c>
      <c r="H118">
        <v>150</v>
      </c>
      <c r="J118">
        <v>145</v>
      </c>
    </row>
    <row r="119" spans="1:11" x14ac:dyDescent="0.3">
      <c r="A119" t="s">
        <v>156</v>
      </c>
      <c r="B119">
        <v>4600605032060</v>
      </c>
      <c r="C119">
        <v>197.55</v>
      </c>
      <c r="D119" t="s">
        <v>140</v>
      </c>
      <c r="E119">
        <v>245</v>
      </c>
      <c r="F119">
        <v>264</v>
      </c>
      <c r="G119">
        <v>260</v>
      </c>
      <c r="H119">
        <v>279</v>
      </c>
      <c r="J119">
        <v>255</v>
      </c>
      <c r="K119">
        <v>247</v>
      </c>
    </row>
    <row r="120" spans="1:11" x14ac:dyDescent="0.3">
      <c r="A120" t="s">
        <v>157</v>
      </c>
      <c r="B120">
        <v>4607157484286</v>
      </c>
      <c r="C120">
        <v>118.4</v>
      </c>
      <c r="D120">
        <v>149</v>
      </c>
      <c r="E120">
        <v>154</v>
      </c>
      <c r="F120">
        <v>160</v>
      </c>
      <c r="G120">
        <v>160</v>
      </c>
      <c r="H120">
        <v>160</v>
      </c>
      <c r="I120">
        <v>153</v>
      </c>
    </row>
    <row r="121" spans="1:11" x14ac:dyDescent="0.3">
      <c r="A121" t="s">
        <v>158</v>
      </c>
      <c r="B121">
        <v>4607195117917</v>
      </c>
      <c r="C121">
        <v>103.99</v>
      </c>
      <c r="D121" t="s">
        <v>159</v>
      </c>
      <c r="E121">
        <v>120</v>
      </c>
      <c r="F121">
        <v>123</v>
      </c>
      <c r="H121">
        <v>131</v>
      </c>
      <c r="I121">
        <v>125</v>
      </c>
      <c r="J121">
        <v>110</v>
      </c>
      <c r="K121">
        <v>112</v>
      </c>
    </row>
    <row r="122" spans="1:11" x14ac:dyDescent="0.3">
      <c r="A122" t="s">
        <v>160</v>
      </c>
      <c r="B122">
        <v>4603731707178</v>
      </c>
      <c r="C122">
        <v>126</v>
      </c>
      <c r="D122">
        <v>155</v>
      </c>
      <c r="E122">
        <v>157</v>
      </c>
      <c r="F122">
        <v>162</v>
      </c>
      <c r="G122">
        <v>160</v>
      </c>
      <c r="H122">
        <v>173</v>
      </c>
      <c r="J122">
        <v>170</v>
      </c>
    </row>
    <row r="123" spans="1:11" x14ac:dyDescent="0.3">
      <c r="A123" t="s">
        <v>161</v>
      </c>
      <c r="B123">
        <v>4607195114527</v>
      </c>
      <c r="C123">
        <v>128.33000000000001</v>
      </c>
      <c r="D123">
        <v>149</v>
      </c>
      <c r="E123">
        <v>150</v>
      </c>
      <c r="F123">
        <v>151</v>
      </c>
      <c r="G123">
        <v>150</v>
      </c>
      <c r="H123">
        <v>147</v>
      </c>
      <c r="I123">
        <v>154</v>
      </c>
      <c r="J123">
        <v>135</v>
      </c>
    </row>
    <row r="124" spans="1:11" x14ac:dyDescent="0.3">
      <c r="A124" t="s">
        <v>162</v>
      </c>
      <c r="B124">
        <v>4607195114565</v>
      </c>
      <c r="C124">
        <v>170.5</v>
      </c>
      <c r="D124">
        <v>199</v>
      </c>
      <c r="E124">
        <v>197</v>
      </c>
      <c r="F124">
        <v>201</v>
      </c>
      <c r="G124">
        <v>195</v>
      </c>
      <c r="H124">
        <v>196</v>
      </c>
      <c r="I124">
        <v>205</v>
      </c>
      <c r="J124">
        <v>180</v>
      </c>
      <c r="K124">
        <v>183</v>
      </c>
    </row>
    <row r="125" spans="1:11" x14ac:dyDescent="0.3">
      <c r="A125" t="s">
        <v>163</v>
      </c>
      <c r="B125">
        <v>4600605030271</v>
      </c>
      <c r="C125">
        <v>67.540000000000006</v>
      </c>
      <c r="D125" t="s">
        <v>164</v>
      </c>
    </row>
    <row r="126" spans="1:11" x14ac:dyDescent="0.3">
      <c r="A126" t="s">
        <v>165</v>
      </c>
      <c r="B126">
        <v>4610092774985</v>
      </c>
      <c r="C126">
        <v>126.2</v>
      </c>
      <c r="D126" t="s">
        <v>148</v>
      </c>
      <c r="E126">
        <v>145</v>
      </c>
      <c r="J126">
        <v>135</v>
      </c>
      <c r="K126">
        <v>137</v>
      </c>
    </row>
    <row r="127" spans="1:11" x14ac:dyDescent="0.3">
      <c r="A127" t="s">
        <v>166</v>
      </c>
      <c r="B127">
        <v>4607157484057</v>
      </c>
      <c r="C127">
        <v>62.4</v>
      </c>
      <c r="D127">
        <v>79</v>
      </c>
      <c r="F127">
        <v>89</v>
      </c>
      <c r="G127">
        <v>90</v>
      </c>
      <c r="H127">
        <v>84</v>
      </c>
    </row>
    <row r="128" spans="1:11" x14ac:dyDescent="0.3">
      <c r="A128" t="s">
        <v>167</v>
      </c>
      <c r="B128">
        <v>4610092770970</v>
      </c>
      <c r="C128">
        <v>107.5</v>
      </c>
      <c r="D128">
        <v>129</v>
      </c>
      <c r="F128">
        <v>134</v>
      </c>
      <c r="G128">
        <v>132</v>
      </c>
      <c r="H128">
        <v>127</v>
      </c>
      <c r="I128">
        <v>129</v>
      </c>
      <c r="K128">
        <v>116</v>
      </c>
    </row>
    <row r="130" spans="1:11" x14ac:dyDescent="0.3">
      <c r="A130" t="s">
        <v>168</v>
      </c>
      <c r="B130">
        <v>2191255</v>
      </c>
      <c r="C130">
        <v>600</v>
      </c>
      <c r="D130">
        <v>769</v>
      </c>
      <c r="E130">
        <v>649</v>
      </c>
      <c r="H130">
        <v>706</v>
      </c>
      <c r="J130">
        <v>710</v>
      </c>
    </row>
    <row r="131" spans="1:11" x14ac:dyDescent="0.3">
      <c r="A131" t="s">
        <v>169</v>
      </c>
      <c r="B131">
        <v>2102606</v>
      </c>
      <c r="C131" t="s">
        <v>170</v>
      </c>
      <c r="D131">
        <v>1299</v>
      </c>
      <c r="E131">
        <v>1315</v>
      </c>
      <c r="F131">
        <v>1459</v>
      </c>
      <c r="G131">
        <v>1435</v>
      </c>
      <c r="J131">
        <v>1400</v>
      </c>
    </row>
    <row r="132" spans="1:11" x14ac:dyDescent="0.3">
      <c r="A132" t="s">
        <v>171</v>
      </c>
      <c r="B132">
        <v>4610092774596</v>
      </c>
      <c r="C132">
        <v>136.4</v>
      </c>
      <c r="D132" t="s">
        <v>172</v>
      </c>
      <c r="E132">
        <v>170</v>
      </c>
      <c r="F132">
        <v>170</v>
      </c>
      <c r="G132">
        <v>170</v>
      </c>
      <c r="H132">
        <v>168</v>
      </c>
      <c r="I132">
        <v>164</v>
      </c>
      <c r="J132">
        <v>150</v>
      </c>
      <c r="K132">
        <v>148</v>
      </c>
    </row>
    <row r="133" spans="1:11" x14ac:dyDescent="0.3">
      <c r="A133" t="s">
        <v>173</v>
      </c>
      <c r="B133">
        <v>4607004890673</v>
      </c>
      <c r="C133">
        <v>101.28</v>
      </c>
      <c r="D133" t="s">
        <v>174</v>
      </c>
      <c r="E133">
        <v>135</v>
      </c>
      <c r="F133">
        <v>134</v>
      </c>
      <c r="G133">
        <v>145</v>
      </c>
      <c r="H133">
        <v>128</v>
      </c>
      <c r="I133">
        <v>128</v>
      </c>
      <c r="J133">
        <v>130</v>
      </c>
    </row>
    <row r="134" spans="1:11" x14ac:dyDescent="0.3">
      <c r="A134" t="s">
        <v>175</v>
      </c>
      <c r="B134">
        <v>4607004891694</v>
      </c>
      <c r="C134">
        <v>130.63999999999999</v>
      </c>
      <c r="D134" t="s">
        <v>176</v>
      </c>
      <c r="E134">
        <v>178</v>
      </c>
      <c r="F134">
        <v>173</v>
      </c>
      <c r="G134">
        <v>185</v>
      </c>
      <c r="H134">
        <v>175</v>
      </c>
      <c r="I134">
        <v>165</v>
      </c>
      <c r="J134">
        <v>165</v>
      </c>
    </row>
    <row r="136" spans="1:11" x14ac:dyDescent="0.3">
      <c r="A136" t="s">
        <v>177</v>
      </c>
      <c r="B136">
        <v>4602358003472</v>
      </c>
      <c r="C136">
        <v>68</v>
      </c>
      <c r="D136">
        <v>89</v>
      </c>
      <c r="E136">
        <v>82</v>
      </c>
      <c r="F136">
        <v>85</v>
      </c>
      <c r="H136">
        <v>87</v>
      </c>
      <c r="I136">
        <v>82</v>
      </c>
      <c r="J136">
        <v>80</v>
      </c>
    </row>
    <row r="137" spans="1:11" x14ac:dyDescent="0.3">
      <c r="A137" t="s">
        <v>178</v>
      </c>
      <c r="B137">
        <v>4602358003670</v>
      </c>
    </row>
    <row r="138" spans="1:11" x14ac:dyDescent="0.3">
      <c r="A138" t="s">
        <v>179</v>
      </c>
      <c r="B138">
        <v>4605922004615</v>
      </c>
      <c r="C138">
        <v>122.88</v>
      </c>
      <c r="D138">
        <v>159</v>
      </c>
      <c r="E138">
        <v>154</v>
      </c>
      <c r="F138">
        <v>131</v>
      </c>
      <c r="H138">
        <v>116</v>
      </c>
      <c r="J138">
        <v>115</v>
      </c>
    </row>
    <row r="140" spans="1:11" x14ac:dyDescent="0.3">
      <c r="A140" t="s">
        <v>180</v>
      </c>
      <c r="B140">
        <v>2110347</v>
      </c>
      <c r="C140">
        <v>668</v>
      </c>
      <c r="D140" t="s">
        <v>181</v>
      </c>
      <c r="E140">
        <v>842</v>
      </c>
      <c r="F140">
        <v>835</v>
      </c>
      <c r="G140">
        <v>882</v>
      </c>
      <c r="J140">
        <v>800</v>
      </c>
    </row>
    <row r="141" spans="1:11" x14ac:dyDescent="0.3">
      <c r="A141" t="s">
        <v>182</v>
      </c>
      <c r="B141">
        <v>2124551</v>
      </c>
      <c r="C141">
        <v>567</v>
      </c>
      <c r="D141">
        <v>695</v>
      </c>
      <c r="G141">
        <v>740</v>
      </c>
      <c r="I141">
        <v>915</v>
      </c>
    </row>
    <row r="142" spans="1:11" x14ac:dyDescent="0.3">
      <c r="A142" t="s">
        <v>183</v>
      </c>
      <c r="B142">
        <v>2176394</v>
      </c>
      <c r="C142">
        <v>468</v>
      </c>
      <c r="D142">
        <v>599</v>
      </c>
      <c r="F142">
        <v>594</v>
      </c>
    </row>
    <row r="143" spans="1:11" x14ac:dyDescent="0.3">
      <c r="A143" t="s">
        <v>184</v>
      </c>
      <c r="B143">
        <v>4610121636048</v>
      </c>
      <c r="C143">
        <v>217</v>
      </c>
      <c r="D143" t="s">
        <v>185</v>
      </c>
      <c r="E143">
        <v>320</v>
      </c>
      <c r="F143">
        <v>319</v>
      </c>
      <c r="G143">
        <v>335</v>
      </c>
    </row>
    <row r="144" spans="1:11" x14ac:dyDescent="0.3">
      <c r="A144" t="s">
        <v>186</v>
      </c>
      <c r="B144">
        <v>4610121634945</v>
      </c>
    </row>
    <row r="146" spans="1:11" x14ac:dyDescent="0.3">
      <c r="A146" t="s">
        <v>187</v>
      </c>
      <c r="B146">
        <v>4607001710066</v>
      </c>
      <c r="C146">
        <v>80.22</v>
      </c>
      <c r="D146">
        <v>99</v>
      </c>
      <c r="F146">
        <v>100</v>
      </c>
      <c r="G146">
        <v>108</v>
      </c>
      <c r="H146">
        <v>104</v>
      </c>
      <c r="I146">
        <v>98</v>
      </c>
      <c r="J146">
        <v>95</v>
      </c>
    </row>
    <row r="147" spans="1:11" x14ac:dyDescent="0.3">
      <c r="A147" t="s">
        <v>188</v>
      </c>
      <c r="B147">
        <v>4607001710042</v>
      </c>
      <c r="C147">
        <v>72.430000000000007</v>
      </c>
      <c r="D147">
        <v>89</v>
      </c>
      <c r="F147">
        <v>95</v>
      </c>
      <c r="G147">
        <v>80</v>
      </c>
      <c r="H147">
        <v>94</v>
      </c>
      <c r="I147">
        <v>88</v>
      </c>
      <c r="J147">
        <v>85</v>
      </c>
      <c r="K147">
        <v>82</v>
      </c>
    </row>
    <row r="148" spans="1:11" x14ac:dyDescent="0.3">
      <c r="A148" t="s">
        <v>189</v>
      </c>
      <c r="B148">
        <v>4860019001346</v>
      </c>
      <c r="C148">
        <v>99.25</v>
      </c>
      <c r="D148">
        <v>129</v>
      </c>
      <c r="E148">
        <v>142</v>
      </c>
      <c r="F148">
        <v>154</v>
      </c>
      <c r="H148">
        <v>151</v>
      </c>
      <c r="I148">
        <v>125</v>
      </c>
      <c r="J148">
        <v>110</v>
      </c>
    </row>
    <row r="149" spans="1:11" x14ac:dyDescent="0.3">
      <c r="A149" t="s">
        <v>190</v>
      </c>
      <c r="B149">
        <v>4606592005285</v>
      </c>
    </row>
    <row r="150" spans="1:11" x14ac:dyDescent="0.3">
      <c r="A150" t="s">
        <v>191</v>
      </c>
      <c r="B150">
        <v>4607167624849</v>
      </c>
    </row>
    <row r="151" spans="1:11" x14ac:dyDescent="0.3">
      <c r="A151" t="s">
        <v>192</v>
      </c>
      <c r="B151">
        <v>4606592001805</v>
      </c>
      <c r="C151">
        <v>73.599999999999994</v>
      </c>
      <c r="D151">
        <v>95</v>
      </c>
      <c r="E151">
        <v>97</v>
      </c>
      <c r="F151">
        <v>115</v>
      </c>
      <c r="G151">
        <v>100</v>
      </c>
      <c r="H151">
        <v>100</v>
      </c>
      <c r="I151">
        <v>91</v>
      </c>
    </row>
    <row r="152" spans="1:11" x14ac:dyDescent="0.3">
      <c r="A152" t="s">
        <v>193</v>
      </c>
      <c r="B152">
        <v>4610011503795</v>
      </c>
      <c r="C152">
        <v>73.72</v>
      </c>
      <c r="D152" t="s">
        <v>194</v>
      </c>
      <c r="E152">
        <v>100</v>
      </c>
      <c r="F152">
        <v>86</v>
      </c>
      <c r="G152">
        <v>105</v>
      </c>
      <c r="I152">
        <v>83</v>
      </c>
      <c r="J152">
        <v>80</v>
      </c>
      <c r="K152">
        <v>94</v>
      </c>
    </row>
    <row r="153" spans="1:11" x14ac:dyDescent="0.3">
      <c r="A153" t="s">
        <v>195</v>
      </c>
      <c r="B153">
        <v>4610011503818</v>
      </c>
    </row>
    <row r="154" spans="1:11" x14ac:dyDescent="0.3">
      <c r="A154" t="s">
        <v>196</v>
      </c>
      <c r="B154">
        <v>5449000054227</v>
      </c>
      <c r="C154">
        <v>100.04</v>
      </c>
      <c r="D154">
        <v>149</v>
      </c>
      <c r="J154">
        <v>70</v>
      </c>
    </row>
    <row r="155" spans="1:11" x14ac:dyDescent="0.3">
      <c r="A155" t="s">
        <v>197</v>
      </c>
      <c r="B155">
        <v>5449000000286</v>
      </c>
      <c r="C155">
        <v>141.52000000000001</v>
      </c>
      <c r="D155">
        <v>215</v>
      </c>
      <c r="G155">
        <v>205</v>
      </c>
      <c r="H155">
        <v>224</v>
      </c>
    </row>
    <row r="157" spans="1:11" x14ac:dyDescent="0.3">
      <c r="A157" t="s">
        <v>198</v>
      </c>
    </row>
    <row r="158" spans="1:11" x14ac:dyDescent="0.3">
      <c r="A158" t="s">
        <v>199</v>
      </c>
      <c r="B158">
        <v>4600494694202</v>
      </c>
      <c r="C158">
        <v>96.95</v>
      </c>
      <c r="D158">
        <v>125</v>
      </c>
      <c r="E158">
        <v>120</v>
      </c>
      <c r="H158">
        <v>123</v>
      </c>
      <c r="I158">
        <v>141</v>
      </c>
      <c r="J158">
        <v>115</v>
      </c>
    </row>
    <row r="159" spans="1:11" x14ac:dyDescent="0.3">
      <c r="A159" t="s">
        <v>200</v>
      </c>
      <c r="B159">
        <v>4650243871828</v>
      </c>
      <c r="C159">
        <v>82.92</v>
      </c>
      <c r="D159">
        <v>105</v>
      </c>
      <c r="E159">
        <v>115</v>
      </c>
      <c r="G159">
        <v>110</v>
      </c>
      <c r="H159">
        <v>112</v>
      </c>
      <c r="I159">
        <v>88</v>
      </c>
      <c r="J159">
        <v>85</v>
      </c>
    </row>
    <row r="160" spans="1:11" x14ac:dyDescent="0.3">
      <c r="A160" t="s">
        <v>201</v>
      </c>
      <c r="B160">
        <v>4678598774403</v>
      </c>
      <c r="C160">
        <v>99</v>
      </c>
      <c r="D160">
        <v>125</v>
      </c>
      <c r="J160">
        <v>120</v>
      </c>
    </row>
    <row r="161" spans="1:11" x14ac:dyDescent="0.3">
      <c r="A161" t="s">
        <v>202</v>
      </c>
      <c r="B161">
        <v>4601248016332</v>
      </c>
      <c r="C161">
        <v>122.02</v>
      </c>
      <c r="D161">
        <v>149</v>
      </c>
      <c r="E161">
        <v>153</v>
      </c>
      <c r="F161">
        <v>153</v>
      </c>
      <c r="H161">
        <v>156</v>
      </c>
      <c r="I161">
        <v>154</v>
      </c>
      <c r="J161">
        <v>140</v>
      </c>
      <c r="K161">
        <v>135</v>
      </c>
    </row>
    <row r="162" spans="1:11" x14ac:dyDescent="0.3">
      <c r="A162" t="s">
        <v>203</v>
      </c>
      <c r="B162">
        <v>4607122945675</v>
      </c>
      <c r="C162">
        <v>118.32</v>
      </c>
      <c r="D162">
        <v>145</v>
      </c>
      <c r="E162">
        <v>145</v>
      </c>
      <c r="F162">
        <v>145</v>
      </c>
      <c r="I162">
        <v>147</v>
      </c>
      <c r="J162">
        <v>130</v>
      </c>
      <c r="K162">
        <v>130</v>
      </c>
    </row>
    <row r="163" spans="1:11" x14ac:dyDescent="0.3">
      <c r="A163" t="s">
        <v>204</v>
      </c>
      <c r="B163">
        <v>4600494600463</v>
      </c>
      <c r="C163">
        <v>76.2</v>
      </c>
      <c r="D163">
        <v>99</v>
      </c>
      <c r="E163">
        <v>107</v>
      </c>
      <c r="F163">
        <v>108</v>
      </c>
      <c r="H163">
        <v>109</v>
      </c>
      <c r="I163">
        <v>104</v>
      </c>
    </row>
    <row r="164" spans="1:11" x14ac:dyDescent="0.3">
      <c r="A164" t="s">
        <v>205</v>
      </c>
      <c r="B164">
        <v>4606592001362</v>
      </c>
      <c r="C164">
        <v>84.48</v>
      </c>
      <c r="D164">
        <v>109</v>
      </c>
      <c r="E164">
        <v>111</v>
      </c>
      <c r="F164">
        <v>133</v>
      </c>
      <c r="H164">
        <v>114</v>
      </c>
      <c r="I164">
        <v>105</v>
      </c>
    </row>
    <row r="166" spans="1:11" x14ac:dyDescent="0.3">
      <c r="A166" t="s">
        <v>206</v>
      </c>
      <c r="B166">
        <v>4630007400990</v>
      </c>
      <c r="C166">
        <v>62.8</v>
      </c>
      <c r="D166">
        <v>79</v>
      </c>
      <c r="F166">
        <v>79</v>
      </c>
      <c r="G166">
        <v>100</v>
      </c>
      <c r="I166">
        <v>77</v>
      </c>
      <c r="J166">
        <v>75</v>
      </c>
      <c r="K166">
        <v>73</v>
      </c>
    </row>
    <row r="167" spans="1:11" x14ac:dyDescent="0.3">
      <c r="A167" t="s">
        <v>207</v>
      </c>
      <c r="B167">
        <v>4630007401362</v>
      </c>
      <c r="C167">
        <v>122.3</v>
      </c>
      <c r="D167">
        <v>155</v>
      </c>
      <c r="F167">
        <v>153</v>
      </c>
      <c r="G167">
        <v>160</v>
      </c>
      <c r="I167">
        <v>149</v>
      </c>
      <c r="J167">
        <v>145</v>
      </c>
      <c r="K167">
        <v>143</v>
      </c>
    </row>
    <row r="168" spans="1:11" x14ac:dyDescent="0.3">
      <c r="A168" t="s">
        <v>208</v>
      </c>
      <c r="B168">
        <v>4680232931127</v>
      </c>
      <c r="C168">
        <v>97</v>
      </c>
      <c r="D168">
        <v>129</v>
      </c>
      <c r="E168">
        <v>140</v>
      </c>
      <c r="H168">
        <v>134</v>
      </c>
    </row>
    <row r="169" spans="1:11" x14ac:dyDescent="0.3">
      <c r="A169" t="s">
        <v>209</v>
      </c>
      <c r="B169">
        <v>4690388111359</v>
      </c>
      <c r="C169">
        <v>152.09</v>
      </c>
      <c r="D169">
        <v>189</v>
      </c>
      <c r="E169">
        <v>170</v>
      </c>
      <c r="F169">
        <v>166</v>
      </c>
      <c r="H169">
        <v>171</v>
      </c>
      <c r="I169">
        <v>173</v>
      </c>
      <c r="J169">
        <v>155</v>
      </c>
    </row>
    <row r="171" spans="1:11" x14ac:dyDescent="0.3">
      <c r="A171" t="s">
        <v>210</v>
      </c>
      <c r="B171">
        <v>2184638</v>
      </c>
      <c r="C171">
        <v>546</v>
      </c>
      <c r="D171" t="s">
        <v>211</v>
      </c>
      <c r="E171">
        <v>750</v>
      </c>
      <c r="G171">
        <v>780</v>
      </c>
      <c r="H171">
        <v>768</v>
      </c>
      <c r="J171">
        <v>685</v>
      </c>
    </row>
    <row r="172" spans="1:11" x14ac:dyDescent="0.3">
      <c r="A172" t="s">
        <v>212</v>
      </c>
      <c r="B172">
        <v>2127426</v>
      </c>
      <c r="C172">
        <v>773</v>
      </c>
      <c r="D172">
        <v>1120</v>
      </c>
      <c r="E172">
        <v>960</v>
      </c>
      <c r="H172">
        <v>1088</v>
      </c>
      <c r="J172">
        <v>875</v>
      </c>
    </row>
    <row r="173" spans="1:11" x14ac:dyDescent="0.3">
      <c r="A173" t="s">
        <v>213</v>
      </c>
      <c r="B173">
        <v>2188226</v>
      </c>
    </row>
    <row r="174" spans="1:11" x14ac:dyDescent="0.3">
      <c r="A174" t="s">
        <v>214</v>
      </c>
      <c r="B174">
        <v>2153304</v>
      </c>
      <c r="C174">
        <v>870</v>
      </c>
      <c r="D174" t="s">
        <v>215</v>
      </c>
      <c r="E174">
        <v>1050</v>
      </c>
      <c r="G174">
        <v>1000</v>
      </c>
      <c r="H174">
        <v>998</v>
      </c>
      <c r="J174">
        <v>850</v>
      </c>
    </row>
    <row r="175" spans="1:11" x14ac:dyDescent="0.3">
      <c r="A175" t="s">
        <v>216</v>
      </c>
      <c r="B175">
        <v>2197268</v>
      </c>
    </row>
    <row r="176" spans="1:11" x14ac:dyDescent="0.3">
      <c r="A176" t="s">
        <v>217</v>
      </c>
      <c r="B176">
        <v>2170890</v>
      </c>
      <c r="C176">
        <v>897.8</v>
      </c>
      <c r="D176" t="s">
        <v>218</v>
      </c>
      <c r="G176">
        <v>1300</v>
      </c>
      <c r="H176">
        <v>1050</v>
      </c>
      <c r="J176">
        <v>1030</v>
      </c>
    </row>
    <row r="177" spans="1:11" x14ac:dyDescent="0.3">
      <c r="A177" t="s">
        <v>219</v>
      </c>
      <c r="B177">
        <v>2198321</v>
      </c>
      <c r="C177" t="s">
        <v>220</v>
      </c>
      <c r="D177" t="s">
        <v>221</v>
      </c>
      <c r="E177">
        <v>1250</v>
      </c>
      <c r="G177">
        <v>1600</v>
      </c>
      <c r="H177">
        <v>1536</v>
      </c>
      <c r="J177">
        <v>1260</v>
      </c>
    </row>
    <row r="178" spans="1:11" x14ac:dyDescent="0.3">
      <c r="A178" t="s">
        <v>222</v>
      </c>
      <c r="B178">
        <v>2109532</v>
      </c>
      <c r="C178">
        <v>1050</v>
      </c>
      <c r="D178">
        <v>1290</v>
      </c>
      <c r="E178">
        <v>1300</v>
      </c>
      <c r="G178">
        <v>1280</v>
      </c>
      <c r="H178">
        <v>1242</v>
      </c>
      <c r="J178">
        <v>1140</v>
      </c>
    </row>
    <row r="180" spans="1:11" x14ac:dyDescent="0.3">
      <c r="A180" t="s">
        <v>223</v>
      </c>
      <c r="B180">
        <v>4605561014204</v>
      </c>
      <c r="C180">
        <v>87</v>
      </c>
      <c r="D180">
        <v>125</v>
      </c>
      <c r="F180">
        <v>114</v>
      </c>
      <c r="H180">
        <v>106</v>
      </c>
      <c r="J180">
        <v>100</v>
      </c>
    </row>
    <row r="181" spans="1:11" x14ac:dyDescent="0.3">
      <c r="A181" t="s">
        <v>224</v>
      </c>
      <c r="B181">
        <v>2102019</v>
      </c>
      <c r="C181">
        <v>320</v>
      </c>
      <c r="D181">
        <v>385</v>
      </c>
    </row>
    <row r="182" spans="1:11" x14ac:dyDescent="0.3">
      <c r="A182" t="s">
        <v>225</v>
      </c>
      <c r="B182">
        <v>2193317</v>
      </c>
      <c r="C182">
        <v>590</v>
      </c>
      <c r="D182">
        <v>735</v>
      </c>
    </row>
    <row r="184" spans="1:11" x14ac:dyDescent="0.3">
      <c r="A184" t="s">
        <v>226</v>
      </c>
      <c r="B184">
        <v>4620269170144</v>
      </c>
      <c r="C184">
        <v>530</v>
      </c>
      <c r="D184">
        <v>689</v>
      </c>
      <c r="E184">
        <v>640</v>
      </c>
      <c r="H184">
        <v>688</v>
      </c>
    </row>
    <row r="185" spans="1:11" x14ac:dyDescent="0.3">
      <c r="A185" t="s">
        <v>227</v>
      </c>
      <c r="B185">
        <v>8437020396011</v>
      </c>
    </row>
    <row r="186" spans="1:11" x14ac:dyDescent="0.3">
      <c r="A186" t="s">
        <v>228</v>
      </c>
      <c r="B186">
        <v>4610088414673</v>
      </c>
      <c r="C186">
        <v>155.1</v>
      </c>
      <c r="D186">
        <v>210</v>
      </c>
      <c r="F186">
        <v>205</v>
      </c>
    </row>
    <row r="187" spans="1:11" x14ac:dyDescent="0.3">
      <c r="A187" t="s">
        <v>229</v>
      </c>
      <c r="B187">
        <v>4610088414710</v>
      </c>
      <c r="C187">
        <v>124.8</v>
      </c>
      <c r="D187">
        <v>169</v>
      </c>
    </row>
    <row r="188" spans="1:11" x14ac:dyDescent="0.3">
      <c r="A188" t="s">
        <v>230</v>
      </c>
      <c r="B188">
        <v>2189791</v>
      </c>
      <c r="C188">
        <v>490</v>
      </c>
      <c r="D188">
        <v>649</v>
      </c>
      <c r="F188">
        <v>613</v>
      </c>
      <c r="G188">
        <v>675</v>
      </c>
    </row>
    <row r="190" spans="1:11" x14ac:dyDescent="0.3">
      <c r="A190" t="s">
        <v>231</v>
      </c>
      <c r="B190">
        <v>4603728302539</v>
      </c>
      <c r="C190">
        <v>64.16</v>
      </c>
      <c r="D190">
        <v>75</v>
      </c>
      <c r="I190">
        <v>67</v>
      </c>
    </row>
    <row r="191" spans="1:11" x14ac:dyDescent="0.3">
      <c r="A191" t="s">
        <v>232</v>
      </c>
      <c r="B191">
        <v>4626015440226</v>
      </c>
      <c r="C191">
        <v>62</v>
      </c>
      <c r="D191">
        <v>75</v>
      </c>
      <c r="F191">
        <v>76</v>
      </c>
      <c r="H191">
        <v>102</v>
      </c>
      <c r="I191">
        <v>70</v>
      </c>
      <c r="J191">
        <v>90</v>
      </c>
      <c r="K191">
        <v>75</v>
      </c>
    </row>
    <row r="192" spans="1:11" x14ac:dyDescent="0.3">
      <c r="A192" t="s">
        <v>233</v>
      </c>
      <c r="B192">
        <v>4606910000015</v>
      </c>
      <c r="C192">
        <v>100</v>
      </c>
      <c r="D192">
        <v>120</v>
      </c>
      <c r="E192">
        <v>118</v>
      </c>
      <c r="F192">
        <v>127</v>
      </c>
      <c r="I192">
        <v>129</v>
      </c>
    </row>
    <row r="194" spans="1:9" x14ac:dyDescent="0.3">
      <c r="A194" t="s">
        <v>234</v>
      </c>
      <c r="D194">
        <v>219</v>
      </c>
      <c r="G194">
        <v>315</v>
      </c>
      <c r="I194">
        <v>207</v>
      </c>
    </row>
    <row r="196" spans="1:9" x14ac:dyDescent="0.3">
      <c r="A196" t="s">
        <v>235</v>
      </c>
      <c r="B196">
        <v>4678597315096</v>
      </c>
    </row>
    <row r="197" spans="1:9" x14ac:dyDescent="0.3">
      <c r="A197" t="s">
        <v>236</v>
      </c>
      <c r="B197">
        <v>4680016920026</v>
      </c>
    </row>
    <row r="198" spans="1:9" x14ac:dyDescent="0.3">
      <c r="A198" t="s">
        <v>237</v>
      </c>
      <c r="B198">
        <v>2045622202133</v>
      </c>
    </row>
    <row r="199" spans="1:9" x14ac:dyDescent="0.3">
      <c r="A199" t="s">
        <v>238</v>
      </c>
      <c r="B199">
        <v>4634444097300</v>
      </c>
    </row>
    <row r="200" spans="1:9" x14ac:dyDescent="0.3">
      <c r="A200" t="s">
        <v>239</v>
      </c>
      <c r="B200">
        <v>4650056490797</v>
      </c>
    </row>
    <row r="201" spans="1:9" x14ac:dyDescent="0.3">
      <c r="A201" t="s">
        <v>240</v>
      </c>
      <c r="B201">
        <v>4607131422914</v>
      </c>
    </row>
    <row r="202" spans="1:9" x14ac:dyDescent="0.3">
      <c r="A202" t="s">
        <v>241</v>
      </c>
      <c r="B202">
        <v>4640221709304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/>
  </sheetViews>
  <sheetFormatPr defaultRowHeight="14.4" x14ac:dyDescent="0.3"/>
  <cols>
    <col min="1" max="4" width="14" customWidth="1"/>
  </cols>
  <sheetData>
    <row r="1" spans="1:4" x14ac:dyDescent="0.3">
      <c r="A1" s="2" t="s">
        <v>18</v>
      </c>
      <c r="B1" s="2" t="s">
        <v>242</v>
      </c>
      <c r="C1" s="2" t="s">
        <v>243</v>
      </c>
      <c r="D1" s="2" t="s">
        <v>244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"/>
  <sheetViews>
    <sheetView workbookViewId="0"/>
  </sheetViews>
  <sheetFormatPr defaultRowHeight="14.4" x14ac:dyDescent="0.3"/>
  <cols>
    <col min="1" max="57" width="14" customWidth="1"/>
  </cols>
  <sheetData>
    <row r="1" spans="1:57" x14ac:dyDescent="0.3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245</v>
      </c>
      <c r="M1" s="2" t="s">
        <v>246</v>
      </c>
      <c r="N1" s="2" t="s">
        <v>247</v>
      </c>
      <c r="O1" s="2" t="s">
        <v>248</v>
      </c>
      <c r="P1" s="2" t="s">
        <v>249</v>
      </c>
      <c r="Q1" s="2" t="s">
        <v>250</v>
      </c>
      <c r="R1" s="2" t="s">
        <v>251</v>
      </c>
      <c r="S1" s="2" t="s">
        <v>252</v>
      </c>
      <c r="T1" s="2" t="s">
        <v>253</v>
      </c>
      <c r="U1" s="2" t="s">
        <v>254</v>
      </c>
      <c r="V1" s="2" t="s">
        <v>255</v>
      </c>
      <c r="W1" s="2" t="s">
        <v>242</v>
      </c>
      <c r="X1" s="2" t="s">
        <v>256</v>
      </c>
      <c r="Y1" s="2" t="s">
        <v>257</v>
      </c>
      <c r="Z1" s="2" t="s">
        <v>258</v>
      </c>
      <c r="AA1" s="2" t="s">
        <v>259</v>
      </c>
      <c r="AB1" s="2" t="s">
        <v>260</v>
      </c>
      <c r="AC1" s="2" t="s">
        <v>261</v>
      </c>
      <c r="AD1" s="2" t="s">
        <v>262</v>
      </c>
      <c r="AE1" s="2" t="s">
        <v>263</v>
      </c>
      <c r="AF1" s="2" t="s">
        <v>264</v>
      </c>
      <c r="AG1" s="2" t="s">
        <v>265</v>
      </c>
      <c r="AH1" s="2" t="s">
        <v>266</v>
      </c>
      <c r="AI1" s="2" t="s">
        <v>267</v>
      </c>
      <c r="AJ1" s="2" t="s">
        <v>268</v>
      </c>
      <c r="AK1" s="2" t="s">
        <v>269</v>
      </c>
      <c r="AL1" s="2" t="s">
        <v>270</v>
      </c>
      <c r="AM1" s="2" t="s">
        <v>271</v>
      </c>
      <c r="AN1" s="2" t="s">
        <v>272</v>
      </c>
      <c r="AO1" s="2" t="s">
        <v>273</v>
      </c>
      <c r="AP1" s="2" t="s">
        <v>274</v>
      </c>
      <c r="AQ1" s="2" t="s">
        <v>275</v>
      </c>
      <c r="AR1" s="2" t="s">
        <v>276</v>
      </c>
      <c r="AS1" s="2" t="s">
        <v>277</v>
      </c>
      <c r="AT1" s="2" t="s">
        <v>278</v>
      </c>
      <c r="AU1" s="2" t="s">
        <v>279</v>
      </c>
      <c r="AV1" s="2" t="s">
        <v>280</v>
      </c>
      <c r="AW1" s="2" t="s">
        <v>281</v>
      </c>
      <c r="AX1" s="2" t="s">
        <v>282</v>
      </c>
      <c r="AY1" s="2" t="s">
        <v>283</v>
      </c>
      <c r="AZ1" s="2" t="s">
        <v>284</v>
      </c>
      <c r="BA1" s="2" t="s">
        <v>285</v>
      </c>
      <c r="BB1" s="2" t="s">
        <v>286</v>
      </c>
      <c r="BC1" s="2" t="s">
        <v>287</v>
      </c>
      <c r="BD1" s="2" t="s">
        <v>288</v>
      </c>
      <c r="BE1" s="2" t="s">
        <v>289</v>
      </c>
    </row>
    <row r="2" spans="1:57" x14ac:dyDescent="0.3">
      <c r="A2" t="e">
        <f ca="1">XLOOKUP(B2,Исходные [1]данные!B:B,Исходные [1]данные!A:A,"")</f>
        <v>#NAME?</v>
      </c>
      <c r="C2" t="e">
        <f ca="1">XLOOKUP(B2,Исходные [1]данные!B:B,Исходные [1]данные!C:C,"")</f>
        <v>#NAME?</v>
      </c>
      <c r="D2" t="e">
        <f ca="1">XLOOKUP(B2,Исходные [1]данные!B:B,Исходные [1]данные!D:D,"")</f>
        <v>#NAME?</v>
      </c>
      <c r="E2" t="e">
        <f ca="1">XLOOKUP(B2,Исходные [1]данные!B:B,Исходные [1]данные!E:E,"")</f>
        <v>#NAME?</v>
      </c>
      <c r="F2" t="e">
        <f ca="1">XLOOKUP(B2,Исходные [1]данные!B:B,Исходные [1]данные!F:F,"")</f>
        <v>#NAME?</v>
      </c>
      <c r="G2" t="e">
        <f ca="1">XLOOKUP(B2,Исходные [1]данные!B:B,Исходные [1]данные!G:G,"")</f>
        <v>#NAME?</v>
      </c>
      <c r="H2" t="e">
        <f ca="1">XLOOKUP(B2,Исходные [1]данные!B:B,Исходные [1]данные!H:H,"")</f>
        <v>#NAME?</v>
      </c>
      <c r="I2" t="e">
        <f ca="1">XLOOKUP(B2,Исходные [1]данные!B:B,Исходные [1]данные!I:I,"")</f>
        <v>#NAME?</v>
      </c>
      <c r="J2" t="e">
        <f ca="1">XLOOKUP(B2,Исходные [1]данные!B:B,Исходные [1]данные!J:J,"")</f>
        <v>#NAME?</v>
      </c>
      <c r="K2" t="e">
        <f ca="1">XLOOKUP(B2,Исходные [1]данные!B:B,Исходные [1]данные!K:K,"")</f>
        <v>#NAME?</v>
      </c>
      <c r="L2" t="str">
        <f ca="1">IFERROR(AVERAGE(E2:K2),"")</f>
        <v/>
      </c>
      <c r="M2" t="str">
        <f ca="1">IFERROR(MEDIAN(E2:K2),"")</f>
        <v/>
      </c>
      <c r="N2" t="str">
        <f ca="1">IFERROR(MIN(E2:K2),"")</f>
        <v/>
      </c>
      <c r="O2" t="str">
        <f ca="1">IFERROR(MAX(E2:K2),"")</f>
        <v/>
      </c>
      <c r="P2" t="e">
        <f ca="1">IF(L2&gt;0,(D2-L2)/L2,"")</f>
        <v>#NAME?</v>
      </c>
      <c r="Q2" t="e">
        <f ca="1">IF(M2&gt;0,(D2-M2)/M2,"")</f>
        <v>#NAME?</v>
      </c>
      <c r="R2" t="e">
        <f ca="1">IF(N2&gt;0,(D2-N2)/N2,"")</f>
        <v>#NAME?</v>
      </c>
      <c r="S2" t="e">
        <f ca="1">IF(D2&gt;0,RANK(D2,E2:K2),"")</f>
        <v>#NAME?</v>
      </c>
      <c r="T2" t="e">
        <f ca="1">IF(C2&gt;0,(D2-C2)/C2,"")</f>
        <v>#NAME?</v>
      </c>
      <c r="U2" t="e">
        <f ca="1">IF(D2&gt;0,(D2-C2)/D2,"")</f>
        <v>#NAME?</v>
      </c>
      <c r="V2" t="e">
        <f ca="1">IF(AND(C2&gt;0,D2&gt;0),D2-C2,"")</f>
        <v>#NAME?</v>
      </c>
      <c r="W2" t="str">
        <f ca="1">IFERROR(XLOOKUP(B2,Продажи!A:A,Продажи!B:B,""),"")</f>
        <v/>
      </c>
      <c r="X2" t="e">
        <f ca="1">IF(W2&gt;0,W2*D2,"")</f>
        <v>#VALUE!</v>
      </c>
      <c r="Y2" t="e">
        <f ca="1">IF(W2&gt;0,W2*V2,"")</f>
        <v>#VALUE!</v>
      </c>
      <c r="Z2" t="e">
        <f ca="1">IF(X2&gt;0,Y2/X2,"")</f>
        <v>#VALUE!</v>
      </c>
      <c r="AB2" t="str">
        <f ca="1">L2</f>
        <v/>
      </c>
      <c r="AC2" t="e">
        <f ca="1">IF(AND(AB2&gt;0,C2&gt;0),(AB2-C2)/C2,"")</f>
        <v>#NAME?</v>
      </c>
      <c r="AD2" t="e">
        <f ca="1">IF(AB2&gt;0,(AB2-C2)/AB2,"")</f>
        <v>#VALUE!</v>
      </c>
      <c r="AE2" t="e">
        <f ca="1">IF(AND(AB2&gt;0,C2&gt;0),AB2-C2,"")</f>
        <v>#NAME?</v>
      </c>
      <c r="AF2" t="str">
        <f ca="1">M2</f>
        <v/>
      </c>
      <c r="AG2" t="e">
        <f ca="1">IF(AND(AF2&gt;0,C2&gt;0),(AF2-C2)/C2,"")</f>
        <v>#NAME?</v>
      </c>
      <c r="AH2" t="e">
        <f ca="1">IF(AF2&gt;0,(AF2-C2)/AF2,"")</f>
        <v>#VALUE!</v>
      </c>
      <c r="AI2" t="e">
        <f ca="1">IF(AND(AF2&gt;0,C2&gt;0),AF2-C2,"")</f>
        <v>#NAME?</v>
      </c>
      <c r="AJ2" t="str">
        <f ca="1">N2</f>
        <v/>
      </c>
      <c r="AK2" t="e">
        <f ca="1">IF(AND(AJ2&gt;0,C2&gt;0),(AJ2-C2)/C2,"")</f>
        <v>#NAME?</v>
      </c>
      <c r="AL2" t="e">
        <f ca="1">IF(AJ2&gt;0,(AJ2-C2)/AJ2,"")</f>
        <v>#VALUE!</v>
      </c>
      <c r="AM2" t="e">
        <f ca="1">IF(AND(AJ2&gt;0,C2&gt;0),AJ2-C2,"")</f>
        <v>#NAME?</v>
      </c>
      <c r="AO2" t="e">
        <f ca="1">IF(AND(AN2&gt;0,C2&gt;0),(AN2-C2)/C2,"")</f>
        <v>#NAME?</v>
      </c>
      <c r="AP2" t="str">
        <f>IF(AN2&gt;0,(AN2-C2)/AN2,"")</f>
        <v/>
      </c>
      <c r="AQ2" t="e">
        <f ca="1">IF(AND(AN2&gt;0,C2&gt;0),AN2-C2,"")</f>
        <v>#NAME?</v>
      </c>
      <c r="AR2" t="str">
        <f>IF(AA2&gt;0,C2/(1-AA2),"")</f>
        <v/>
      </c>
      <c r="AS2" t="e">
        <f ca="1">IF(AND(AR2&gt;0,C2&gt;0),(AR2-C2)/C2,"")</f>
        <v>#NAME?</v>
      </c>
      <c r="AT2">
        <f>AA2</f>
        <v>0</v>
      </c>
      <c r="AU2" t="e">
        <f ca="1">IF(AND(AR2&gt;0,C2&gt;0),AR2-C2,"")</f>
        <v>#NAME?</v>
      </c>
      <c r="AV2" t="e">
        <f ca="1">IF(W2&gt;0,W2*AB2,"")</f>
        <v>#VALUE!</v>
      </c>
      <c r="AW2" t="e">
        <f ca="1">IF(W2&gt;0,W2*AE2,"")</f>
        <v>#VALUE!</v>
      </c>
      <c r="AX2" t="e">
        <f ca="1">IF(W2&gt;0,W2*AF2,"")</f>
        <v>#VALUE!</v>
      </c>
      <c r="AY2" t="e">
        <f ca="1">IF(W2&gt;0,W2*AI2,"")</f>
        <v>#VALUE!</v>
      </c>
      <c r="AZ2" t="e">
        <f ca="1">IF(W2&gt;0,W2*AJ2,"")</f>
        <v>#VALUE!</v>
      </c>
      <c r="BA2" t="e">
        <f ca="1">IF(W2&gt;0,W2*AM2,"")</f>
        <v>#VALUE!</v>
      </c>
      <c r="BB2" t="e">
        <f ca="1">IF(W2&gt;0,W2*AN2,"")</f>
        <v>#VALUE!</v>
      </c>
      <c r="BC2" t="e">
        <f ca="1">IF(W2&gt;0,W2*AQ2,"")</f>
        <v>#VALUE!</v>
      </c>
      <c r="BD2" t="e">
        <f ca="1">IF(W2&gt;0,W2*AR2,"")</f>
        <v>#VALUE!</v>
      </c>
      <c r="BE2" t="e">
        <f ca="1">IF(W2&gt;0,W2*AU2,"")</f>
        <v>#VALUE!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showGridLines="0" workbookViewId="0"/>
  </sheetViews>
  <sheetFormatPr defaultRowHeight="14.4" x14ac:dyDescent="0.3"/>
  <sheetData>
    <row r="1" spans="1:2" ht="22.05" customHeight="1" x14ac:dyDescent="0.3">
      <c r="A1" t="s">
        <v>290</v>
      </c>
    </row>
    <row r="2" spans="1:2" ht="22.05" customHeight="1" x14ac:dyDescent="0.3">
      <c r="A2" s="3" t="s">
        <v>291</v>
      </c>
      <c r="B2" s="4">
        <f ca="1">COUNTIF(Расчеты!P:P,"&gt;0")</f>
        <v>0</v>
      </c>
    </row>
    <row r="3" spans="1:2" ht="22.05" customHeight="1" x14ac:dyDescent="0.3">
      <c r="A3" s="3" t="s">
        <v>292</v>
      </c>
      <c r="B3" s="4">
        <f ca="1">COUNTIF(Расчеты!P:P,"&lt;0")</f>
        <v>0</v>
      </c>
    </row>
    <row r="4" spans="1:2" ht="22.05" customHeight="1" x14ac:dyDescent="0.3">
      <c r="A4" s="3" t="s">
        <v>293</v>
      </c>
      <c r="B4" s="4" t="e">
        <f ca="1">AVERAGE(Расчеты!Z:Z)</f>
        <v>#VALUE!</v>
      </c>
    </row>
    <row r="5" spans="1:2" ht="22.05" customHeight="1" x14ac:dyDescent="0.3">
      <c r="A5" s="3" t="s">
        <v>294</v>
      </c>
      <c r="B5" s="4" t="e">
        <f ca="1">AVERAGE(Расчеты!T:T)</f>
        <v>#NAME?</v>
      </c>
    </row>
    <row r="6" spans="1:2" ht="22.05" customHeight="1" x14ac:dyDescent="0.3">
      <c r="A6" s="3" t="s">
        <v>295</v>
      </c>
      <c r="B6" s="4" t="e">
        <f ca="1">SUM(Расчеты!Y:Y)</f>
        <v>#VALUE!</v>
      </c>
    </row>
    <row r="7" spans="1:2" ht="22.05" customHeight="1" x14ac:dyDescent="0.3">
      <c r="A7" s="3" t="s">
        <v>296</v>
      </c>
      <c r="B7" s="4" t="e">
        <f ca="1">SUM(Расчеты!BE:BE)</f>
        <v>#VALUE!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showGridLines="0" workbookViewId="0"/>
  </sheetViews>
  <sheetFormatPr defaultRowHeight="14.4" x14ac:dyDescent="0.3"/>
  <cols>
    <col min="1" max="3" width="30" customWidth="1"/>
  </cols>
  <sheetData>
    <row r="1" spans="1:3" x14ac:dyDescent="0.3">
      <c r="A1" s="5" t="s">
        <v>297</v>
      </c>
      <c r="B1" s="5" t="s">
        <v>298</v>
      </c>
      <c r="C1" s="5" t="s">
        <v>299</v>
      </c>
    </row>
    <row r="2" spans="1:3" ht="18" x14ac:dyDescent="0.35">
      <c r="A2" s="6" t="s">
        <v>300</v>
      </c>
      <c r="B2" s="7" t="e">
        <f ca="1">SUM(Расчеты!Y:Y)</f>
        <v>#VALUE!</v>
      </c>
    </row>
    <row r="3" spans="1:3" ht="18" x14ac:dyDescent="0.35">
      <c r="A3" s="6" t="s">
        <v>301</v>
      </c>
      <c r="B3" s="7" t="e">
        <f ca="1">SUM(Расчеты!AW:AW)</f>
        <v>#VALUE!</v>
      </c>
    </row>
    <row r="4" spans="1:3" ht="18" x14ac:dyDescent="0.35">
      <c r="A4" s="6" t="s">
        <v>302</v>
      </c>
      <c r="B4" s="7" t="e">
        <f ca="1">SUM(Расчеты!AY:AY)</f>
        <v>#VALUE!</v>
      </c>
    </row>
    <row r="5" spans="1:3" ht="18" x14ac:dyDescent="0.35">
      <c r="A5" s="6" t="s">
        <v>303</v>
      </c>
      <c r="B5" s="7" t="e">
        <f ca="1">SUM(Расчеты!BA:BA)</f>
        <v>#VALUE!</v>
      </c>
    </row>
    <row r="6" spans="1:3" ht="18" x14ac:dyDescent="0.35">
      <c r="A6" s="6" t="s">
        <v>304</v>
      </c>
      <c r="B6" s="7" t="e">
        <f ca="1">SUM(Расчеты!BC:BC)</f>
        <v>#VALUE!</v>
      </c>
    </row>
    <row r="7" spans="1:3" ht="18" x14ac:dyDescent="0.35">
      <c r="A7" s="6" t="s">
        <v>305</v>
      </c>
      <c r="B7" s="7" t="e">
        <f ca="1">SUM(Расчеты!BE:BE)</f>
        <v>#VALUE!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Инструкция</vt:lpstr>
      <vt:lpstr>Исходные данные</vt:lpstr>
      <vt:lpstr>Продажи</vt:lpstr>
      <vt:lpstr>Расчеты</vt:lpstr>
      <vt:lpstr>Dashboard</vt:lpstr>
      <vt:lpstr>Сценарный анализ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Павел</cp:lastModifiedBy>
  <dcterms:created xsi:type="dcterms:W3CDTF">2026-07-05T15:16:19Z</dcterms:created>
  <dcterms:modified xsi:type="dcterms:W3CDTF">2026-07-05T15:27:02Z</dcterms:modified>
</cp:coreProperties>
</file>